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uter Mertens\OneDrive - AP Support\Documenten\New Business\20 Operations\10 Opleidingen\90 Workshops\40 VBA API\"/>
    </mc:Choice>
  </mc:AlternateContent>
  <xr:revisionPtr revIDLastSave="17" documentId="8_{BB5B80BE-D44C-4457-B61A-2DAAA94F8F4C}" xr6:coauthVersionLast="45" xr6:coauthVersionMax="45" xr10:uidLastSave="{FB20BBAC-5505-4377-BEC5-036FF7DCD5C6}"/>
  <bookViews>
    <workbookView xWindow="28680" yWindow="-120" windowWidth="29040" windowHeight="17640" xr2:uid="{01A8A170-273B-47D3-9BD9-5EB95179BEB3}"/>
  </bookViews>
  <sheets>
    <sheet name="Description" sheetId="5" r:id="rId1"/>
    <sheet name="Portfolio" sheetId="6" r:id="rId2"/>
    <sheet name="JSON Parser" sheetId="1" r:id="rId3"/>
    <sheet name="All Stock" sheetId="4" r:id="rId4"/>
    <sheet name="Assets" sheetId="3" r:id="rId5"/>
    <sheet name="Analysed stock" sheetId="2" state="hidden" r:id="rId6"/>
  </sheets>
  <functionGroups builtInGroupCount="19"/>
  <definedNames>
    <definedName name="_xlnm._FilterDatabase" localSheetId="3" hidden="1">'All Stock'!$A$1:$F$9041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6" i="6" l="1"/>
  <c r="P35" i="6"/>
  <c r="P34" i="6"/>
  <c r="P33" i="6"/>
  <c r="P32" i="6"/>
  <c r="J20" i="6"/>
  <c r="J19" i="6"/>
  <c r="J18" i="6"/>
  <c r="J17" i="6"/>
  <c r="J16" i="6"/>
  <c r="N15" i="6"/>
  <c r="L18" i="6" s="1"/>
  <c r="K16" i="6" a="1"/>
  <c r="K16" i="6" s="1"/>
  <c r="F5" i="2"/>
  <c r="E5" i="2"/>
  <c r="D5" i="2"/>
  <c r="C5" i="2"/>
  <c r="B5" i="2"/>
  <c r="H131" i="2"/>
  <c r="H127" i="2"/>
  <c r="H123" i="2"/>
  <c r="H119" i="2"/>
  <c r="H115" i="2"/>
  <c r="H111" i="2"/>
  <c r="H107" i="2"/>
  <c r="H103" i="2"/>
  <c r="H99" i="2"/>
  <c r="H95" i="2"/>
  <c r="H91" i="2"/>
  <c r="H87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K41" i="6"/>
  <c r="J41" i="6"/>
  <c r="H41" i="6"/>
  <c r="K40" i="6"/>
  <c r="K39" i="6"/>
  <c r="J40" i="6"/>
  <c r="J39" i="6"/>
  <c r="H40" i="6"/>
  <c r="H39" i="6"/>
  <c r="K38" i="6"/>
  <c r="K37" i="6"/>
  <c r="K36" i="6"/>
  <c r="J38" i="6"/>
  <c r="J37" i="6"/>
  <c r="J36" i="6"/>
  <c r="H38" i="6"/>
  <c r="H37" i="6"/>
  <c r="H35" i="6"/>
  <c r="H34" i="6"/>
  <c r="H33" i="6"/>
  <c r="H36" i="6"/>
  <c r="K35" i="6"/>
  <c r="K34" i="6"/>
  <c r="K33" i="6"/>
  <c r="K32" i="6"/>
  <c r="J35" i="6"/>
  <c r="J34" i="6"/>
  <c r="J33" i="6"/>
  <c r="J32" i="6"/>
  <c r="H32" i="6"/>
  <c r="A131" i="2"/>
  <c r="A130" i="2"/>
  <c r="H130" i="2" s="1"/>
  <c r="A129" i="2"/>
  <c r="H129" i="2" s="1"/>
  <c r="A128" i="2"/>
  <c r="H128" i="2" s="1"/>
  <c r="A127" i="2"/>
  <c r="A126" i="2"/>
  <c r="H126" i="2" s="1"/>
  <c r="A125" i="2"/>
  <c r="H125" i="2" s="1"/>
  <c r="A124" i="2"/>
  <c r="H124" i="2" s="1"/>
  <c r="A123" i="2"/>
  <c r="A122" i="2"/>
  <c r="H122" i="2" s="1"/>
  <c r="A121" i="2"/>
  <c r="H121" i="2" s="1"/>
  <c r="A120" i="2"/>
  <c r="H120" i="2" s="1"/>
  <c r="A119" i="2"/>
  <c r="A118" i="2"/>
  <c r="H118" i="2" s="1"/>
  <c r="A117" i="2"/>
  <c r="H117" i="2" s="1"/>
  <c r="A116" i="2"/>
  <c r="H116" i="2" s="1"/>
  <c r="A115" i="2"/>
  <c r="A114" i="2"/>
  <c r="H114" i="2" s="1"/>
  <c r="A113" i="2"/>
  <c r="H113" i="2" s="1"/>
  <c r="A112" i="2"/>
  <c r="H112" i="2" s="1"/>
  <c r="A111" i="2"/>
  <c r="A110" i="2"/>
  <c r="H110" i="2" s="1"/>
  <c r="A109" i="2"/>
  <c r="H109" i="2" s="1"/>
  <c r="A108" i="2"/>
  <c r="H108" i="2" s="1"/>
  <c r="A107" i="2"/>
  <c r="A106" i="2"/>
  <c r="H106" i="2" s="1"/>
  <c r="A105" i="2"/>
  <c r="H105" i="2" s="1"/>
  <c r="A104" i="2"/>
  <c r="H104" i="2" s="1"/>
  <c r="A103" i="2"/>
  <c r="A102" i="2"/>
  <c r="H102" i="2" s="1"/>
  <c r="A101" i="2"/>
  <c r="H101" i="2" s="1"/>
  <c r="A100" i="2"/>
  <c r="H100" i="2" s="1"/>
  <c r="A99" i="2"/>
  <c r="A98" i="2"/>
  <c r="H98" i="2" s="1"/>
  <c r="A97" i="2"/>
  <c r="H97" i="2" s="1"/>
  <c r="A96" i="2"/>
  <c r="H96" i="2" s="1"/>
  <c r="A95" i="2"/>
  <c r="A94" i="2"/>
  <c r="H94" i="2" s="1"/>
  <c r="A93" i="2"/>
  <c r="H93" i="2" s="1"/>
  <c r="A92" i="2"/>
  <c r="H92" i="2" s="1"/>
  <c r="A91" i="2"/>
  <c r="A90" i="2"/>
  <c r="H90" i="2" s="1"/>
  <c r="A89" i="2"/>
  <c r="H89" i="2" s="1"/>
  <c r="A88" i="2"/>
  <c r="H88" i="2" s="1"/>
  <c r="A87" i="2"/>
  <c r="A86" i="2"/>
  <c r="H86" i="2" s="1"/>
  <c r="A85" i="2"/>
  <c r="H85" i="2" s="1"/>
  <c r="A84" i="2"/>
  <c r="H84" i="2" s="1"/>
  <c r="A83" i="2"/>
  <c r="A82" i="2"/>
  <c r="H82" i="2" s="1"/>
  <c r="A81" i="2"/>
  <c r="H81" i="2" s="1"/>
  <c r="A80" i="2"/>
  <c r="H80" i="2" s="1"/>
  <c r="A79" i="2"/>
  <c r="A78" i="2"/>
  <c r="H78" i="2" s="1"/>
  <c r="A77" i="2"/>
  <c r="H77" i="2" s="1"/>
  <c r="A76" i="2"/>
  <c r="H76" i="2" s="1"/>
  <c r="A75" i="2"/>
  <c r="A74" i="2"/>
  <c r="H74" i="2" s="1"/>
  <c r="A73" i="2"/>
  <c r="H73" i="2" s="1"/>
  <c r="A72" i="2"/>
  <c r="H72" i="2" s="1"/>
  <c r="A71" i="2"/>
  <c r="A70" i="2"/>
  <c r="H70" i="2" s="1"/>
  <c r="A69" i="2"/>
  <c r="H69" i="2" s="1"/>
  <c r="A68" i="2"/>
  <c r="H68" i="2" s="1"/>
  <c r="A67" i="2"/>
  <c r="A66" i="2"/>
  <c r="H66" i="2" s="1"/>
  <c r="A65" i="2"/>
  <c r="H65" i="2" s="1"/>
  <c r="A64" i="2"/>
  <c r="H64" i="2" s="1"/>
  <c r="A63" i="2"/>
  <c r="A62" i="2"/>
  <c r="H62" i="2" s="1"/>
  <c r="A61" i="2"/>
  <c r="H61" i="2" s="1"/>
  <c r="A60" i="2"/>
  <c r="H60" i="2" s="1"/>
  <c r="A59" i="2"/>
  <c r="A58" i="2"/>
  <c r="H58" i="2" s="1"/>
  <c r="A57" i="2"/>
  <c r="H57" i="2" s="1"/>
  <c r="A56" i="2"/>
  <c r="H56" i="2" s="1"/>
  <c r="A55" i="2"/>
  <c r="A54" i="2"/>
  <c r="H54" i="2" s="1"/>
  <c r="A53" i="2"/>
  <c r="H53" i="2" s="1"/>
  <c r="A52" i="2"/>
  <c r="H52" i="2" s="1"/>
  <c r="A51" i="2"/>
  <c r="A50" i="2"/>
  <c r="H50" i="2" s="1"/>
  <c r="A49" i="2"/>
  <c r="H49" i="2" s="1"/>
  <c r="A48" i="2"/>
  <c r="H48" i="2" s="1"/>
  <c r="A47" i="2"/>
  <c r="A46" i="2"/>
  <c r="H46" i="2" s="1"/>
  <c r="A45" i="2"/>
  <c r="H45" i="2" s="1"/>
  <c r="A44" i="2"/>
  <c r="H44" i="2" s="1"/>
  <c r="A43" i="2"/>
  <c r="A42" i="2"/>
  <c r="H42" i="2" s="1"/>
  <c r="A41" i="2"/>
  <c r="H41" i="2" s="1"/>
  <c r="A40" i="2"/>
  <c r="H40" i="2" s="1"/>
  <c r="A39" i="2"/>
  <c r="A38" i="2"/>
  <c r="H38" i="2" s="1"/>
  <c r="A37" i="2"/>
  <c r="H37" i="2" s="1"/>
  <c r="A36" i="2"/>
  <c r="H36" i="2" s="1"/>
  <c r="A35" i="2"/>
  <c r="A34" i="2"/>
  <c r="H34" i="2" s="1"/>
  <c r="A33" i="2"/>
  <c r="H33" i="2" s="1"/>
  <c r="A32" i="2"/>
  <c r="H32" i="2" s="1"/>
  <c r="A31" i="2"/>
  <c r="A30" i="2"/>
  <c r="H30" i="2" s="1"/>
  <c r="A29" i="2"/>
  <c r="H29" i="2" s="1"/>
  <c r="A28" i="2"/>
  <c r="H28" i="2" s="1"/>
  <c r="A27" i="2"/>
  <c r="A26" i="2"/>
  <c r="H26" i="2" s="1"/>
  <c r="A25" i="2"/>
  <c r="H25" i="2" s="1"/>
  <c r="A24" i="2"/>
  <c r="H24" i="2" s="1"/>
  <c r="A23" i="2"/>
  <c r="A22" i="2"/>
  <c r="H22" i="2" s="1"/>
  <c r="A21" i="2"/>
  <c r="H21" i="2" s="1"/>
  <c r="A20" i="2"/>
  <c r="H20" i="2" s="1"/>
  <c r="A19" i="2"/>
  <c r="A18" i="2"/>
  <c r="H18" i="2" s="1"/>
  <c r="A17" i="2"/>
  <c r="H17" i="2" s="1"/>
  <c r="A16" i="2"/>
  <c r="H16" i="2" s="1"/>
  <c r="A15" i="2"/>
  <c r="A14" i="2"/>
  <c r="H14" i="2" s="1"/>
  <c r="A13" i="2"/>
  <c r="H13" i="2" s="1"/>
  <c r="A12" i="2"/>
  <c r="H12" i="2" s="1"/>
  <c r="A11" i="2"/>
  <c r="A10" i="2"/>
  <c r="H10" i="2" s="1"/>
  <c r="A9" i="2"/>
  <c r="H9" i="2" s="1"/>
  <c r="A8" i="2"/>
  <c r="H8" i="2" s="1"/>
  <c r="A7" i="2"/>
  <c r="A6" i="2"/>
  <c r="H6" i="2" s="1"/>
  <c r="B2" i="3" a="1"/>
  <c r="B2" i="3" s="1"/>
  <c r="B1" i="3" a="1"/>
  <c r="D1" i="3" s="1"/>
  <c r="M36" i="6"/>
  <c r="M35" i="6"/>
  <c r="M34" i="6"/>
  <c r="M33" i="6"/>
  <c r="M32" i="6"/>
  <c r="L19" i="6" l="1"/>
  <c r="K19" i="6"/>
  <c r="L16" i="6"/>
  <c r="L20" i="6"/>
  <c r="K18" i="6"/>
  <c r="L17" i="6"/>
  <c r="K17" i="6"/>
  <c r="K20" i="6"/>
  <c r="B131" i="2"/>
  <c r="B127" i="2"/>
  <c r="B123" i="2"/>
  <c r="B119" i="2"/>
  <c r="B115" i="2"/>
  <c r="B111" i="2"/>
  <c r="B107" i="2"/>
  <c r="B103" i="2"/>
  <c r="B99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6" i="2"/>
  <c r="B91" i="2"/>
  <c r="B88" i="2"/>
  <c r="B83" i="2"/>
  <c r="B80" i="2"/>
  <c r="B75" i="2"/>
  <c r="B71" i="2"/>
  <c r="B98" i="2"/>
  <c r="B90" i="2"/>
  <c r="B82" i="2"/>
  <c r="B72" i="2"/>
  <c r="B68" i="2"/>
  <c r="B95" i="2"/>
  <c r="B92" i="2"/>
  <c r="B87" i="2"/>
  <c r="B84" i="2"/>
  <c r="B79" i="2"/>
  <c r="B76" i="2"/>
  <c r="B73" i="2"/>
  <c r="B69" i="2"/>
  <c r="B65" i="2"/>
  <c r="B61" i="2"/>
  <c r="B70" i="2"/>
  <c r="B67" i="2"/>
  <c r="B66" i="2"/>
  <c r="B59" i="2"/>
  <c r="B55" i="2"/>
  <c r="B51" i="2"/>
  <c r="B47" i="2"/>
  <c r="B43" i="2"/>
  <c r="B39" i="2"/>
  <c r="B35" i="2"/>
  <c r="B31" i="2"/>
  <c r="B27" i="2"/>
  <c r="B23" i="2"/>
  <c r="B19" i="2"/>
  <c r="B94" i="2"/>
  <c r="B86" i="2"/>
  <c r="B78" i="2"/>
  <c r="B63" i="2"/>
  <c r="B60" i="2"/>
  <c r="B56" i="2"/>
  <c r="B52" i="2"/>
  <c r="B48" i="2"/>
  <c r="B44" i="2"/>
  <c r="B40" i="2"/>
  <c r="B36" i="2"/>
  <c r="B32" i="2"/>
  <c r="B64" i="2"/>
  <c r="B58" i="2"/>
  <c r="B54" i="2"/>
  <c r="B50" i="2"/>
  <c r="B46" i="2"/>
  <c r="B42" i="2"/>
  <c r="B38" i="2"/>
  <c r="B34" i="2"/>
  <c r="B30" i="2"/>
  <c r="B53" i="2"/>
  <c r="B45" i="2"/>
  <c r="B37" i="2"/>
  <c r="B26" i="2"/>
  <c r="B21" i="2"/>
  <c r="B17" i="2"/>
  <c r="B13" i="2"/>
  <c r="B9" i="2"/>
  <c r="B6" i="2"/>
  <c r="B16" i="2"/>
  <c r="B12" i="2"/>
  <c r="B74" i="2"/>
  <c r="B29" i="2"/>
  <c r="B28" i="2"/>
  <c r="B20" i="2"/>
  <c r="B18" i="2"/>
  <c r="B14" i="2"/>
  <c r="B10" i="2"/>
  <c r="B62" i="2"/>
  <c r="B57" i="2"/>
  <c r="B49" i="2"/>
  <c r="B41" i="2"/>
  <c r="B33" i="2"/>
  <c r="B25" i="2"/>
  <c r="B22" i="2"/>
  <c r="B15" i="2"/>
  <c r="B11" i="2"/>
  <c r="B7" i="2"/>
  <c r="B24" i="2"/>
  <c r="B8" i="2"/>
  <c r="F1" i="3"/>
  <c r="B1" i="3"/>
  <c r="D2" i="3"/>
  <c r="C2" i="3"/>
  <c r="C1" i="3"/>
  <c r="E2" i="3"/>
  <c r="E1" i="3"/>
  <c r="F2" i="3"/>
  <c r="D36" i="6"/>
  <c r="D35" i="6"/>
  <c r="D34" i="6"/>
  <c r="D33" i="6"/>
  <c r="D32" i="6"/>
  <c r="B3" i="2" l="1"/>
  <c r="B2" i="2"/>
  <c r="B1" i="2"/>
  <c r="E130" i="2"/>
  <c r="E126" i="2"/>
  <c r="E122" i="2"/>
  <c r="E118" i="2"/>
  <c r="E114" i="2"/>
  <c r="E110" i="2"/>
  <c r="E106" i="2"/>
  <c r="E102" i="2"/>
  <c r="E131" i="2"/>
  <c r="E128" i="2"/>
  <c r="E124" i="2"/>
  <c r="E120" i="2"/>
  <c r="G120" i="2" s="1"/>
  <c r="E116" i="2"/>
  <c r="E112" i="2"/>
  <c r="E108" i="2"/>
  <c r="E104" i="2"/>
  <c r="E100" i="2"/>
  <c r="E96" i="2"/>
  <c r="E92" i="2"/>
  <c r="E88" i="2"/>
  <c r="E84" i="2"/>
  <c r="E80" i="2"/>
  <c r="E76" i="2"/>
  <c r="E97" i="2"/>
  <c r="E95" i="2"/>
  <c r="E89" i="2"/>
  <c r="E87" i="2"/>
  <c r="E81" i="2"/>
  <c r="E79" i="2"/>
  <c r="E74" i="2"/>
  <c r="E70" i="2"/>
  <c r="E94" i="2"/>
  <c r="E86" i="2"/>
  <c r="E78" i="2"/>
  <c r="E71" i="2"/>
  <c r="E67" i="2"/>
  <c r="E93" i="2"/>
  <c r="E91" i="2"/>
  <c r="E85" i="2"/>
  <c r="E83" i="2"/>
  <c r="E77" i="2"/>
  <c r="E75" i="2"/>
  <c r="E72" i="2"/>
  <c r="E68" i="2"/>
  <c r="E64" i="2"/>
  <c r="E60" i="2"/>
  <c r="E73" i="2"/>
  <c r="E62" i="2"/>
  <c r="E58" i="2"/>
  <c r="E54" i="2"/>
  <c r="E50" i="2"/>
  <c r="E46" i="2"/>
  <c r="E42" i="2"/>
  <c r="E38" i="2"/>
  <c r="E34" i="2"/>
  <c r="E30" i="2"/>
  <c r="E26" i="2"/>
  <c r="E22" i="2"/>
  <c r="E98" i="2"/>
  <c r="E90" i="2"/>
  <c r="E82" i="2"/>
  <c r="E61" i="2"/>
  <c r="E59" i="2"/>
  <c r="E55" i="2"/>
  <c r="E51" i="2"/>
  <c r="E47" i="2"/>
  <c r="E43" i="2"/>
  <c r="E39" i="2"/>
  <c r="E35" i="2"/>
  <c r="E31" i="2"/>
  <c r="E129" i="2"/>
  <c r="E127" i="2"/>
  <c r="E125" i="2"/>
  <c r="E123" i="2"/>
  <c r="E121" i="2"/>
  <c r="E119" i="2"/>
  <c r="E117" i="2"/>
  <c r="E115" i="2"/>
  <c r="E113" i="2"/>
  <c r="E111" i="2"/>
  <c r="E109" i="2"/>
  <c r="E107" i="2"/>
  <c r="E105" i="2"/>
  <c r="E103" i="2"/>
  <c r="E101" i="2"/>
  <c r="E99" i="2"/>
  <c r="E66" i="2"/>
  <c r="E65" i="2"/>
  <c r="E63" i="2"/>
  <c r="E57" i="2"/>
  <c r="E53" i="2"/>
  <c r="E49" i="2"/>
  <c r="E45" i="2"/>
  <c r="E41" i="2"/>
  <c r="E37" i="2"/>
  <c r="E33" i="2"/>
  <c r="E29" i="2"/>
  <c r="E69" i="2"/>
  <c r="E56" i="2"/>
  <c r="E48" i="2"/>
  <c r="G48" i="2" s="1"/>
  <c r="E40" i="2"/>
  <c r="E32" i="2"/>
  <c r="E28" i="2"/>
  <c r="E27" i="2"/>
  <c r="E25" i="2"/>
  <c r="E19" i="2"/>
  <c r="E16" i="2"/>
  <c r="E12" i="2"/>
  <c r="E8" i="2"/>
  <c r="E7" i="2"/>
  <c r="E24" i="2"/>
  <c r="E17" i="2"/>
  <c r="E13" i="2"/>
  <c r="E9" i="2"/>
  <c r="E6" i="2"/>
  <c r="E52" i="2"/>
  <c r="E44" i="2"/>
  <c r="E36" i="2"/>
  <c r="E23" i="2"/>
  <c r="E21" i="2"/>
  <c r="E18" i="2"/>
  <c r="E14" i="2"/>
  <c r="E10" i="2"/>
  <c r="E20" i="2"/>
  <c r="E15" i="2"/>
  <c r="E11" i="2"/>
  <c r="F131" i="2"/>
  <c r="F127" i="2"/>
  <c r="F123" i="2"/>
  <c r="F119" i="2"/>
  <c r="F115" i="2"/>
  <c r="F111" i="2"/>
  <c r="F107" i="2"/>
  <c r="F103" i="2"/>
  <c r="F99" i="2"/>
  <c r="F129" i="2"/>
  <c r="F125" i="2"/>
  <c r="F121" i="2"/>
  <c r="F117" i="2"/>
  <c r="F113" i="2"/>
  <c r="F109" i="2"/>
  <c r="F105" i="2"/>
  <c r="F101" i="2"/>
  <c r="F97" i="2"/>
  <c r="F93" i="2"/>
  <c r="F89" i="2"/>
  <c r="F85" i="2"/>
  <c r="F81" i="2"/>
  <c r="F77" i="2"/>
  <c r="F94" i="2"/>
  <c r="F86" i="2"/>
  <c r="F78" i="2"/>
  <c r="F71" i="2"/>
  <c r="F96" i="2"/>
  <c r="F91" i="2"/>
  <c r="F88" i="2"/>
  <c r="F83" i="2"/>
  <c r="F80" i="2"/>
  <c r="F75" i="2"/>
  <c r="F72" i="2"/>
  <c r="F68" i="2"/>
  <c r="F130" i="2"/>
  <c r="F128" i="2"/>
  <c r="F126" i="2"/>
  <c r="F124" i="2"/>
  <c r="F122" i="2"/>
  <c r="F120" i="2"/>
  <c r="F118" i="2"/>
  <c r="F116" i="2"/>
  <c r="F114" i="2"/>
  <c r="F112" i="2"/>
  <c r="F110" i="2"/>
  <c r="F108" i="2"/>
  <c r="F106" i="2"/>
  <c r="F104" i="2"/>
  <c r="F102" i="2"/>
  <c r="F100" i="2"/>
  <c r="F98" i="2"/>
  <c r="F90" i="2"/>
  <c r="F82" i="2"/>
  <c r="F73" i="2"/>
  <c r="F69" i="2"/>
  <c r="F65" i="2"/>
  <c r="F61" i="2"/>
  <c r="G61" i="2" s="1"/>
  <c r="F64" i="2"/>
  <c r="F59" i="2"/>
  <c r="F55" i="2"/>
  <c r="F51" i="2"/>
  <c r="F47" i="2"/>
  <c r="G47" i="2" s="1"/>
  <c r="F43" i="2"/>
  <c r="F39" i="2"/>
  <c r="F35" i="2"/>
  <c r="F31" i="2"/>
  <c r="F27" i="2"/>
  <c r="F23" i="2"/>
  <c r="F19" i="2"/>
  <c r="F92" i="2"/>
  <c r="F84" i="2"/>
  <c r="F76" i="2"/>
  <c r="F74" i="2"/>
  <c r="F56" i="2"/>
  <c r="F52" i="2"/>
  <c r="F48" i="2"/>
  <c r="F44" i="2"/>
  <c r="F40" i="2"/>
  <c r="F36" i="2"/>
  <c r="F32" i="2"/>
  <c r="F95" i="2"/>
  <c r="F87" i="2"/>
  <c r="F79" i="2"/>
  <c r="F70" i="2"/>
  <c r="F62" i="2"/>
  <c r="F58" i="2"/>
  <c r="F54" i="2"/>
  <c r="F50" i="2"/>
  <c r="F46" i="2"/>
  <c r="F42" i="2"/>
  <c r="F38" i="2"/>
  <c r="F34" i="2"/>
  <c r="F30" i="2"/>
  <c r="F67" i="2"/>
  <c r="F63" i="2"/>
  <c r="F24" i="2"/>
  <c r="F17" i="2"/>
  <c r="F13" i="2"/>
  <c r="F9" i="2"/>
  <c r="F6" i="2"/>
  <c r="F12" i="2"/>
  <c r="F8" i="2"/>
  <c r="F57" i="2"/>
  <c r="F49" i="2"/>
  <c r="F41" i="2"/>
  <c r="F33" i="2"/>
  <c r="F26" i="2"/>
  <c r="F21" i="2"/>
  <c r="F18" i="2"/>
  <c r="F14" i="2"/>
  <c r="G14" i="2" s="1"/>
  <c r="F10" i="2"/>
  <c r="F66" i="2"/>
  <c r="F60" i="2"/>
  <c r="F20" i="2"/>
  <c r="F15" i="2"/>
  <c r="F11" i="2"/>
  <c r="F7" i="2"/>
  <c r="F53" i="2"/>
  <c r="F45" i="2"/>
  <c r="F37" i="2"/>
  <c r="F29" i="2"/>
  <c r="F28" i="2"/>
  <c r="F25" i="2"/>
  <c r="F22" i="2"/>
  <c r="F16" i="2"/>
  <c r="C128" i="2"/>
  <c r="G128" i="2" s="1"/>
  <c r="C124" i="2"/>
  <c r="C120" i="2"/>
  <c r="C116" i="2"/>
  <c r="C112" i="2"/>
  <c r="G112" i="2" s="1"/>
  <c r="C108" i="2"/>
  <c r="C104" i="2"/>
  <c r="C100" i="2"/>
  <c r="C130" i="2"/>
  <c r="G130" i="2" s="1"/>
  <c r="C126" i="2"/>
  <c r="C122" i="2"/>
  <c r="C118" i="2"/>
  <c r="C114" i="2"/>
  <c r="G114" i="2" s="1"/>
  <c r="C110" i="2"/>
  <c r="C106" i="2"/>
  <c r="C102" i="2"/>
  <c r="C98" i="2"/>
  <c r="C94" i="2"/>
  <c r="C90" i="2"/>
  <c r="C86" i="2"/>
  <c r="C82" i="2"/>
  <c r="C78" i="2"/>
  <c r="C131" i="2"/>
  <c r="C129" i="2"/>
  <c r="C127" i="2"/>
  <c r="C125" i="2"/>
  <c r="C123" i="2"/>
  <c r="C121" i="2"/>
  <c r="C119" i="2"/>
  <c r="C117" i="2"/>
  <c r="C115" i="2"/>
  <c r="C113" i="2"/>
  <c r="C111" i="2"/>
  <c r="C109" i="2"/>
  <c r="C107" i="2"/>
  <c r="C105" i="2"/>
  <c r="C103" i="2"/>
  <c r="G103" i="2" s="1"/>
  <c r="C101" i="2"/>
  <c r="C99" i="2"/>
  <c r="C93" i="2"/>
  <c r="C85" i="2"/>
  <c r="G85" i="2" s="1"/>
  <c r="C77" i="2"/>
  <c r="C72" i="2"/>
  <c r="C95" i="2"/>
  <c r="G95" i="2" s="1"/>
  <c r="C92" i="2"/>
  <c r="G92" i="2" s="1"/>
  <c r="C87" i="2"/>
  <c r="C84" i="2"/>
  <c r="C79" i="2"/>
  <c r="C76" i="2"/>
  <c r="G76" i="2" s="1"/>
  <c r="C73" i="2"/>
  <c r="C69" i="2"/>
  <c r="C97" i="2"/>
  <c r="C89" i="2"/>
  <c r="C81" i="2"/>
  <c r="C74" i="2"/>
  <c r="C70" i="2"/>
  <c r="C66" i="2"/>
  <c r="G66" i="2" s="1"/>
  <c r="C62" i="2"/>
  <c r="C63" i="2"/>
  <c r="C60" i="2"/>
  <c r="C56" i="2"/>
  <c r="G56" i="2" s="1"/>
  <c r="C52" i="2"/>
  <c r="C48" i="2"/>
  <c r="C44" i="2"/>
  <c r="G44" i="2" s="1"/>
  <c r="C40" i="2"/>
  <c r="G40" i="2" s="1"/>
  <c r="C36" i="2"/>
  <c r="C32" i="2"/>
  <c r="C28" i="2"/>
  <c r="C24" i="2"/>
  <c r="C20" i="2"/>
  <c r="C96" i="2"/>
  <c r="C88" i="2"/>
  <c r="C80" i="2"/>
  <c r="G80" i="2" s="1"/>
  <c r="C71" i="2"/>
  <c r="C65" i="2"/>
  <c r="C57" i="2"/>
  <c r="C53" i="2"/>
  <c r="G53" i="2" s="1"/>
  <c r="C49" i="2"/>
  <c r="C45" i="2"/>
  <c r="C41" i="2"/>
  <c r="C37" i="2"/>
  <c r="G37" i="2" s="1"/>
  <c r="C33" i="2"/>
  <c r="C91" i="2"/>
  <c r="C83" i="2"/>
  <c r="C75" i="2"/>
  <c r="G75" i="2" s="1"/>
  <c r="C68" i="2"/>
  <c r="C67" i="2"/>
  <c r="C61" i="2"/>
  <c r="C59" i="2"/>
  <c r="G59" i="2" s="1"/>
  <c r="C55" i="2"/>
  <c r="C51" i="2"/>
  <c r="C47" i="2"/>
  <c r="C43" i="2"/>
  <c r="G43" i="2" s="1"/>
  <c r="C39" i="2"/>
  <c r="C35" i="2"/>
  <c r="C31" i="2"/>
  <c r="C29" i="2"/>
  <c r="C23" i="2"/>
  <c r="C18" i="2"/>
  <c r="C14" i="2"/>
  <c r="C10" i="2"/>
  <c r="G10" i="2" s="1"/>
  <c r="C17" i="2"/>
  <c r="C6" i="2"/>
  <c r="C54" i="2"/>
  <c r="C46" i="2"/>
  <c r="C38" i="2"/>
  <c r="C30" i="2"/>
  <c r="C25" i="2"/>
  <c r="C22" i="2"/>
  <c r="G22" i="2" s="1"/>
  <c r="C15" i="2"/>
  <c r="C11" i="2"/>
  <c r="C7" i="2"/>
  <c r="C64" i="2"/>
  <c r="G64" i="2" s="1"/>
  <c r="C27" i="2"/>
  <c r="C19" i="2"/>
  <c r="C16" i="2"/>
  <c r="C12" i="2"/>
  <c r="C8" i="2"/>
  <c r="C58" i="2"/>
  <c r="C50" i="2"/>
  <c r="C42" i="2"/>
  <c r="C34" i="2"/>
  <c r="G34" i="2" s="1"/>
  <c r="C26" i="2"/>
  <c r="C21" i="2"/>
  <c r="C13" i="2"/>
  <c r="C9" i="2"/>
  <c r="G52" i="2"/>
  <c r="G111" i="2"/>
  <c r="D129" i="2"/>
  <c r="D125" i="2"/>
  <c r="D121" i="2"/>
  <c r="D117" i="2"/>
  <c r="D113" i="2"/>
  <c r="D109" i="2"/>
  <c r="D105" i="2"/>
  <c r="D101" i="2"/>
  <c r="D131" i="2"/>
  <c r="D127" i="2"/>
  <c r="D123" i="2"/>
  <c r="G123" i="2" s="1"/>
  <c r="D119" i="2"/>
  <c r="D115" i="2"/>
  <c r="D111" i="2"/>
  <c r="D107" i="2"/>
  <c r="G107" i="2" s="1"/>
  <c r="D103" i="2"/>
  <c r="D99" i="2"/>
  <c r="D95" i="2"/>
  <c r="D91" i="2"/>
  <c r="D87" i="2"/>
  <c r="D83" i="2"/>
  <c r="D79" i="2"/>
  <c r="D75" i="2"/>
  <c r="D98" i="2"/>
  <c r="D92" i="2"/>
  <c r="D90" i="2"/>
  <c r="D84" i="2"/>
  <c r="G84" i="2" s="1"/>
  <c r="D82" i="2"/>
  <c r="D76" i="2"/>
  <c r="D73" i="2"/>
  <c r="D97" i="2"/>
  <c r="D89" i="2"/>
  <c r="D81" i="2"/>
  <c r="D74" i="2"/>
  <c r="D70" i="2"/>
  <c r="D66" i="2"/>
  <c r="D96" i="2"/>
  <c r="D94" i="2"/>
  <c r="D88" i="2"/>
  <c r="D86" i="2"/>
  <c r="G86" i="2" s="1"/>
  <c r="D80" i="2"/>
  <c r="D78" i="2"/>
  <c r="D71" i="2"/>
  <c r="D67" i="2"/>
  <c r="D63" i="2"/>
  <c r="D65" i="2"/>
  <c r="D57" i="2"/>
  <c r="D53" i="2"/>
  <c r="D49" i="2"/>
  <c r="D45" i="2"/>
  <c r="G45" i="2" s="1"/>
  <c r="D41" i="2"/>
  <c r="D37" i="2"/>
  <c r="D33" i="2"/>
  <c r="D29" i="2"/>
  <c r="D25" i="2"/>
  <c r="G25" i="2" s="1"/>
  <c r="D21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64" i="2"/>
  <c r="D62" i="2"/>
  <c r="D58" i="2"/>
  <c r="G58" i="2" s="1"/>
  <c r="D54" i="2"/>
  <c r="G54" i="2" s="1"/>
  <c r="D50" i="2"/>
  <c r="D46" i="2"/>
  <c r="D42" i="2"/>
  <c r="D38" i="2"/>
  <c r="D34" i="2"/>
  <c r="D30" i="2"/>
  <c r="D93" i="2"/>
  <c r="G93" i="2" s="1"/>
  <c r="D85" i="2"/>
  <c r="D77" i="2"/>
  <c r="D69" i="2"/>
  <c r="D60" i="2"/>
  <c r="D56" i="2"/>
  <c r="D52" i="2"/>
  <c r="D48" i="2"/>
  <c r="D44" i="2"/>
  <c r="D40" i="2"/>
  <c r="D36" i="2"/>
  <c r="D32" i="2"/>
  <c r="G32" i="2" s="1"/>
  <c r="D28" i="2"/>
  <c r="D72" i="2"/>
  <c r="G72" i="2" s="1"/>
  <c r="D61" i="2"/>
  <c r="D59" i="2"/>
  <c r="D51" i="2"/>
  <c r="D43" i="2"/>
  <c r="D35" i="2"/>
  <c r="D22" i="2"/>
  <c r="D20" i="2"/>
  <c r="D15" i="2"/>
  <c r="D11" i="2"/>
  <c r="D7" i="2"/>
  <c r="D23" i="2"/>
  <c r="D18" i="2"/>
  <c r="D14" i="2"/>
  <c r="D27" i="2"/>
  <c r="D19" i="2"/>
  <c r="D16" i="2"/>
  <c r="G16" i="2" s="1"/>
  <c r="D12" i="2"/>
  <c r="D8" i="2"/>
  <c r="D68" i="2"/>
  <c r="D55" i="2"/>
  <c r="D47" i="2"/>
  <c r="D39" i="2"/>
  <c r="D31" i="2"/>
  <c r="G31" i="2" s="1"/>
  <c r="D26" i="2"/>
  <c r="G26" i="2" s="1"/>
  <c r="D24" i="2"/>
  <c r="D17" i="2"/>
  <c r="D13" i="2"/>
  <c r="D9" i="2"/>
  <c r="D6" i="2"/>
  <c r="D10" i="2"/>
  <c r="G24" i="2"/>
  <c r="G6" i="2"/>
  <c r="G27" i="2"/>
  <c r="G91" i="2"/>
  <c r="G99" i="2"/>
  <c r="G115" i="2"/>
  <c r="B2" i="6"/>
  <c r="D1" i="2" l="1"/>
  <c r="E1" i="2"/>
  <c r="L2" i="2"/>
  <c r="L3" i="2"/>
  <c r="D2" i="2"/>
  <c r="D3" i="2"/>
  <c r="G2" i="2"/>
  <c r="H2" i="2" s="1"/>
  <c r="D10" i="6" s="1"/>
  <c r="G3" i="2"/>
  <c r="H3" i="2" s="1"/>
  <c r="F10" i="6" s="1"/>
  <c r="C2" i="2"/>
  <c r="C3" i="2"/>
  <c r="C1" i="2"/>
  <c r="F3" i="2"/>
  <c r="F2" i="2"/>
  <c r="F1" i="2"/>
  <c r="E3" i="2"/>
  <c r="E2" i="2"/>
  <c r="G51" i="2"/>
  <c r="G102" i="2"/>
  <c r="G110" i="2"/>
  <c r="G41" i="2"/>
  <c r="G88" i="2"/>
  <c r="G97" i="2"/>
  <c r="G74" i="2"/>
  <c r="G129" i="2"/>
  <c r="G12" i="2"/>
  <c r="G46" i="2"/>
  <c r="G127" i="2"/>
  <c r="G82" i="2"/>
  <c r="G13" i="2"/>
  <c r="G104" i="2"/>
  <c r="G65" i="2"/>
  <c r="G21" i="2"/>
  <c r="G50" i="2"/>
  <c r="G7" i="2"/>
  <c r="G83" i="2"/>
  <c r="G28" i="2"/>
  <c r="G60" i="2"/>
  <c r="G70" i="2"/>
  <c r="G105" i="2"/>
  <c r="G113" i="2"/>
  <c r="G121" i="2"/>
  <c r="G118" i="2"/>
  <c r="G100" i="2"/>
  <c r="G19" i="2"/>
  <c r="G11" i="2"/>
  <c r="G30" i="2"/>
  <c r="G18" i="2"/>
  <c r="G69" i="2"/>
  <c r="G90" i="2"/>
  <c r="G55" i="2"/>
  <c r="G116" i="2"/>
  <c r="G67" i="2"/>
  <c r="G89" i="2"/>
  <c r="G98" i="2"/>
  <c r="G119" i="2"/>
  <c r="G9" i="2"/>
  <c r="G8" i="2"/>
  <c r="G15" i="2"/>
  <c r="G38" i="2"/>
  <c r="G17" i="2"/>
  <c r="G23" i="2"/>
  <c r="G39" i="2"/>
  <c r="G68" i="2"/>
  <c r="G33" i="2"/>
  <c r="G49" i="2"/>
  <c r="G71" i="2"/>
  <c r="G20" i="2"/>
  <c r="G36" i="2"/>
  <c r="G62" i="2"/>
  <c r="G81" i="2"/>
  <c r="G73" i="2"/>
  <c r="G87" i="2"/>
  <c r="G77" i="2"/>
  <c r="G101" i="2"/>
  <c r="G109" i="2"/>
  <c r="G117" i="2"/>
  <c r="G125" i="2"/>
  <c r="G78" i="2"/>
  <c r="G94" i="2"/>
  <c r="G126" i="2"/>
  <c r="G108" i="2"/>
  <c r="G124" i="2"/>
  <c r="G57" i="2"/>
  <c r="G106" i="2"/>
  <c r="G122" i="2"/>
  <c r="G96" i="2"/>
  <c r="G29" i="2"/>
  <c r="G63" i="2"/>
  <c r="G35" i="2"/>
  <c r="G42" i="2"/>
  <c r="G79" i="2"/>
  <c r="G131" i="2"/>
  <c r="D6" i="6" s="1"/>
  <c r="B10" i="6" s="1"/>
  <c r="M3" i="2" l="1"/>
  <c r="J6" i="6" s="1"/>
  <c r="O3" i="2"/>
  <c r="K10" i="6" s="1"/>
  <c r="N3" i="2"/>
  <c r="J10" i="6" s="1"/>
  <c r="H10" i="6"/>
  <c r="M10" i="6"/>
  <c r="O2" i="2"/>
  <c r="P10" i="6" s="1"/>
  <c r="N2" i="2"/>
  <c r="N10" i="6" s="1"/>
  <c r="M2" i="2"/>
  <c r="N6" i="6" s="1"/>
</calcChain>
</file>

<file path=xl/sharedStrings.xml><?xml version="1.0" encoding="utf-8"?>
<sst xmlns="http://schemas.openxmlformats.org/spreadsheetml/2006/main" count="80" uniqueCount="65">
  <si>
    <t>date</t>
  </si>
  <si>
    <t>symbol</t>
  </si>
  <si>
    <t>name</t>
  </si>
  <si>
    <t>isEnabled</t>
  </si>
  <si>
    <t>type</t>
  </si>
  <si>
    <t>iexId</t>
  </si>
  <si>
    <t>GE</t>
  </si>
  <si>
    <t>GS</t>
  </si>
  <si>
    <t>MSFT</t>
  </si>
  <si>
    <t>PFE</t>
  </si>
  <si>
    <t>XOM</t>
  </si>
  <si>
    <t>AssetCode</t>
  </si>
  <si>
    <t>Fraction</t>
  </si>
  <si>
    <t>Date</t>
  </si>
  <si>
    <t>Wouter Mertens</t>
  </si>
  <si>
    <t>Overall performance</t>
  </si>
  <si>
    <t>Yield</t>
  </si>
  <si>
    <t>Worst Value Date</t>
  </si>
  <si>
    <t>Best Value Date</t>
  </si>
  <si>
    <t>Aandeel 1</t>
  </si>
  <si>
    <t>Aandeel 2</t>
  </si>
  <si>
    <t>Best performing Asset</t>
  </si>
  <si>
    <t>Last Value</t>
  </si>
  <si>
    <t>Value</t>
  </si>
  <si>
    <t>Worst performing Asset</t>
  </si>
  <si>
    <t>Name</t>
  </si>
  <si>
    <t>Lowest Value</t>
  </si>
  <si>
    <t>Highest Value</t>
  </si>
  <si>
    <t>Portfolio selectie</t>
  </si>
  <si>
    <t>nr</t>
  </si>
  <si>
    <t>Aandeel</t>
  </si>
  <si>
    <t>Percentage</t>
  </si>
  <si>
    <t>Code</t>
  </si>
  <si>
    <t>Correlatie</t>
  </si>
  <si>
    <t>Correlaties</t>
  </si>
  <si>
    <t>uClose</t>
  </si>
  <si>
    <t xml:space="preserve">Ticker </t>
  </si>
  <si>
    <t>Current Value</t>
  </si>
  <si>
    <t>Volume</t>
  </si>
  <si>
    <t>Value Total</t>
  </si>
  <si>
    <t>Yield over time</t>
  </si>
  <si>
    <t>min</t>
  </si>
  <si>
    <t>max</t>
  </si>
  <si>
    <t>Total Yield (6m)</t>
  </si>
  <si>
    <t>Yearly Yield</t>
  </si>
  <si>
    <t>Min</t>
  </si>
  <si>
    <t>Max</t>
  </si>
  <si>
    <t>Laagste</t>
  </si>
  <si>
    <t>Hoogste</t>
  </si>
  <si>
    <t>Asset</t>
  </si>
  <si>
    <t>Assets Prices</t>
  </si>
  <si>
    <t>Start Value</t>
  </si>
  <si>
    <t>Explanation</t>
  </si>
  <si>
    <t>Change</t>
  </si>
  <si>
    <t>Description Sheet</t>
  </si>
  <si>
    <t>20200820 API getting shares</t>
  </si>
  <si>
    <t>Made on</t>
  </si>
  <si>
    <t>Made By</t>
  </si>
  <si>
    <t>Function</t>
  </si>
  <si>
    <t>Innovation Manager</t>
  </si>
  <si>
    <t>Data from</t>
  </si>
  <si>
    <t>Data is retrieved from IEX.cloud via a client side API. The macro's retriebve the data necessary.</t>
  </si>
  <si>
    <t>The sheet is used for a workshop explaining how client side API's work and how they can be used in Excel VBA. The workbook has the following sheets:
- Portfolio Sheet (has the dashboard)
- JSON Parsre (converts a JSON into a table)
- Assets (are all the assets selected from the dashboard and their prices)
- All Stock (contains all stock that is available from IEX cloud)
- Analysed Stock (contains the calculated values from the Assets)</t>
  </si>
  <si>
    <t>Insert json string</t>
  </si>
  <si>
    <t>Table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</si>
</sst>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\ * #,##0.00_);_(&quot;€&quot;\ * \(#,##0.00\);_(&quot;€&quot;\ * &quot;-&quot;??_);_(@_)"/>
    <numFmt numFmtId="165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Tahoma"/>
      <family val="2"/>
    </font>
    <font>
      <b/>
      <sz val="16"/>
      <color theme="0"/>
      <name val="Tahoma"/>
      <family val="2"/>
    </font>
    <font>
      <sz val="11"/>
      <color theme="0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sz val="24"/>
      <color theme="0"/>
      <name val="Tahoma"/>
      <family val="2"/>
    </font>
    <font>
      <sz val="30"/>
      <color theme="0"/>
      <name val="Tahoma"/>
      <family val="2"/>
    </font>
    <font>
      <sz val="10"/>
      <color theme="0"/>
      <name val="Tahoma"/>
      <family val="2"/>
    </font>
    <font>
      <sz val="13"/>
      <color theme="0"/>
      <name val="Tahoma"/>
      <family val="2"/>
    </font>
    <font>
      <b/>
      <sz val="11"/>
      <color theme="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8"/>
      <name val="Calibri"/>
      <family val="2"/>
      <scheme val="minor"/>
    </font>
    <font>
      <b/>
      <sz val="13"/>
      <color theme="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53534D"/>
        <bgColor indexed="64"/>
      </patternFill>
    </fill>
    <fill>
      <patternFill patternType="solid">
        <fgColor rgb="FFE127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E1271C"/>
      </bottom>
      <diagonal/>
    </border>
    <border>
      <left/>
      <right/>
      <top style="thin">
        <color rgb="FFE1271C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/>
  </cellStyleXfs>
  <cellXfs count="74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Alignment="1">
      <alignment vertical="center"/>
    </xf>
    <xf numFmtId="0" fontId="6" fillId="3" borderId="3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9" fillId="0" borderId="0" xfId="2" applyFont="1" applyAlignment="1">
      <alignment horizontal="center"/>
    </xf>
    <xf numFmtId="164" fontId="9" fillId="0" borderId="0" xfId="2" applyNumberFormat="1" applyFont="1" applyAlignment="1">
      <alignment horizontal="center" wrapText="1"/>
    </xf>
    <xf numFmtId="0" fontId="7" fillId="0" borderId="0" xfId="2"/>
    <xf numFmtId="164" fontId="7" fillId="0" borderId="0" xfId="2" applyNumberFormat="1"/>
    <xf numFmtId="0" fontId="5" fillId="2" borderId="0" xfId="0" applyFont="1" applyFill="1" applyAlignment="1">
      <alignment horizontal="left" vertical="top"/>
    </xf>
    <xf numFmtId="0" fontId="5" fillId="4" borderId="0" xfId="0" applyFont="1" applyFill="1"/>
    <xf numFmtId="0" fontId="0" fillId="5" borderId="0" xfId="0" applyFill="1"/>
    <xf numFmtId="0" fontId="7" fillId="0" borderId="0" xfId="0" applyFont="1"/>
    <xf numFmtId="0" fontId="12" fillId="3" borderId="0" xfId="0" applyFont="1" applyFill="1"/>
    <xf numFmtId="0" fontId="16" fillId="3" borderId="0" xfId="0" applyFont="1" applyFill="1" applyAlignment="1">
      <alignment horizontal="center"/>
    </xf>
    <xf numFmtId="1" fontId="15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0" fontId="19" fillId="3" borderId="0" xfId="0" applyFont="1" applyFill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0" fontId="21" fillId="0" borderId="12" xfId="0" applyFont="1" applyBorder="1"/>
    <xf numFmtId="0" fontId="21" fillId="0" borderId="12" xfId="0" applyFont="1" applyBorder="1" applyAlignment="1">
      <alignment horizontal="right"/>
    </xf>
    <xf numFmtId="0" fontId="12" fillId="0" borderId="0" xfId="0" applyFont="1"/>
    <xf numFmtId="14" fontId="7" fillId="0" borderId="0" xfId="0" applyNumberFormat="1" applyFont="1"/>
    <xf numFmtId="0" fontId="21" fillId="0" borderId="12" xfId="0" applyFont="1" applyBorder="1" applyAlignment="1">
      <alignment horizontal="left"/>
    </xf>
    <xf numFmtId="9" fontId="21" fillId="0" borderId="0" xfId="0" applyNumberFormat="1" applyFont="1"/>
    <xf numFmtId="15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2" fontId="7" fillId="0" borderId="0" xfId="0" applyNumberFormat="1" applyFont="1" applyAlignment="1">
      <alignment horizontal="right"/>
    </xf>
    <xf numFmtId="14" fontId="18" fillId="3" borderId="0" xfId="0" applyNumberFormat="1" applyFont="1" applyFill="1" applyAlignment="1">
      <alignment horizontal="center"/>
    </xf>
    <xf numFmtId="2" fontId="7" fillId="0" borderId="0" xfId="0" applyNumberFormat="1" applyFont="1"/>
    <xf numFmtId="0" fontId="21" fillId="0" borderId="0" xfId="0" applyFont="1" applyFill="1" applyBorder="1" applyAlignment="1">
      <alignment horizontal="right"/>
    </xf>
    <xf numFmtId="10" fontId="21" fillId="0" borderId="0" xfId="1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165" fontId="0" fillId="0" borderId="0" xfId="0" applyNumberFormat="1"/>
    <xf numFmtId="3" fontId="21" fillId="0" borderId="0" xfId="0" applyNumberFormat="1" applyFont="1" applyAlignment="1">
      <alignment horizontal="right"/>
    </xf>
    <xf numFmtId="0" fontId="8" fillId="0" borderId="10" xfId="2" applyFont="1" applyBorder="1" applyAlignment="1">
      <alignment wrapText="1"/>
    </xf>
    <xf numFmtId="0" fontId="8" fillId="0" borderId="10" xfId="0" applyFont="1" applyBorder="1"/>
    <xf numFmtId="0" fontId="8" fillId="0" borderId="11" xfId="0" applyFont="1" applyBorder="1"/>
    <xf numFmtId="0" fontId="10" fillId="0" borderId="0" xfId="2" applyFont="1" applyAlignment="1">
      <alignment horizontal="left" vertical="top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8" fillId="0" borderId="4" xfId="2" applyFont="1" applyBorder="1"/>
    <xf numFmtId="0" fontId="8" fillId="0" borderId="5" xfId="2" applyFont="1" applyBorder="1"/>
    <xf numFmtId="14" fontId="8" fillId="0" borderId="7" xfId="2" quotePrefix="1" applyNumberFormat="1" applyFont="1" applyBorder="1" applyAlignment="1">
      <alignment horizontal="left"/>
    </xf>
    <xf numFmtId="0" fontId="8" fillId="0" borderId="7" xfId="2" applyFont="1" applyBorder="1" applyAlignment="1">
      <alignment horizontal="left"/>
    </xf>
    <xf numFmtId="0" fontId="8" fillId="0" borderId="8" xfId="2" applyFont="1" applyBorder="1" applyAlignment="1">
      <alignment horizontal="left"/>
    </xf>
    <xf numFmtId="0" fontId="8" fillId="0" borderId="7" xfId="2" applyFont="1" applyBorder="1"/>
    <xf numFmtId="0" fontId="8" fillId="0" borderId="8" xfId="2" applyFont="1" applyBorder="1"/>
    <xf numFmtId="0" fontId="5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1" fillId="2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center" vertical="center"/>
    </xf>
    <xf numFmtId="3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9" fillId="3" borderId="0" xfId="0" applyFont="1" applyFill="1" applyAlignment="1">
      <alignment horizontal="left"/>
    </xf>
    <xf numFmtId="9" fontId="18" fillId="3" borderId="0" xfId="1" applyFont="1" applyFill="1" applyAlignment="1">
      <alignment horizontal="center"/>
    </xf>
    <xf numFmtId="0" fontId="23" fillId="2" borderId="0" xfId="0" applyFont="1" applyFill="1" applyAlignment="1">
      <alignment horizontal="left" vertical="center"/>
    </xf>
    <xf numFmtId="9" fontId="15" fillId="3" borderId="0" xfId="1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center"/>
    </xf>
    <xf numFmtId="14" fontId="21" fillId="0" borderId="13" xfId="0" applyNumberFormat="1" applyFont="1" applyBorder="1" applyAlignment="1">
      <alignment horizontal="left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/>
    </xf>
  </cellXfs>
  <cellStyles count="3">
    <cellStyle name="Procent" xfId="1" builtinId="5"/>
    <cellStyle name="Standaard" xfId="0" builtinId="0"/>
    <cellStyle name="Standaard 2" xfId="2" xr:uid="{5709BE3A-1898-4F20-98C8-19F1B46DCE87}"/>
  </cellStyles>
  <dxfs count="2"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1271C"/>
      <color rgb="FF5353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3230850339932"/>
          <c:y val="4.3165467625899283E-2"/>
          <c:w val="0.83597168345129191"/>
          <c:h val="0.73427670462055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3534D"/>
              </a:solidFill>
              <a:ln w="9525">
                <a:solidFill>
                  <a:srgbClr val="53534D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53534D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'Analysed stock'!$A$6:$A$131</c:f>
              <c:numCache>
                <c:formatCode>m/d/yyyy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xVal>
          <c:yVal>
            <c:numRef>
              <c:f>'Analysed stock'!$G$6:$G$131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A-482C-BD54-F4120FDC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66648"/>
        <c:axId val="895965336"/>
      </c:scatterChart>
      <c:valAx>
        <c:axId val="895966648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13]m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5336"/>
        <c:crosses val="autoZero"/>
        <c:crossBetween val="midCat"/>
      </c:valAx>
      <c:valAx>
        <c:axId val="89596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Yield</a:t>
                </a:r>
                <a:r>
                  <a:rPr lang="nl-NL" baseline="0"/>
                  <a:t> (%)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Portfolio!$K$15</c:f>
              <c:strCache>
                <c:ptCount val="1"/>
                <c:pt idx="0">
                  <c:v>Start Value</c:v>
                </c:pt>
              </c:strCache>
            </c:strRef>
          </c:tx>
          <c:spPr>
            <a:solidFill>
              <a:srgbClr val="53534D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Portfolio!$K$16:$K$20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4-4414-A5A7-33223EF74F82}"/>
            </c:ext>
          </c:extLst>
        </c:ser>
        <c:ser>
          <c:idx val="1"/>
          <c:order val="1"/>
          <c:tx>
            <c:strRef>
              <c:f>Portfolio!$L$15</c:f>
              <c:strCache>
                <c:ptCount val="1"/>
                <c:pt idx="0">
                  <c:v>Last Value</c:v>
                </c:pt>
              </c:strCache>
            </c:strRef>
          </c:tx>
          <c:spPr>
            <a:solidFill>
              <a:srgbClr val="E1271C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MSFT</c:v>
                </c:pt>
                <c:pt idx="2">
                  <c:v>GS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Portfolio!$L$16:$L$20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4-4414-A5A7-33223EF7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78840"/>
        <c:axId val="573170312"/>
      </c:barChart>
      <c:catAx>
        <c:axId val="57317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0312"/>
        <c:crosses val="autoZero"/>
        <c:auto val="1"/>
        <c:lblAlgn val="ctr"/>
        <c:lblOffset val="100"/>
        <c:noMultiLvlLbl val="0"/>
      </c:catAx>
      <c:valAx>
        <c:axId val="5731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95249</xdr:colOff>
      <xdr:row>12</xdr:row>
      <xdr:rowOff>95249</xdr:rowOff>
    </xdr:from>
    <xdr:to>
      <xdr:col>5</xdr:col>
      <xdr:colOff>520195</xdr:colOff>
      <xdr:row>16</xdr:row>
      <xdr:rowOff>353277</xdr:rowOff>
    </xdr:to>
    <xdr:pic>
      <xdr:nvPicPr>
        <xdr:cNvPr id="2" name="Afbeelding 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3999" y="2867024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27</xdr:row>
          <xdr:rowOff>66675</xdr:rowOff>
        </xdr:from>
        <xdr:to>
          <xdr:col>5</xdr:col>
          <xdr:colOff>1323975</xdr:colOff>
          <xdr:row>28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1104900</xdr:colOff>
          <xdr:row>1</xdr:row>
          <xdr:rowOff>9525</xdr:rowOff>
        </xdr:from>
        <xdr:to>
          <xdr:col>15</xdr:col>
          <xdr:colOff>1333500</xdr:colOff>
          <xdr:row>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Assets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285749</xdr:colOff>
      <xdr:row>13</xdr:row>
      <xdr:rowOff>9525</xdr:rowOff>
    </xdr:from>
    <xdr:to>
      <xdr:col>8</xdr:col>
      <xdr:colOff>0</xdr:colOff>
      <xdr:row>26</xdr:row>
      <xdr:rowOff>180975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138111</xdr:colOff>
      <xdr:row>13</xdr:row>
      <xdr:rowOff>4761</xdr:rowOff>
    </xdr:from>
    <xdr:to>
      <xdr:col>15</xdr:col>
      <xdr:colOff>1333500</xdr:colOff>
      <xdr:row>26</xdr:row>
      <xdr:rowOff>180974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47625</xdr:rowOff>
        </xdr:from>
        <xdr:to>
          <xdr:col>15</xdr:col>
          <xdr:colOff>1295400</xdr:colOff>
          <xdr:row>28</xdr:row>
          <xdr:rowOff>171450</xdr:rowOff>
        </xdr:to>
        <xdr:sp macro="" textlink="">
          <xdr:nvSpPr>
            <xdr:cNvPr id="2056" name="startTick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123265</xdr:colOff>
      <xdr:row>1</xdr:row>
      <xdr:rowOff>123265</xdr:rowOff>
    </xdr:from>
    <xdr:to>
      <xdr:col>18</xdr:col>
      <xdr:colOff>557176</xdr:colOff>
      <xdr:row>5</xdr:row>
      <xdr:rowOff>280440</xdr:rowOff>
    </xdr:to>
    <xdr:pic>
      <xdr:nvPicPr>
        <xdr:cNvPr id="12" name="Afbeelding 1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0265" y="313765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114300</xdr:rowOff>
        </xdr:from>
        <xdr:to>
          <xdr:col>11</xdr:col>
          <xdr:colOff>457200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JSON to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6948-085A-427E-8E29-712178FBC16B}">
  <sheetPr codeName="Blad5"/>
  <dimension ref="A2:O130"/>
  <sheetViews>
    <sheetView showGridLines="0" showRowColHeaders="0" tabSelected="1" workbookViewId="0">
      <selection activeCell="I23" sqref="I23"/>
    </sheetView>
  </sheetViews>
  <sheetFormatPr defaultRowHeight="15" x14ac:dyDescent="0.25"/>
  <cols>
    <col min="1" max="1" width="4.85546875" customWidth="1"/>
    <col min="2" max="2" width="64.5703125" customWidth="1"/>
  </cols>
  <sheetData>
    <row r="2" spans="1:15" ht="18.75" x14ac:dyDescent="0.25">
      <c r="B2" s="4" t="s">
        <v>52</v>
      </c>
    </row>
    <row r="3" spans="1:15" ht="15.75" thickBot="1" x14ac:dyDescent="0.3"/>
    <row r="4" spans="1:15" ht="18.75" thickBot="1" x14ac:dyDescent="0.3">
      <c r="B4" s="47" t="s">
        <v>54</v>
      </c>
      <c r="C4" s="48"/>
      <c r="D4" s="48"/>
      <c r="E4" s="48"/>
      <c r="F4" s="48"/>
    </row>
    <row r="5" spans="1:15" x14ac:dyDescent="0.25">
      <c r="B5" s="5" t="s">
        <v>25</v>
      </c>
      <c r="C5" s="49" t="s">
        <v>55</v>
      </c>
      <c r="D5" s="49"/>
      <c r="E5" s="49"/>
      <c r="F5" s="50"/>
    </row>
    <row r="6" spans="1:15" x14ac:dyDescent="0.25">
      <c r="B6" s="6" t="s">
        <v>56</v>
      </c>
      <c r="C6" s="51">
        <v>44063</v>
      </c>
      <c r="D6" s="52"/>
      <c r="E6" s="52"/>
      <c r="F6" s="53"/>
    </row>
    <row r="7" spans="1:15" x14ac:dyDescent="0.25">
      <c r="B7" s="6" t="s">
        <v>57</v>
      </c>
      <c r="C7" s="54" t="s">
        <v>14</v>
      </c>
      <c r="D7" s="54"/>
      <c r="E7" s="54"/>
      <c r="F7" s="55"/>
    </row>
    <row r="8" spans="1:15" x14ac:dyDescent="0.25">
      <c r="B8" s="6" t="s">
        <v>58</v>
      </c>
      <c r="C8" s="54" t="s">
        <v>59</v>
      </c>
      <c r="D8" s="54"/>
      <c r="E8" s="54"/>
      <c r="F8" s="55"/>
    </row>
    <row r="9" spans="1:15" ht="42" customHeight="1" thickBot="1" x14ac:dyDescent="0.3">
      <c r="A9" s="1"/>
      <c r="B9" s="7" t="s">
        <v>60</v>
      </c>
      <c r="C9" s="43" t="s">
        <v>61</v>
      </c>
      <c r="D9" s="44"/>
      <c r="E9" s="44"/>
      <c r="F9" s="45"/>
      <c r="O9" s="32"/>
    </row>
    <row r="10" spans="1:15" x14ac:dyDescent="0.25">
      <c r="A10" s="1"/>
      <c r="B10" s="8"/>
      <c r="C10" s="9"/>
      <c r="D10" s="9"/>
      <c r="E10" s="9"/>
      <c r="F10" s="9"/>
      <c r="O10" s="32"/>
    </row>
    <row r="11" spans="1:15" x14ac:dyDescent="0.25">
      <c r="A11" s="1"/>
      <c r="B11" s="10"/>
      <c r="C11" s="10"/>
      <c r="D11" s="11"/>
      <c r="E11" s="10"/>
      <c r="O11" s="32"/>
    </row>
    <row r="12" spans="1:15" ht="18" x14ac:dyDescent="0.25">
      <c r="A12" s="1"/>
      <c r="B12" s="12"/>
      <c r="C12" s="12"/>
      <c r="D12" s="12"/>
      <c r="E12" s="12"/>
      <c r="F12" s="12"/>
      <c r="G12" s="13"/>
      <c r="O12" s="32"/>
    </row>
    <row r="13" spans="1:15" x14ac:dyDescent="0.25">
      <c r="A13" s="1"/>
      <c r="B13" s="46" t="s">
        <v>62</v>
      </c>
      <c r="O13" s="32"/>
    </row>
    <row r="14" spans="1:15" x14ac:dyDescent="0.25">
      <c r="A14" s="1"/>
      <c r="B14" s="46"/>
      <c r="C14" s="14"/>
      <c r="O14" s="32"/>
    </row>
    <row r="15" spans="1:15" x14ac:dyDescent="0.25">
      <c r="A15" s="1"/>
      <c r="B15" s="46"/>
      <c r="C15" s="14"/>
      <c r="O15" s="32"/>
    </row>
    <row r="16" spans="1:15" x14ac:dyDescent="0.25">
      <c r="A16" s="1"/>
      <c r="B16" s="46"/>
      <c r="C16" s="14"/>
      <c r="O16" s="32"/>
    </row>
    <row r="17" spans="1:15" ht="75.75" customHeight="1" x14ac:dyDescent="0.25">
      <c r="A17" s="1"/>
      <c r="B17" s="46"/>
      <c r="O17" s="32"/>
    </row>
    <row r="18" spans="1:15" x14ac:dyDescent="0.25">
      <c r="A18" s="1"/>
      <c r="B18" s="3"/>
      <c r="O18" s="32"/>
    </row>
    <row r="19" spans="1:15" x14ac:dyDescent="0.25">
      <c r="A19" s="1"/>
      <c r="O19" s="32"/>
    </row>
    <row r="20" spans="1:15" x14ac:dyDescent="0.25">
      <c r="A20" s="1"/>
      <c r="O20" s="32"/>
    </row>
    <row r="21" spans="1:15" x14ac:dyDescent="0.25">
      <c r="A21" s="1"/>
      <c r="O21" s="32"/>
    </row>
    <row r="22" spans="1:15" x14ac:dyDescent="0.25">
      <c r="A22" s="1"/>
      <c r="O22" s="32"/>
    </row>
    <row r="23" spans="1:15" x14ac:dyDescent="0.25">
      <c r="A23" s="1"/>
      <c r="O23" s="32"/>
    </row>
    <row r="24" spans="1:15" x14ac:dyDescent="0.25">
      <c r="A24" s="1"/>
      <c r="O24" s="32"/>
    </row>
    <row r="25" spans="1:15" x14ac:dyDescent="0.25">
      <c r="A25" s="1"/>
      <c r="O25" s="32"/>
    </row>
    <row r="26" spans="1:15" x14ac:dyDescent="0.25">
      <c r="A26" s="1"/>
      <c r="O26" s="32"/>
    </row>
    <row r="27" spans="1:15" x14ac:dyDescent="0.25">
      <c r="A27" s="1"/>
      <c r="O27" s="32"/>
    </row>
    <row r="28" spans="1:15" x14ac:dyDescent="0.25">
      <c r="A28" s="1"/>
      <c r="O28" s="32"/>
    </row>
    <row r="29" spans="1:15" x14ac:dyDescent="0.25">
      <c r="A29" s="1"/>
      <c r="O29" s="32"/>
    </row>
    <row r="30" spans="1:15" x14ac:dyDescent="0.25">
      <c r="A30" s="1"/>
      <c r="O30" s="32"/>
    </row>
    <row r="31" spans="1:15" x14ac:dyDescent="0.25">
      <c r="A31" s="1"/>
      <c r="O31" s="32"/>
    </row>
    <row r="32" spans="1:15" x14ac:dyDescent="0.25">
      <c r="A32" s="1"/>
      <c r="O32" s="32"/>
    </row>
    <row r="33" spans="1:15" x14ac:dyDescent="0.25">
      <c r="A33" s="1"/>
      <c r="O33" s="32"/>
    </row>
    <row r="34" spans="1:15" x14ac:dyDescent="0.25">
      <c r="A34" s="1"/>
      <c r="O34" s="32"/>
    </row>
    <row r="35" spans="1:15" x14ac:dyDescent="0.25">
      <c r="A35" s="1"/>
      <c r="O35" s="32"/>
    </row>
    <row r="36" spans="1:15" x14ac:dyDescent="0.25">
      <c r="A36" s="1"/>
      <c r="O36" s="32"/>
    </row>
    <row r="37" spans="1:15" x14ac:dyDescent="0.25">
      <c r="A37" s="1"/>
      <c r="O37" s="32"/>
    </row>
    <row r="38" spans="1:15" x14ac:dyDescent="0.25">
      <c r="A38" s="1"/>
      <c r="O38" s="32"/>
    </row>
    <row r="39" spans="1:15" x14ac:dyDescent="0.25">
      <c r="A39" s="1"/>
      <c r="O39" s="32"/>
    </row>
    <row r="40" spans="1:15" x14ac:dyDescent="0.25">
      <c r="A40" s="1"/>
      <c r="O40" s="32"/>
    </row>
    <row r="41" spans="1:15" x14ac:dyDescent="0.25">
      <c r="A41" s="1"/>
      <c r="O41" s="32"/>
    </row>
    <row r="42" spans="1:15" x14ac:dyDescent="0.25">
      <c r="A42" s="1"/>
      <c r="O42" s="32"/>
    </row>
    <row r="43" spans="1:15" x14ac:dyDescent="0.25">
      <c r="A43" s="1"/>
      <c r="O43" s="32"/>
    </row>
    <row r="44" spans="1:15" x14ac:dyDescent="0.25">
      <c r="A44" s="1"/>
      <c r="O44" s="32"/>
    </row>
    <row r="45" spans="1:15" x14ac:dyDescent="0.25">
      <c r="A45" s="1"/>
      <c r="O45" s="32"/>
    </row>
    <row r="46" spans="1:15" x14ac:dyDescent="0.25">
      <c r="A46" s="1"/>
      <c r="O46" s="32"/>
    </row>
    <row r="47" spans="1:15" x14ac:dyDescent="0.25">
      <c r="A47" s="1"/>
      <c r="O47" s="32"/>
    </row>
    <row r="48" spans="1:15" x14ac:dyDescent="0.25">
      <c r="A48" s="1"/>
      <c r="O48" s="32"/>
    </row>
    <row r="49" spans="1:15" x14ac:dyDescent="0.25">
      <c r="A49" s="1"/>
      <c r="O49" s="32"/>
    </row>
    <row r="50" spans="1:15" x14ac:dyDescent="0.25">
      <c r="A50" s="1"/>
      <c r="O50" s="32"/>
    </row>
    <row r="51" spans="1:15" x14ac:dyDescent="0.25">
      <c r="A51" s="1"/>
      <c r="O51" s="32"/>
    </row>
    <row r="52" spans="1:15" x14ac:dyDescent="0.25">
      <c r="A52" s="1"/>
      <c r="O52" s="32"/>
    </row>
    <row r="53" spans="1:15" x14ac:dyDescent="0.25">
      <c r="A53" s="1"/>
      <c r="O53" s="32"/>
    </row>
    <row r="54" spans="1:15" x14ac:dyDescent="0.25">
      <c r="A54" s="1"/>
      <c r="O54" s="32"/>
    </row>
    <row r="55" spans="1:15" x14ac:dyDescent="0.25">
      <c r="A55" s="1"/>
      <c r="O55" s="32"/>
    </row>
    <row r="56" spans="1:15" x14ac:dyDescent="0.25">
      <c r="A56" s="1"/>
      <c r="O56" s="32"/>
    </row>
    <row r="57" spans="1:15" x14ac:dyDescent="0.25">
      <c r="A57" s="1"/>
      <c r="O57" s="32"/>
    </row>
    <row r="58" spans="1:15" x14ac:dyDescent="0.25">
      <c r="A58" s="1"/>
      <c r="O58" s="32"/>
    </row>
    <row r="59" spans="1:15" x14ac:dyDescent="0.25">
      <c r="A59" s="1"/>
      <c r="O59" s="32"/>
    </row>
    <row r="60" spans="1:15" x14ac:dyDescent="0.25">
      <c r="A60" s="1"/>
      <c r="O60" s="32"/>
    </row>
    <row r="61" spans="1:15" x14ac:dyDescent="0.25">
      <c r="A61" s="1"/>
      <c r="O61" s="32"/>
    </row>
    <row r="62" spans="1:15" x14ac:dyDescent="0.25">
      <c r="A62" s="1"/>
      <c r="O62" s="32"/>
    </row>
    <row r="63" spans="1:15" x14ac:dyDescent="0.25">
      <c r="A63" s="1"/>
      <c r="O63" s="32"/>
    </row>
    <row r="64" spans="1:15" x14ac:dyDescent="0.25">
      <c r="A64" s="1"/>
      <c r="O64" s="32"/>
    </row>
    <row r="65" spans="1:15" x14ac:dyDescent="0.25">
      <c r="A65" s="1"/>
      <c r="O65" s="32"/>
    </row>
    <row r="66" spans="1:15" x14ac:dyDescent="0.25">
      <c r="A66" s="1"/>
      <c r="O66" s="32"/>
    </row>
    <row r="67" spans="1:15" x14ac:dyDescent="0.25">
      <c r="A67" s="1"/>
      <c r="O67" s="32"/>
    </row>
    <row r="68" spans="1:15" x14ac:dyDescent="0.25">
      <c r="A68" s="1"/>
      <c r="O68" s="32"/>
    </row>
    <row r="69" spans="1:15" x14ac:dyDescent="0.25">
      <c r="A69" s="1"/>
      <c r="O69" s="32"/>
    </row>
    <row r="70" spans="1:15" x14ac:dyDescent="0.25">
      <c r="A70" s="1"/>
      <c r="O70" s="32"/>
    </row>
    <row r="71" spans="1:15" x14ac:dyDescent="0.25">
      <c r="A71" s="1"/>
      <c r="O71" s="32"/>
    </row>
    <row r="72" spans="1:15" x14ac:dyDescent="0.25">
      <c r="A72" s="1"/>
      <c r="O72" s="32"/>
    </row>
    <row r="73" spans="1:15" x14ac:dyDescent="0.25">
      <c r="A73" s="1"/>
      <c r="O73" s="32"/>
    </row>
    <row r="74" spans="1:15" x14ac:dyDescent="0.25">
      <c r="A74" s="1"/>
      <c r="O74" s="32"/>
    </row>
    <row r="75" spans="1:15" x14ac:dyDescent="0.25">
      <c r="A75" s="1"/>
      <c r="O75" s="32"/>
    </row>
    <row r="76" spans="1:15" x14ac:dyDescent="0.25">
      <c r="A76" s="1"/>
      <c r="O76" s="32"/>
    </row>
    <row r="77" spans="1:15" x14ac:dyDescent="0.25">
      <c r="A77" s="1"/>
      <c r="O77" s="32"/>
    </row>
    <row r="78" spans="1:15" x14ac:dyDescent="0.25">
      <c r="A78" s="1"/>
      <c r="O78" s="32"/>
    </row>
    <row r="79" spans="1:15" x14ac:dyDescent="0.25">
      <c r="A79" s="1"/>
      <c r="O79" s="32"/>
    </row>
    <row r="80" spans="1:15" x14ac:dyDescent="0.25">
      <c r="A80" s="1"/>
      <c r="O80" s="32"/>
    </row>
    <row r="81" spans="1:15" x14ac:dyDescent="0.25">
      <c r="A81" s="1"/>
      <c r="O81" s="32"/>
    </row>
    <row r="82" spans="1:15" x14ac:dyDescent="0.25">
      <c r="A82" s="1"/>
      <c r="O82" s="32"/>
    </row>
    <row r="83" spans="1:15" x14ac:dyDescent="0.25">
      <c r="A83" s="1"/>
      <c r="O83" s="32"/>
    </row>
    <row r="84" spans="1:15" x14ac:dyDescent="0.25">
      <c r="A84" s="1"/>
      <c r="O84" s="32"/>
    </row>
    <row r="85" spans="1:15" x14ac:dyDescent="0.25">
      <c r="A85" s="1"/>
      <c r="O85" s="32"/>
    </row>
    <row r="86" spans="1:15" x14ac:dyDescent="0.25">
      <c r="A86" s="1"/>
      <c r="O86" s="32"/>
    </row>
    <row r="87" spans="1:15" x14ac:dyDescent="0.25">
      <c r="A87" s="1"/>
      <c r="O87" s="32"/>
    </row>
    <row r="88" spans="1:15" x14ac:dyDescent="0.25">
      <c r="A88" s="1"/>
      <c r="O88" s="32"/>
    </row>
    <row r="89" spans="1:15" x14ac:dyDescent="0.25">
      <c r="A89" s="1"/>
      <c r="O89" s="32"/>
    </row>
    <row r="90" spans="1:15" x14ac:dyDescent="0.25">
      <c r="A90" s="1"/>
      <c r="O90" s="32"/>
    </row>
    <row r="91" spans="1:15" x14ac:dyDescent="0.25">
      <c r="A91" s="1"/>
      <c r="O91" s="32"/>
    </row>
    <row r="92" spans="1:15" x14ac:dyDescent="0.25">
      <c r="A92" s="1"/>
      <c r="O92" s="32"/>
    </row>
    <row r="93" spans="1:15" x14ac:dyDescent="0.25">
      <c r="A93" s="1"/>
      <c r="O93" s="32"/>
    </row>
    <row r="94" spans="1:15" x14ac:dyDescent="0.25">
      <c r="A94" s="1"/>
      <c r="O94" s="32"/>
    </row>
    <row r="95" spans="1:15" x14ac:dyDescent="0.25">
      <c r="A95" s="1"/>
      <c r="O95" s="32"/>
    </row>
    <row r="96" spans="1:15" x14ac:dyDescent="0.25">
      <c r="A96" s="1"/>
      <c r="O96" s="32"/>
    </row>
    <row r="97" spans="1:15" x14ac:dyDescent="0.25">
      <c r="A97" s="1"/>
      <c r="O97" s="32"/>
    </row>
    <row r="98" spans="1:15" x14ac:dyDescent="0.25">
      <c r="A98" s="1"/>
      <c r="O98" s="32"/>
    </row>
    <row r="99" spans="1:15" x14ac:dyDescent="0.25">
      <c r="A99" s="1"/>
      <c r="O99" s="32"/>
    </row>
    <row r="100" spans="1:15" x14ac:dyDescent="0.25">
      <c r="A100" s="1"/>
      <c r="O100" s="32"/>
    </row>
    <row r="101" spans="1:15" x14ac:dyDescent="0.25">
      <c r="A101" s="1"/>
      <c r="O101" s="32"/>
    </row>
    <row r="102" spans="1:15" x14ac:dyDescent="0.25">
      <c r="A102" s="1"/>
      <c r="O102" s="32"/>
    </row>
    <row r="103" spans="1:15" x14ac:dyDescent="0.25">
      <c r="A103" s="1"/>
      <c r="O103" s="32"/>
    </row>
    <row r="104" spans="1:15" x14ac:dyDescent="0.25">
      <c r="A104" s="1"/>
      <c r="O104" s="32"/>
    </row>
    <row r="105" spans="1:15" x14ac:dyDescent="0.25">
      <c r="A105" s="1"/>
      <c r="O105" s="32"/>
    </row>
    <row r="106" spans="1:15" x14ac:dyDescent="0.25">
      <c r="A106" s="1"/>
      <c r="O106" s="32"/>
    </row>
    <row r="107" spans="1:15" x14ac:dyDescent="0.25">
      <c r="A107" s="1"/>
      <c r="O107" s="32"/>
    </row>
    <row r="108" spans="1:15" x14ac:dyDescent="0.25">
      <c r="A108" s="1"/>
      <c r="O108" s="32"/>
    </row>
    <row r="109" spans="1:15" x14ac:dyDescent="0.25">
      <c r="A109" s="1"/>
      <c r="O109" s="32"/>
    </row>
    <row r="110" spans="1:15" x14ac:dyDescent="0.25">
      <c r="A110" s="1"/>
      <c r="O110" s="32"/>
    </row>
    <row r="111" spans="1:15" x14ac:dyDescent="0.25">
      <c r="A111" s="1"/>
      <c r="O111" s="32"/>
    </row>
    <row r="112" spans="1:15" x14ac:dyDescent="0.25">
      <c r="A112" s="1"/>
      <c r="O112" s="32"/>
    </row>
    <row r="113" spans="1:15" x14ac:dyDescent="0.25">
      <c r="A113" s="1"/>
      <c r="O113" s="32"/>
    </row>
    <row r="114" spans="1:15" x14ac:dyDescent="0.25">
      <c r="A114" s="1"/>
      <c r="O114" s="32"/>
    </row>
    <row r="115" spans="1:15" x14ac:dyDescent="0.25">
      <c r="A115" s="1"/>
      <c r="O115" s="32"/>
    </row>
    <row r="116" spans="1:15" x14ac:dyDescent="0.25">
      <c r="A116" s="1"/>
      <c r="O116" s="32"/>
    </row>
    <row r="117" spans="1:15" x14ac:dyDescent="0.25">
      <c r="A117" s="1"/>
      <c r="O117" s="32"/>
    </row>
    <row r="118" spans="1:15" x14ac:dyDescent="0.25">
      <c r="A118" s="1"/>
      <c r="O118" s="32"/>
    </row>
    <row r="119" spans="1:15" x14ac:dyDescent="0.25">
      <c r="A119" s="1"/>
      <c r="O119" s="32"/>
    </row>
    <row r="120" spans="1:15" x14ac:dyDescent="0.25">
      <c r="A120" s="1"/>
      <c r="O120" s="32"/>
    </row>
    <row r="121" spans="1:15" x14ac:dyDescent="0.25">
      <c r="A121" s="1"/>
      <c r="O121" s="32"/>
    </row>
    <row r="122" spans="1:15" x14ac:dyDescent="0.25">
      <c r="A122" s="1"/>
      <c r="O122" s="32"/>
    </row>
    <row r="123" spans="1:15" x14ac:dyDescent="0.25">
      <c r="A123" s="1"/>
      <c r="O123" s="32"/>
    </row>
    <row r="124" spans="1:15" x14ac:dyDescent="0.25">
      <c r="A124" s="1"/>
      <c r="O124" s="32"/>
    </row>
    <row r="125" spans="1:15" x14ac:dyDescent="0.25">
      <c r="A125" s="1"/>
      <c r="O125" s="32"/>
    </row>
    <row r="126" spans="1:15" x14ac:dyDescent="0.25">
      <c r="A126" s="1"/>
      <c r="O126" s="32"/>
    </row>
    <row r="127" spans="1:15" x14ac:dyDescent="0.25">
      <c r="A127" s="1"/>
      <c r="O127" s="32"/>
    </row>
    <row r="128" spans="1:15" x14ac:dyDescent="0.25">
      <c r="A128" s="1"/>
      <c r="O128" s="32"/>
    </row>
    <row r="129" spans="1:15" x14ac:dyDescent="0.25">
      <c r="A129" s="1"/>
      <c r="O129" s="32"/>
    </row>
    <row r="130" spans="1:15" x14ac:dyDescent="0.25">
      <c r="A130" s="1"/>
    </row>
  </sheetData>
  <mergeCells count="7">
    <mergeCell ref="C9:F9"/>
    <mergeCell ref="B13:B17"/>
    <mergeCell ref="B4:F4"/>
    <mergeCell ref="C5:F5"/>
    <mergeCell ref="C6:F6"/>
    <mergeCell ref="C7:F7"/>
    <mergeCell ref="C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3692-F6E4-47D2-9E03-40F343CC1ECC}">
  <sheetPr codeName="Blad6"/>
  <dimension ref="A1:R41"/>
  <sheetViews>
    <sheetView showGridLines="0" showRowColHeaders="0" zoomScale="85" zoomScaleNormal="85" workbookViewId="0">
      <selection activeCell="F32" sqref="F32:F36"/>
    </sheetView>
  </sheetViews>
  <sheetFormatPr defaultRowHeight="15" x14ac:dyDescent="0.25"/>
  <cols>
    <col min="1" max="1" width="4.28515625" customWidth="1"/>
    <col min="2" max="2" width="4" customWidth="1"/>
    <col min="3" max="3" width="16.140625" customWidth="1"/>
    <col min="4" max="4" width="14" customWidth="1"/>
    <col min="5" max="5" width="12.7109375" customWidth="1"/>
    <col min="6" max="6" width="21" customWidth="1"/>
    <col min="7" max="7" width="2.7109375" customWidth="1"/>
    <col min="8" max="8" width="21.7109375" customWidth="1"/>
    <col min="9" max="9" width="2.140625" customWidth="1"/>
    <col min="10" max="10" width="19.140625" customWidth="1"/>
    <col min="11" max="11" width="21" customWidth="1"/>
    <col min="12" max="12" width="2.7109375" customWidth="1"/>
    <col min="13" max="13" width="18.5703125" customWidth="1"/>
    <col min="14" max="14" width="13.28515625" customWidth="1"/>
    <col min="15" max="15" width="17.7109375" customWidth="1"/>
    <col min="16" max="16" width="20.14062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ht="19.5" x14ac:dyDescent="0.25">
      <c r="A2" s="15"/>
      <c r="B2" s="59" t="str">
        <f>"Portfolio Assets "</f>
        <v xml:space="preserve">Portfolio Assets 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ht="18" x14ac:dyDescent="0.25">
      <c r="A4" s="15"/>
      <c r="B4" s="56" t="s">
        <v>15</v>
      </c>
      <c r="C4" s="56"/>
      <c r="D4" s="56"/>
      <c r="E4" s="56"/>
      <c r="F4" s="56"/>
      <c r="G4" s="15"/>
      <c r="H4" s="56" t="s">
        <v>21</v>
      </c>
      <c r="I4" s="56"/>
      <c r="J4" s="56"/>
      <c r="K4" s="56"/>
      <c r="L4" s="15"/>
      <c r="M4" s="56" t="s">
        <v>24</v>
      </c>
      <c r="N4" s="56"/>
      <c r="O4" s="56"/>
      <c r="P4" s="56"/>
    </row>
    <row r="5" spans="1:16" ht="15.75" x14ac:dyDescent="0.25">
      <c r="A5" s="15"/>
      <c r="B5" s="16"/>
      <c r="C5" s="16"/>
      <c r="D5" s="57" t="s">
        <v>43</v>
      </c>
      <c r="E5" s="57"/>
      <c r="F5" s="16"/>
      <c r="G5" s="15"/>
      <c r="H5" s="16"/>
      <c r="I5" s="58" t="s">
        <v>25</v>
      </c>
      <c r="J5" s="58"/>
      <c r="K5" s="16"/>
      <c r="L5" s="15"/>
      <c r="M5" s="16"/>
      <c r="N5" s="57" t="s">
        <v>25</v>
      </c>
      <c r="O5" s="57"/>
      <c r="P5" s="16"/>
    </row>
    <row r="6" spans="1:16" ht="36.75" x14ac:dyDescent="0.45">
      <c r="A6" s="15"/>
      <c r="B6" s="16"/>
      <c r="C6" s="60"/>
      <c r="D6" s="67" t="e">
        <f>'Analysed stock'!G131</f>
        <v>#DIV/0!</v>
      </c>
      <c r="E6" s="67"/>
      <c r="F6" s="16"/>
      <c r="G6" s="15"/>
      <c r="H6" s="60"/>
      <c r="I6" s="17"/>
      <c r="J6" s="18" t="e">
        <f>'Analysed stock'!M3</f>
        <v>#DIV/0!</v>
      </c>
      <c r="K6" s="60"/>
      <c r="L6" s="15"/>
      <c r="M6" s="16"/>
      <c r="N6" s="61" t="e">
        <f>'Analysed stock'!M2</f>
        <v>#DIV/0!</v>
      </c>
      <c r="O6" s="62"/>
      <c r="P6" s="16"/>
    </row>
    <row r="7" spans="1:16" x14ac:dyDescent="0.25">
      <c r="A7" s="15"/>
      <c r="B7" s="16"/>
      <c r="C7" s="60"/>
      <c r="D7" s="16"/>
      <c r="E7" s="16"/>
      <c r="F7" s="16"/>
      <c r="G7" s="15"/>
      <c r="H7" s="60"/>
      <c r="I7" s="16"/>
      <c r="J7" s="16"/>
      <c r="K7" s="60"/>
      <c r="L7" s="15"/>
      <c r="M7" s="16"/>
      <c r="N7" s="16"/>
      <c r="O7" s="16"/>
      <c r="P7" s="16"/>
    </row>
    <row r="8" spans="1:16" x14ac:dyDescent="0.25">
      <c r="A8" s="15"/>
      <c r="B8" s="16"/>
      <c r="C8" s="16"/>
      <c r="D8" s="16"/>
      <c r="E8" s="16"/>
      <c r="F8" s="16"/>
      <c r="G8" s="15"/>
      <c r="H8" s="16"/>
      <c r="I8" s="16"/>
      <c r="J8" s="16"/>
      <c r="K8" s="16"/>
      <c r="L8" s="15"/>
      <c r="M8" s="16"/>
      <c r="N8" s="16"/>
      <c r="O8" s="16"/>
      <c r="P8" s="16"/>
    </row>
    <row r="9" spans="1:16" x14ac:dyDescent="0.25">
      <c r="A9" s="15"/>
      <c r="B9" s="63" t="s">
        <v>44</v>
      </c>
      <c r="C9" s="63"/>
      <c r="D9" s="63" t="s">
        <v>17</v>
      </c>
      <c r="E9" s="63"/>
      <c r="F9" s="19" t="s">
        <v>18</v>
      </c>
      <c r="G9" s="15"/>
      <c r="H9" s="19" t="s">
        <v>16</v>
      </c>
      <c r="I9" s="19"/>
      <c r="J9" s="19" t="s">
        <v>26</v>
      </c>
      <c r="K9" s="19" t="s">
        <v>27</v>
      </c>
      <c r="L9" s="15"/>
      <c r="M9" s="19" t="s">
        <v>16</v>
      </c>
      <c r="N9" s="63" t="s">
        <v>26</v>
      </c>
      <c r="O9" s="63"/>
      <c r="P9" s="19" t="s">
        <v>27</v>
      </c>
    </row>
    <row r="10" spans="1:16" ht="16.5" x14ac:dyDescent="0.25">
      <c r="A10" s="15"/>
      <c r="B10" s="65" t="e">
        <f>D6^2</f>
        <v>#DIV/0!</v>
      </c>
      <c r="C10" s="65"/>
      <c r="D10" s="68" t="e">
        <f>'Analysed stock'!H2</f>
        <v>#DIV/0!</v>
      </c>
      <c r="E10" s="68"/>
      <c r="F10" s="36" t="e">
        <f>'Analysed stock'!H3</f>
        <v>#DIV/0!</v>
      </c>
      <c r="G10" s="15"/>
      <c r="H10" s="21" t="e">
        <f>'Analysed stock'!L3</f>
        <v>#DIV/0!</v>
      </c>
      <c r="I10" s="20"/>
      <c r="J10" s="21" t="e">
        <f>'Analysed stock'!N3</f>
        <v>#DIV/0!</v>
      </c>
      <c r="K10" s="21" t="e">
        <f>'Analysed stock'!O3</f>
        <v>#DIV/0!</v>
      </c>
      <c r="L10" s="15"/>
      <c r="M10" s="21" t="e">
        <f>'Analysed stock'!L2</f>
        <v>#DIV/0!</v>
      </c>
      <c r="N10" s="65" t="e">
        <f>'Analysed stock'!N2</f>
        <v>#DIV/0!</v>
      </c>
      <c r="O10" s="65"/>
      <c r="P10" s="21" t="e">
        <f>'Analysed stock'!O2</f>
        <v>#DIV/0!</v>
      </c>
    </row>
    <row r="11" spans="1:16" x14ac:dyDescent="0.25">
      <c r="A11" s="15"/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5"/>
      <c r="M11" s="16"/>
      <c r="N11" s="16"/>
      <c r="O11" s="16"/>
      <c r="P11" s="16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64" t="s">
        <v>40</v>
      </c>
      <c r="C13" s="64"/>
      <c r="D13" s="22"/>
      <c r="E13" s="22"/>
      <c r="F13" s="22"/>
      <c r="G13" s="22"/>
      <c r="H13" s="22"/>
      <c r="I13" s="23"/>
      <c r="J13" s="64" t="s">
        <v>50</v>
      </c>
      <c r="K13" s="64"/>
      <c r="L13" s="64"/>
      <c r="M13" s="64"/>
      <c r="N13" s="64"/>
      <c r="O13" s="64"/>
      <c r="P13" s="64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 t="s">
        <v>49</v>
      </c>
      <c r="K15" s="15" t="s">
        <v>51</v>
      </c>
      <c r="L15" s="15" t="s">
        <v>22</v>
      </c>
      <c r="M15" s="15"/>
      <c r="N15" s="29">
        <f>MAX(Assets!A4:A132)</f>
        <v>0</v>
      </c>
      <c r="O15" s="15"/>
      <c r="P15" s="15"/>
    </row>
    <row r="16" spans="1:16" x14ac:dyDescent="0.25">
      <c r="A16" s="15"/>
      <c r="B16" s="15"/>
      <c r="C16" s="24"/>
      <c r="D16" s="15"/>
      <c r="E16" s="15"/>
      <c r="F16" s="15"/>
      <c r="G16" s="15"/>
      <c r="H16" s="15"/>
      <c r="I16" s="24"/>
      <c r="J16" s="15" t="str">
        <f>C32</f>
        <v>PFE</v>
      </c>
      <c r="K16" s="37">
        <f t="array" ref="K16:K20">TRANSPOSE(Assets!$B$4:$F$4)</f>
        <v>0</v>
      </c>
      <c r="L16" s="15" t="e">
        <f>VLOOKUP($N$15,Assets!$A$4:$F$132,Portfolio!$O16+1,0)</f>
        <v>#N/A</v>
      </c>
      <c r="M16" s="15"/>
      <c r="N16" s="15"/>
      <c r="O16" s="15">
        <v>1</v>
      </c>
      <c r="P16" s="15"/>
    </row>
    <row r="17" spans="1:18" x14ac:dyDescent="0.25">
      <c r="A17" s="15"/>
      <c r="B17" s="15"/>
      <c r="C17" s="25"/>
      <c r="D17" s="15"/>
      <c r="E17" s="15"/>
      <c r="F17" s="15"/>
      <c r="G17" s="15"/>
      <c r="H17" s="15"/>
      <c r="I17" s="15"/>
      <c r="J17" s="15" t="str">
        <f t="shared" ref="J17:J20" si="0">C33</f>
        <v>MSFT</v>
      </c>
      <c r="K17" s="37">
        <v>0</v>
      </c>
      <c r="L17" s="15" t="e">
        <f>VLOOKUP($N$15,Assets!$A$4:$F$132,Portfolio!$O17+1,0)</f>
        <v>#N/A</v>
      </c>
      <c r="M17" s="15"/>
      <c r="N17" s="15"/>
      <c r="O17" s="15">
        <v>2</v>
      </c>
      <c r="P17" s="15"/>
    </row>
    <row r="18" spans="1:18" x14ac:dyDescent="0.25">
      <c r="A18" s="15"/>
      <c r="B18" s="15"/>
      <c r="C18" s="25"/>
      <c r="D18" s="15"/>
      <c r="E18" s="15"/>
      <c r="F18" s="15"/>
      <c r="G18" s="15"/>
      <c r="H18" s="15"/>
      <c r="I18" s="15"/>
      <c r="J18" s="15" t="str">
        <f t="shared" si="0"/>
        <v>GS</v>
      </c>
      <c r="K18" s="37">
        <v>0</v>
      </c>
      <c r="L18" s="15" t="e">
        <f>VLOOKUP($N$15,Assets!$A$4:$F$132,Portfolio!$O18+1,0)</f>
        <v>#N/A</v>
      </c>
      <c r="M18" s="15"/>
      <c r="N18" s="15"/>
      <c r="O18" s="15">
        <v>3</v>
      </c>
      <c r="P18" s="15"/>
    </row>
    <row r="19" spans="1:18" x14ac:dyDescent="0.25">
      <c r="A19" s="15"/>
      <c r="B19" s="15"/>
      <c r="C19" s="25"/>
      <c r="D19" s="15"/>
      <c r="E19" s="15"/>
      <c r="F19" s="15"/>
      <c r="G19" s="15"/>
      <c r="H19" s="15"/>
      <c r="I19" s="15"/>
      <c r="J19" s="15" t="str">
        <f t="shared" si="0"/>
        <v>XOM</v>
      </c>
      <c r="K19" s="37">
        <v>0</v>
      </c>
      <c r="L19" s="15" t="e">
        <f>VLOOKUP($N$15,Assets!$A$4:$F$132,Portfolio!$O19+1,0)</f>
        <v>#N/A</v>
      </c>
      <c r="M19" s="15"/>
      <c r="N19" s="15"/>
      <c r="O19" s="15">
        <v>4</v>
      </c>
      <c r="P19" s="15"/>
    </row>
    <row r="20" spans="1:18" x14ac:dyDescent="0.25">
      <c r="A20" s="15"/>
      <c r="B20" s="15"/>
      <c r="C20" s="25"/>
      <c r="D20" s="15"/>
      <c r="E20" s="15"/>
      <c r="F20" s="15"/>
      <c r="G20" s="15"/>
      <c r="H20" s="15"/>
      <c r="I20" s="15"/>
      <c r="J20" s="15" t="str">
        <f t="shared" si="0"/>
        <v>GE</v>
      </c>
      <c r="K20" s="37">
        <v>0</v>
      </c>
      <c r="L20" s="15" t="e">
        <f>VLOOKUP($N$15,Assets!$A$4:$F$132,Portfolio!$O20+1,0)</f>
        <v>#N/A</v>
      </c>
      <c r="M20" s="15"/>
      <c r="N20" s="15"/>
      <c r="O20" s="15">
        <v>5</v>
      </c>
      <c r="P20" s="15"/>
    </row>
    <row r="21" spans="1:18" x14ac:dyDescent="0.25">
      <c r="A21" s="15"/>
      <c r="B21" s="15"/>
      <c r="C21" s="2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8" x14ac:dyDescent="0.25">
      <c r="A22" s="15"/>
      <c r="B22" s="15"/>
      <c r="C22" s="2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8" x14ac:dyDescent="0.25">
      <c r="A23" s="15"/>
      <c r="B23" s="15"/>
      <c r="C23" s="2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8" x14ac:dyDescent="0.25">
      <c r="A24" s="15"/>
      <c r="B24" s="15"/>
      <c r="C24" s="2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8" x14ac:dyDescent="0.25">
      <c r="A25" s="15"/>
      <c r="B25" s="15"/>
      <c r="C25" s="2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8" x14ac:dyDescent="0.25">
      <c r="A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8" x14ac:dyDescent="0.25">
      <c r="A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8" ht="15" customHeight="1" x14ac:dyDescent="0.25">
      <c r="A28" s="15"/>
      <c r="B28" s="66" t="s">
        <v>28</v>
      </c>
      <c r="C28" s="66"/>
      <c r="D28" s="66"/>
      <c r="E28" s="66"/>
      <c r="F28" s="66"/>
      <c r="G28" s="15"/>
      <c r="H28" s="66" t="s">
        <v>34</v>
      </c>
      <c r="I28" s="66"/>
      <c r="J28" s="66"/>
      <c r="K28" s="66"/>
      <c r="L28" s="15"/>
      <c r="M28" s="66" t="s">
        <v>36</v>
      </c>
      <c r="N28" s="66"/>
      <c r="O28" s="66"/>
      <c r="P28" s="66"/>
    </row>
    <row r="29" spans="1:18" ht="15" customHeight="1" x14ac:dyDescent="0.25">
      <c r="B29" s="66"/>
      <c r="C29" s="66"/>
      <c r="D29" s="66"/>
      <c r="E29" s="66"/>
      <c r="F29" s="66"/>
      <c r="G29" s="15"/>
      <c r="H29" s="66"/>
      <c r="I29" s="66"/>
      <c r="J29" s="66"/>
      <c r="K29" s="66"/>
      <c r="L29" s="15"/>
      <c r="M29" s="66"/>
      <c r="N29" s="66"/>
      <c r="O29" s="66"/>
      <c r="P29" s="66"/>
    </row>
    <row r="30" spans="1:18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8" x14ac:dyDescent="0.25">
      <c r="B31" s="26" t="s">
        <v>29</v>
      </c>
      <c r="C31" s="26" t="s">
        <v>32</v>
      </c>
      <c r="D31" s="70" t="s">
        <v>30</v>
      </c>
      <c r="E31" s="70"/>
      <c r="F31" s="27" t="s">
        <v>31</v>
      </c>
      <c r="G31" s="15"/>
      <c r="H31" s="26" t="s">
        <v>19</v>
      </c>
      <c r="I31" s="27"/>
      <c r="J31" s="30" t="s">
        <v>20</v>
      </c>
      <c r="K31" s="27" t="s">
        <v>33</v>
      </c>
      <c r="L31" s="15"/>
      <c r="M31" s="26" t="s">
        <v>32</v>
      </c>
      <c r="N31" s="27" t="s">
        <v>37</v>
      </c>
      <c r="O31" s="27" t="s">
        <v>38</v>
      </c>
      <c r="P31" s="27" t="s">
        <v>53</v>
      </c>
      <c r="R31" s="38" t="s">
        <v>22</v>
      </c>
    </row>
    <row r="32" spans="1:18" x14ac:dyDescent="0.25">
      <c r="B32">
        <v>1</v>
      </c>
      <c r="C32" s="24" t="s">
        <v>9</v>
      </c>
      <c r="D32" s="71" t="e">
        <f>VLOOKUP(C32,'All Stock'!$A:$B,2,0)</f>
        <v>#N/A</v>
      </c>
      <c r="E32" s="71"/>
      <c r="F32" s="31">
        <v>0.2</v>
      </c>
      <c r="G32" s="28">
        <v>5</v>
      </c>
      <c r="H32" s="24" t="str">
        <f>C32</f>
        <v>PFE</v>
      </c>
      <c r="I32" s="23"/>
      <c r="J32" s="29" t="str">
        <f>C33</f>
        <v>MSFT</v>
      </c>
      <c r="K32" s="35" t="e">
        <f>CORREL(Assets!$B$4:$B$132,Assets!$C$4:$C$132)</f>
        <v>#DIV/0!</v>
      </c>
      <c r="L32" s="28">
        <v>73</v>
      </c>
      <c r="M32" s="24" t="str">
        <f>C32</f>
        <v>PFE</v>
      </c>
      <c r="N32" s="40">
        <v>33.069703001976016</v>
      </c>
      <c r="O32" s="42">
        <v>26016795</v>
      </c>
      <c r="P32" s="39">
        <f>(N32-R32)/R32</f>
        <v>0.77821269894831568</v>
      </c>
      <c r="R32">
        <v>18.597158271074296</v>
      </c>
    </row>
    <row r="33" spans="2:18" x14ac:dyDescent="0.25">
      <c r="B33">
        <v>2</v>
      </c>
      <c r="C33" s="24" t="s">
        <v>8</v>
      </c>
      <c r="D33" s="69" t="e">
        <f>VLOOKUP(C33,'All Stock'!$A:$B,2,0)</f>
        <v>#N/A</v>
      </c>
      <c r="E33" s="69"/>
      <c r="F33" s="31">
        <v>0.2</v>
      </c>
      <c r="H33" s="24" t="str">
        <f>H32</f>
        <v>PFE</v>
      </c>
      <c r="J33" s="29" t="str">
        <f t="shared" ref="J33:J35" si="1">C34</f>
        <v>GS</v>
      </c>
      <c r="K33" s="35" t="e">
        <f>CORREL(Assets!$B$4:$B$132,Assets!$D$4:$D$132)</f>
        <v>#DIV/0!</v>
      </c>
      <c r="M33" s="24" t="str">
        <f t="shared" ref="M33:M36" si="2">C33</f>
        <v>MSFT</v>
      </c>
      <c r="N33" s="41">
        <v>287.90784043729303</v>
      </c>
      <c r="O33" s="42">
        <v>45456270</v>
      </c>
      <c r="P33" s="39">
        <f t="shared" ref="P33:P36" si="3">(N33-R33)/R33</f>
        <v>8.0823227476985948E-2</v>
      </c>
      <c r="R33">
        <v>266.37828751087187</v>
      </c>
    </row>
    <row r="34" spans="2:18" x14ac:dyDescent="0.25">
      <c r="B34">
        <v>3</v>
      </c>
      <c r="C34" s="24" t="s">
        <v>7</v>
      </c>
      <c r="D34" s="69" t="e">
        <f>VLOOKUP(C34,'All Stock'!$A:$B,2,0)</f>
        <v>#N/A</v>
      </c>
      <c r="E34" s="69"/>
      <c r="F34" s="31">
        <v>0.2</v>
      </c>
      <c r="H34" s="24" t="str">
        <f>H33</f>
        <v>PFE</v>
      </c>
      <c r="J34" s="29" t="str">
        <f t="shared" si="1"/>
        <v>XOM</v>
      </c>
      <c r="K34" s="35" t="e">
        <f>CORREL(Assets!$B$4:$B$132,Assets!$E$4:$E$132)</f>
        <v>#DIV/0!</v>
      </c>
      <c r="M34" s="24" t="str">
        <f t="shared" si="2"/>
        <v>GS</v>
      </c>
      <c r="N34" s="41">
        <v>260.96086917161944</v>
      </c>
      <c r="O34" s="42">
        <v>4671859</v>
      </c>
      <c r="P34" s="39">
        <f t="shared" si="3"/>
        <v>-1.8265640851379321E-2</v>
      </c>
      <c r="R34">
        <v>265.81617190003396</v>
      </c>
    </row>
    <row r="35" spans="2:18" x14ac:dyDescent="0.25">
      <c r="B35">
        <v>4</v>
      </c>
      <c r="C35" s="24" t="s">
        <v>10</v>
      </c>
      <c r="D35" s="69" t="e">
        <f>VLOOKUP(C35,'All Stock'!$A:$B,2,0)</f>
        <v>#N/A</v>
      </c>
      <c r="E35" s="69"/>
      <c r="F35" s="31">
        <v>0.2</v>
      </c>
      <c r="H35" s="24" t="str">
        <f>H34</f>
        <v>PFE</v>
      </c>
      <c r="J35" s="29" t="str">
        <f t="shared" si="1"/>
        <v>GE</v>
      </c>
      <c r="K35" s="35" t="e">
        <f>CORREL(Assets!$B$4:$B$132,Assets!$F$4:$F$132)</f>
        <v>#DIV/0!</v>
      </c>
      <c r="M35" s="24" t="str">
        <f t="shared" si="2"/>
        <v>XOM</v>
      </c>
      <c r="N35" s="41">
        <v>33.150697633624077</v>
      </c>
      <c r="O35" s="42">
        <v>25792952</v>
      </c>
      <c r="P35" s="39">
        <f t="shared" si="3"/>
        <v>-0.27749480016308187</v>
      </c>
      <c r="R35">
        <v>45.882988303899765</v>
      </c>
    </row>
    <row r="36" spans="2:18" x14ac:dyDescent="0.25">
      <c r="B36">
        <v>5</v>
      </c>
      <c r="C36" s="24" t="s">
        <v>6</v>
      </c>
      <c r="D36" s="69" t="e">
        <f>VLOOKUP(C36,'All Stock'!$A:$B,2,0)</f>
        <v>#N/A</v>
      </c>
      <c r="E36" s="69"/>
      <c r="F36" s="31">
        <v>0.2</v>
      </c>
      <c r="H36" s="24" t="str">
        <f>C33</f>
        <v>MSFT</v>
      </c>
      <c r="J36" s="29" t="str">
        <f>C34</f>
        <v>GS</v>
      </c>
      <c r="K36" s="35" t="e">
        <f>CORREL(Assets!$C$4:$C$132,Assets!$D$4:$D$132)</f>
        <v>#DIV/0!</v>
      </c>
      <c r="M36" s="24" t="str">
        <f t="shared" si="2"/>
        <v>GE</v>
      </c>
      <c r="N36" s="41">
        <v>9.0056314849853525</v>
      </c>
      <c r="O36" s="42">
        <v>108860542</v>
      </c>
      <c r="P36" s="39">
        <f t="shared" si="3"/>
        <v>1.6807477260235286</v>
      </c>
      <c r="R36">
        <v>3.359372982978821</v>
      </c>
    </row>
    <row r="37" spans="2:18" x14ac:dyDescent="0.25">
      <c r="H37" t="str">
        <f>H36</f>
        <v>MSFT</v>
      </c>
      <c r="J37" s="29" t="str">
        <f t="shared" ref="J37:J38" si="4">C35</f>
        <v>XOM</v>
      </c>
      <c r="K37" s="35" t="e">
        <f>CORREL(Assets!$C$4:$C$132,Assets!$E$4:$E$132)</f>
        <v>#DIV/0!</v>
      </c>
    </row>
    <row r="38" spans="2:18" x14ac:dyDescent="0.25">
      <c r="H38" t="str">
        <f>H37</f>
        <v>MSFT</v>
      </c>
      <c r="J38" s="29" t="str">
        <f t="shared" si="4"/>
        <v>GE</v>
      </c>
      <c r="K38" s="35" t="e">
        <f>CORREL(Assets!$C$4:$C$132,Assets!$F$4:$F$132)</f>
        <v>#DIV/0!</v>
      </c>
    </row>
    <row r="39" spans="2:18" x14ac:dyDescent="0.25">
      <c r="H39" s="24" t="str">
        <f>C34</f>
        <v>GS</v>
      </c>
      <c r="J39" t="str">
        <f>C35</f>
        <v>XOM</v>
      </c>
      <c r="K39" s="35" t="e">
        <f>CORREL(Assets!$D$4:$D$132,Assets!$E$4:$E$132)</f>
        <v>#DIV/0!</v>
      </c>
    </row>
    <row r="40" spans="2:18" x14ac:dyDescent="0.25">
      <c r="H40" t="str">
        <f>H39</f>
        <v>GS</v>
      </c>
      <c r="J40" t="str">
        <f>C36</f>
        <v>GE</v>
      </c>
      <c r="K40" s="35" t="e">
        <f>CORREL(Assets!$D$4:$D$132,Assets!$F$4:$F$132)</f>
        <v>#DIV/0!</v>
      </c>
    </row>
    <row r="41" spans="2:18" x14ac:dyDescent="0.25">
      <c r="H41" t="str">
        <f>C35</f>
        <v>XOM</v>
      </c>
      <c r="J41" t="str">
        <f>C36</f>
        <v>GE</v>
      </c>
      <c r="K41" s="35" t="e">
        <f>CORREL(Assets!$E$4:$E$132,Assets!$F$4:$F$132)</f>
        <v>#DIV/0!</v>
      </c>
    </row>
  </sheetData>
  <mergeCells count="30">
    <mergeCell ref="D36:E36"/>
    <mergeCell ref="N10:O10"/>
    <mergeCell ref="J13:P13"/>
    <mergeCell ref="H28:J29"/>
    <mergeCell ref="K28:K29"/>
    <mergeCell ref="M28:P29"/>
    <mergeCell ref="D31:E31"/>
    <mergeCell ref="D32:E32"/>
    <mergeCell ref="D33:E33"/>
    <mergeCell ref="D34:E34"/>
    <mergeCell ref="D35:E35"/>
    <mergeCell ref="B13:C13"/>
    <mergeCell ref="B10:C10"/>
    <mergeCell ref="B28:F29"/>
    <mergeCell ref="C6:C7"/>
    <mergeCell ref="D6:E6"/>
    <mergeCell ref="B9:C9"/>
    <mergeCell ref="D10:E10"/>
    <mergeCell ref="B2:P2"/>
    <mergeCell ref="H6:H7"/>
    <mergeCell ref="K6:K7"/>
    <mergeCell ref="N6:O6"/>
    <mergeCell ref="D9:E9"/>
    <mergeCell ref="N9:O9"/>
    <mergeCell ref="H4:K4"/>
    <mergeCell ref="M4:P4"/>
    <mergeCell ref="D5:E5"/>
    <mergeCell ref="I5:J5"/>
    <mergeCell ref="N5:O5"/>
    <mergeCell ref="B4:F4"/>
  </mergeCells>
  <phoneticPr fontId="22" type="noConversion"/>
  <conditionalFormatting sqref="P32:P36">
    <cfRule type="expression" dxfId="1" priority="1">
      <formula>$P32&gt;0</formula>
    </cfRule>
    <cfRule type="expression" dxfId="0" priority="2">
      <formula>$P32&lt;0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tartTicker">
          <controlPr defaultSize="0" autoLine="0" r:id="rId5">
            <anchor moveWithCells="1">
              <from>
                <xdr:col>15</xdr:col>
                <xdr:colOff>247650</xdr:colOff>
                <xdr:row>27</xdr:row>
                <xdr:rowOff>47625</xdr:rowOff>
              </from>
              <to>
                <xdr:col>15</xdr:col>
                <xdr:colOff>1295400</xdr:colOff>
                <xdr:row>28</xdr:row>
                <xdr:rowOff>171450</xdr:rowOff>
              </to>
            </anchor>
          </controlPr>
        </control>
      </mc:Choice>
      <mc:Fallback>
        <control shapeId="2056" r:id="rId4" name="startTicker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renewPortfolio">
            <anchor moveWithCells="1" sizeWithCells="1">
              <from>
                <xdr:col>5</xdr:col>
                <xdr:colOff>428625</xdr:colOff>
                <xdr:row>27</xdr:row>
                <xdr:rowOff>66675</xdr:rowOff>
              </from>
              <to>
                <xdr:col>5</xdr:col>
                <xdr:colOff>1323975</xdr:colOff>
                <xdr:row>28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hoofAlleAndelen">
            <anchor moveWithCells="1" sizeWithCells="1">
              <from>
                <xdr:col>14</xdr:col>
                <xdr:colOff>1104900</xdr:colOff>
                <xdr:row>1</xdr:row>
                <xdr:rowOff>9525</xdr:rowOff>
              </from>
              <to>
                <xdr:col>15</xdr:col>
                <xdr:colOff>1333500</xdr:colOff>
                <xdr:row>1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FEB8D-BFD9-4364-B952-72AC803ECA66}">
          <x14:formula1>
            <xm:f>'All Stock'!$A$2:$A$9041</xm:f>
          </x14:formula1>
          <xm:sqref>C32:C36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918E-7AE7-4AC0-820B-E7CED3E7DDDC}">
  <sheetPr codeName="Blad1"/>
  <dimension ref="A3:S309"/>
  <sheetViews>
    <sheetView workbookViewId="0">
      <selection activeCell="B44" sqref="B44"/>
    </sheetView>
  </sheetViews>
  <sheetFormatPr defaultRowHeight="15" x14ac:dyDescent="0.25"/>
  <cols>
    <col min="2" max="2" width="31.5703125" customWidth="1"/>
    <col min="14" max="14" width="10.5703125" customWidth="1"/>
    <col min="15" max="15" width="16.140625" bestFit="1" customWidth="1"/>
  </cols>
  <sheetData>
    <row r="3" spans="1:19" x14ac:dyDescent="0.25">
      <c r="B3" t="s">
        <v>63</v>
      </c>
    </row>
    <row r="4" spans="1:19" ht="15" customHeight="1" x14ac:dyDescent="0.25">
      <c r="B4" s="72"/>
      <c r="C4" s="72"/>
      <c r="D4" s="72"/>
      <c r="E4" s="72"/>
      <c r="F4" s="72"/>
      <c r="G4" s="72"/>
    </row>
    <row r="5" spans="1:19" x14ac:dyDescent="0.25">
      <c r="B5" s="72"/>
      <c r="C5" s="72"/>
      <c r="D5" s="72"/>
      <c r="E5" s="72"/>
      <c r="F5" s="72"/>
      <c r="G5" s="72"/>
    </row>
    <row r="6" spans="1:19" x14ac:dyDescent="0.25">
      <c r="B6" s="72"/>
      <c r="C6" s="72"/>
      <c r="D6" s="72"/>
      <c r="E6" s="72"/>
      <c r="F6" s="72"/>
      <c r="G6" s="72"/>
    </row>
    <row r="7" spans="1:19" x14ac:dyDescent="0.25">
      <c r="B7" s="72"/>
      <c r="C7" s="72"/>
      <c r="D7" s="72"/>
      <c r="E7" s="72"/>
      <c r="F7" s="72"/>
      <c r="G7" s="72"/>
    </row>
    <row r="8" spans="1:19" x14ac:dyDescent="0.25">
      <c r="B8" s="72"/>
      <c r="C8" s="72"/>
      <c r="D8" s="72"/>
      <c r="E8" s="72"/>
      <c r="F8" s="72"/>
      <c r="G8" s="72"/>
    </row>
    <row r="9" spans="1:19" x14ac:dyDescent="0.25">
      <c r="B9" s="3"/>
      <c r="C9" s="3"/>
      <c r="D9" s="3"/>
      <c r="E9" s="3"/>
      <c r="F9" s="3"/>
    </row>
    <row r="10" spans="1:19" ht="21" customHeight="1" x14ac:dyDescent="0.25">
      <c r="A10" s="73" t="s">
        <v>64</v>
      </c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2" spans="1:19" x14ac:dyDescent="0.25">
      <c r="A12" s="1"/>
      <c r="B12" s="33"/>
      <c r="C12" s="33"/>
      <c r="N12" s="2"/>
      <c r="O12" s="32"/>
      <c r="S12" s="32"/>
    </row>
    <row r="13" spans="1:19" x14ac:dyDescent="0.25">
      <c r="A13" s="1"/>
      <c r="B13" s="33"/>
      <c r="C13" s="33"/>
      <c r="N13" s="2"/>
      <c r="O13" s="32"/>
    </row>
    <row r="14" spans="1:19" x14ac:dyDescent="0.25">
      <c r="A14" s="1"/>
      <c r="B14" s="33"/>
      <c r="C14" s="33"/>
      <c r="N14" s="2"/>
      <c r="O14" s="32"/>
    </row>
    <row r="15" spans="1:19" x14ac:dyDescent="0.25">
      <c r="A15" s="1"/>
      <c r="B15" s="33"/>
      <c r="C15" s="33"/>
      <c r="N15" s="2"/>
      <c r="O15" s="32"/>
    </row>
    <row r="16" spans="1:19" x14ac:dyDescent="0.25">
      <c r="A16" s="1"/>
      <c r="B16" s="33"/>
      <c r="C16" s="33"/>
      <c r="N16" s="2"/>
      <c r="O16" s="32"/>
    </row>
    <row r="17" spans="1:15" x14ac:dyDescent="0.25">
      <c r="A17" s="1"/>
      <c r="B17" s="33"/>
      <c r="C17" s="33"/>
      <c r="N17" s="2"/>
      <c r="O17" s="32"/>
    </row>
    <row r="18" spans="1:15" x14ac:dyDescent="0.25">
      <c r="A18" s="1"/>
      <c r="B18" s="33"/>
      <c r="C18" s="33"/>
      <c r="N18" s="2"/>
      <c r="O18" s="32"/>
    </row>
    <row r="19" spans="1:15" x14ac:dyDescent="0.25">
      <c r="A19" s="1"/>
      <c r="B19" s="33"/>
      <c r="C19" s="33"/>
      <c r="N19" s="2"/>
      <c r="O19" s="32"/>
    </row>
    <row r="20" spans="1:15" x14ac:dyDescent="0.25">
      <c r="A20" s="1"/>
      <c r="B20" s="33"/>
      <c r="C20" s="33"/>
      <c r="N20" s="2"/>
      <c r="O20" s="32"/>
    </row>
    <row r="21" spans="1:15" x14ac:dyDescent="0.25">
      <c r="A21" s="1"/>
      <c r="B21" s="33"/>
      <c r="C21" s="33"/>
      <c r="N21" s="2"/>
      <c r="O21" s="32"/>
    </row>
    <row r="22" spans="1:15" x14ac:dyDescent="0.25">
      <c r="A22" s="1"/>
      <c r="B22" s="33"/>
      <c r="C22" s="33"/>
      <c r="N22" s="2"/>
      <c r="O22" s="32"/>
    </row>
    <row r="23" spans="1:15" x14ac:dyDescent="0.25">
      <c r="A23" s="1"/>
      <c r="B23" s="33"/>
      <c r="C23" s="33"/>
      <c r="N23" s="2"/>
      <c r="O23" s="32"/>
    </row>
    <row r="24" spans="1:15" x14ac:dyDescent="0.25">
      <c r="A24" s="1"/>
      <c r="B24" s="33"/>
      <c r="C24" s="33"/>
      <c r="N24" s="2"/>
      <c r="O24" s="32"/>
    </row>
    <row r="25" spans="1:15" x14ac:dyDescent="0.25">
      <c r="A25" s="1"/>
      <c r="B25" s="33"/>
      <c r="C25" s="33"/>
      <c r="N25" s="2"/>
      <c r="O25" s="32"/>
    </row>
    <row r="26" spans="1:15" x14ac:dyDescent="0.25">
      <c r="A26" s="1"/>
      <c r="B26" s="33"/>
      <c r="C26" s="33"/>
      <c r="N26" s="2"/>
      <c r="O26" s="32"/>
    </row>
    <row r="27" spans="1:15" x14ac:dyDescent="0.25">
      <c r="A27" s="1"/>
      <c r="B27" s="33"/>
      <c r="C27" s="33"/>
      <c r="N27" s="2"/>
      <c r="O27" s="32"/>
    </row>
    <row r="28" spans="1:15" x14ac:dyDescent="0.25">
      <c r="A28" s="1"/>
      <c r="B28" s="33"/>
      <c r="C28" s="33"/>
      <c r="N28" s="2"/>
      <c r="O28" s="32"/>
    </row>
    <row r="29" spans="1:15" x14ac:dyDescent="0.25">
      <c r="A29" s="1"/>
      <c r="B29" s="33"/>
      <c r="C29" s="33"/>
      <c r="N29" s="2"/>
      <c r="O29" s="32"/>
    </row>
    <row r="30" spans="1:15" x14ac:dyDescent="0.25">
      <c r="A30" s="1"/>
      <c r="B30" s="33"/>
      <c r="C30" s="33"/>
      <c r="N30" s="2"/>
      <c r="O30" s="32"/>
    </row>
    <row r="31" spans="1:15" x14ac:dyDescent="0.25">
      <c r="A31" s="1"/>
      <c r="B31" s="33"/>
      <c r="C31" s="33"/>
      <c r="N31" s="2"/>
      <c r="O31" s="32"/>
    </row>
    <row r="32" spans="1:15" x14ac:dyDescent="0.25">
      <c r="A32" s="1"/>
      <c r="B32" s="33"/>
      <c r="C32" s="33"/>
      <c r="N32" s="2"/>
      <c r="O32" s="32"/>
    </row>
    <row r="33" spans="1:15" x14ac:dyDescent="0.25">
      <c r="A33" s="1"/>
      <c r="B33" s="33"/>
      <c r="C33" s="33"/>
      <c r="N33" s="2"/>
      <c r="O33" s="32"/>
    </row>
    <row r="34" spans="1:15" x14ac:dyDescent="0.25">
      <c r="A34" s="1"/>
      <c r="B34" s="33"/>
      <c r="C34" s="33"/>
      <c r="N34" s="2"/>
      <c r="O34" s="32"/>
    </row>
    <row r="35" spans="1:15" x14ac:dyDescent="0.25">
      <c r="A35" s="1"/>
      <c r="B35" s="33"/>
      <c r="C35" s="33"/>
      <c r="N35" s="2"/>
      <c r="O35" s="32"/>
    </row>
    <row r="36" spans="1:15" x14ac:dyDescent="0.25">
      <c r="A36" s="1"/>
      <c r="B36" s="33"/>
      <c r="C36" s="33"/>
      <c r="O36" s="32"/>
    </row>
    <row r="37" spans="1:15" x14ac:dyDescent="0.25">
      <c r="A37" s="1"/>
      <c r="B37" s="33"/>
      <c r="C37" s="33"/>
      <c r="O37" s="32"/>
    </row>
    <row r="38" spans="1:15" x14ac:dyDescent="0.25">
      <c r="A38" s="1"/>
      <c r="B38" s="33"/>
      <c r="C38" s="33"/>
      <c r="O38" s="32"/>
    </row>
    <row r="39" spans="1:15" x14ac:dyDescent="0.25">
      <c r="A39" s="1"/>
      <c r="B39" s="33"/>
      <c r="C39" s="33"/>
      <c r="O39" s="32"/>
    </row>
    <row r="40" spans="1:15" x14ac:dyDescent="0.25">
      <c r="A40" s="1"/>
      <c r="B40" s="33"/>
      <c r="C40" s="33"/>
      <c r="O40" s="32"/>
    </row>
    <row r="41" spans="1:15" x14ac:dyDescent="0.25">
      <c r="A41" s="1"/>
      <c r="B41" s="33"/>
      <c r="C41" s="33"/>
      <c r="O41" s="32"/>
    </row>
    <row r="42" spans="1:15" x14ac:dyDescent="0.25">
      <c r="A42" s="1"/>
      <c r="B42" s="33"/>
      <c r="C42" s="33"/>
      <c r="O42" s="32"/>
    </row>
    <row r="43" spans="1:15" x14ac:dyDescent="0.25">
      <c r="A43" s="1"/>
      <c r="B43" s="33"/>
      <c r="C43" s="33"/>
      <c r="O43" s="32"/>
    </row>
    <row r="44" spans="1:15" x14ac:dyDescent="0.25">
      <c r="A44" s="1"/>
      <c r="B44" s="33"/>
      <c r="C44" s="33"/>
      <c r="O44" s="32"/>
    </row>
    <row r="45" spans="1:15" x14ac:dyDescent="0.25">
      <c r="A45" s="1"/>
      <c r="B45" s="33"/>
      <c r="C45" s="33"/>
      <c r="O45" s="32"/>
    </row>
    <row r="46" spans="1:15" x14ac:dyDescent="0.25">
      <c r="A46" s="1"/>
      <c r="B46" s="33"/>
      <c r="C46" s="33"/>
      <c r="O46" s="32"/>
    </row>
    <row r="47" spans="1:15" x14ac:dyDescent="0.25">
      <c r="A47" s="1"/>
      <c r="B47" s="33"/>
      <c r="C47" s="33"/>
      <c r="O47" s="32"/>
    </row>
    <row r="48" spans="1:15" x14ac:dyDescent="0.25">
      <c r="A48" s="1"/>
      <c r="B48" s="33"/>
      <c r="C48" s="33"/>
      <c r="O48" s="32"/>
    </row>
    <row r="49" spans="1:15" x14ac:dyDescent="0.25">
      <c r="A49" s="1"/>
      <c r="B49" s="33"/>
      <c r="C49" s="33"/>
      <c r="O49" s="32"/>
    </row>
    <row r="50" spans="1:15" x14ac:dyDescent="0.25">
      <c r="A50" s="1"/>
      <c r="B50" s="33"/>
      <c r="C50" s="33"/>
      <c r="O50" s="32"/>
    </row>
    <row r="51" spans="1:15" x14ac:dyDescent="0.25">
      <c r="A51" s="1"/>
      <c r="B51" s="33"/>
      <c r="C51" s="33"/>
      <c r="O51" s="32"/>
    </row>
    <row r="52" spans="1:15" x14ac:dyDescent="0.25">
      <c r="A52" s="1"/>
      <c r="B52" s="33"/>
      <c r="C52" s="33"/>
      <c r="O52" s="32"/>
    </row>
    <row r="53" spans="1:15" x14ac:dyDescent="0.25">
      <c r="A53" s="1"/>
      <c r="B53" s="33"/>
      <c r="C53" s="33"/>
      <c r="O53" s="32"/>
    </row>
    <row r="54" spans="1:15" x14ac:dyDescent="0.25">
      <c r="A54" s="1"/>
      <c r="B54" s="33"/>
      <c r="C54" s="33"/>
      <c r="O54" s="32"/>
    </row>
    <row r="55" spans="1:15" x14ac:dyDescent="0.25">
      <c r="A55" s="1"/>
      <c r="B55" s="33"/>
      <c r="C55" s="33"/>
      <c r="O55" s="32"/>
    </row>
    <row r="56" spans="1:15" x14ac:dyDescent="0.25">
      <c r="A56" s="1"/>
      <c r="B56" s="33"/>
      <c r="C56" s="33"/>
      <c r="O56" s="32"/>
    </row>
    <row r="57" spans="1:15" x14ac:dyDescent="0.25">
      <c r="A57" s="1"/>
      <c r="B57" s="33"/>
      <c r="C57" s="33"/>
      <c r="O57" s="32"/>
    </row>
    <row r="58" spans="1:15" x14ac:dyDescent="0.25">
      <c r="A58" s="1"/>
      <c r="B58" s="33"/>
      <c r="C58" s="33"/>
      <c r="O58" s="32"/>
    </row>
    <row r="59" spans="1:15" x14ac:dyDescent="0.25">
      <c r="A59" s="1"/>
      <c r="B59" s="33"/>
      <c r="C59" s="33"/>
      <c r="O59" s="32"/>
    </row>
    <row r="60" spans="1:15" x14ac:dyDescent="0.25">
      <c r="A60" s="1"/>
      <c r="B60" s="33"/>
      <c r="C60" s="33"/>
      <c r="O60" s="32"/>
    </row>
    <row r="61" spans="1:15" x14ac:dyDescent="0.25">
      <c r="A61" s="1"/>
      <c r="B61" s="33"/>
      <c r="C61" s="33"/>
      <c r="O61" s="32"/>
    </row>
    <row r="62" spans="1:15" x14ac:dyDescent="0.25">
      <c r="A62" s="1"/>
      <c r="B62" s="33"/>
      <c r="C62" s="33"/>
      <c r="O62" s="32"/>
    </row>
    <row r="63" spans="1:15" x14ac:dyDescent="0.25">
      <c r="A63" s="1"/>
      <c r="B63" s="33"/>
      <c r="C63" s="33"/>
      <c r="O63" s="32"/>
    </row>
    <row r="64" spans="1:15" x14ac:dyDescent="0.25">
      <c r="A64" s="1"/>
      <c r="B64" s="33"/>
      <c r="C64" s="33"/>
      <c r="O64" s="32"/>
    </row>
    <row r="65" spans="1:15" x14ac:dyDescent="0.25">
      <c r="A65" s="1"/>
      <c r="B65" s="33"/>
      <c r="C65" s="33"/>
      <c r="O65" s="32"/>
    </row>
    <row r="66" spans="1:15" x14ac:dyDescent="0.25">
      <c r="A66" s="1"/>
      <c r="B66" s="33"/>
      <c r="C66" s="33"/>
      <c r="O66" s="32"/>
    </row>
    <row r="67" spans="1:15" x14ac:dyDescent="0.25">
      <c r="A67" s="1"/>
      <c r="B67" s="33"/>
      <c r="C67" s="33"/>
      <c r="O67" s="32"/>
    </row>
    <row r="68" spans="1:15" x14ac:dyDescent="0.25">
      <c r="A68" s="1"/>
      <c r="B68" s="33"/>
      <c r="C68" s="33"/>
      <c r="O68" s="32"/>
    </row>
    <row r="69" spans="1:15" x14ac:dyDescent="0.25">
      <c r="A69" s="1"/>
      <c r="B69" s="33"/>
      <c r="C69" s="33"/>
      <c r="O69" s="32"/>
    </row>
    <row r="70" spans="1:15" x14ac:dyDescent="0.25">
      <c r="A70" s="1"/>
      <c r="B70" s="33"/>
      <c r="C70" s="33"/>
      <c r="O70" s="32"/>
    </row>
    <row r="71" spans="1:15" x14ac:dyDescent="0.25">
      <c r="A71" s="1"/>
      <c r="B71" s="33"/>
      <c r="C71" s="33"/>
      <c r="O71" s="32"/>
    </row>
    <row r="72" spans="1:15" x14ac:dyDescent="0.25">
      <c r="A72" s="1"/>
      <c r="B72" s="33"/>
      <c r="C72" s="33"/>
      <c r="O72" s="32"/>
    </row>
    <row r="73" spans="1:15" x14ac:dyDescent="0.25">
      <c r="A73" s="1"/>
      <c r="B73" s="33"/>
      <c r="C73" s="33"/>
      <c r="O73" s="32"/>
    </row>
    <row r="74" spans="1:15" x14ac:dyDescent="0.25">
      <c r="A74" s="1"/>
      <c r="B74" s="33"/>
      <c r="C74" s="33"/>
      <c r="O74" s="32"/>
    </row>
    <row r="75" spans="1:15" x14ac:dyDescent="0.25">
      <c r="A75" s="1"/>
      <c r="B75" s="33"/>
      <c r="C75" s="33"/>
      <c r="O75" s="32"/>
    </row>
    <row r="76" spans="1:15" x14ac:dyDescent="0.25">
      <c r="A76" s="1"/>
      <c r="B76" s="33"/>
      <c r="C76" s="33"/>
      <c r="O76" s="32"/>
    </row>
    <row r="77" spans="1:15" x14ac:dyDescent="0.25">
      <c r="A77" s="1"/>
      <c r="B77" s="33"/>
      <c r="C77" s="33"/>
      <c r="O77" s="32"/>
    </row>
    <row r="78" spans="1:15" x14ac:dyDescent="0.25">
      <c r="A78" s="1"/>
      <c r="B78" s="33"/>
      <c r="C78" s="33"/>
      <c r="O78" s="32"/>
    </row>
    <row r="79" spans="1:15" x14ac:dyDescent="0.25">
      <c r="A79" s="1"/>
      <c r="B79" s="33"/>
      <c r="C79" s="33"/>
      <c r="O79" s="32"/>
    </row>
    <row r="80" spans="1:15" x14ac:dyDescent="0.25">
      <c r="A80" s="1"/>
      <c r="B80" s="33"/>
      <c r="C80" s="33"/>
      <c r="O80" s="32"/>
    </row>
    <row r="81" spans="1:15" x14ac:dyDescent="0.25">
      <c r="A81" s="1"/>
      <c r="B81" s="33"/>
      <c r="C81" s="33"/>
      <c r="O81" s="32"/>
    </row>
    <row r="82" spans="1:15" x14ac:dyDescent="0.25">
      <c r="A82" s="1"/>
      <c r="B82" s="33"/>
      <c r="C82" s="33"/>
      <c r="O82" s="32"/>
    </row>
    <row r="83" spans="1:15" x14ac:dyDescent="0.25">
      <c r="A83" s="1"/>
      <c r="B83" s="33"/>
      <c r="C83" s="33"/>
      <c r="O83" s="32"/>
    </row>
    <row r="84" spans="1:15" x14ac:dyDescent="0.25">
      <c r="A84" s="1"/>
      <c r="B84" s="33"/>
      <c r="C84" s="33"/>
      <c r="O84" s="32"/>
    </row>
    <row r="85" spans="1:15" x14ac:dyDescent="0.25">
      <c r="A85" s="1"/>
      <c r="B85" s="33"/>
      <c r="C85" s="33"/>
      <c r="O85" s="32"/>
    </row>
    <row r="86" spans="1:15" x14ac:dyDescent="0.25">
      <c r="A86" s="1"/>
      <c r="B86" s="33"/>
      <c r="C86" s="33"/>
      <c r="O86" s="32"/>
    </row>
    <row r="87" spans="1:15" x14ac:dyDescent="0.25">
      <c r="A87" s="1"/>
      <c r="B87" s="33"/>
      <c r="C87" s="33"/>
      <c r="O87" s="32"/>
    </row>
    <row r="88" spans="1:15" x14ac:dyDescent="0.25">
      <c r="A88" s="1"/>
      <c r="B88" s="33"/>
      <c r="C88" s="33"/>
      <c r="O88" s="32"/>
    </row>
    <row r="89" spans="1:15" x14ac:dyDescent="0.25">
      <c r="A89" s="1"/>
      <c r="B89" s="33"/>
      <c r="C89" s="33"/>
      <c r="O89" s="32"/>
    </row>
    <row r="90" spans="1:15" x14ac:dyDescent="0.25">
      <c r="A90" s="1"/>
      <c r="B90" s="33"/>
      <c r="C90" s="33"/>
      <c r="O90" s="32"/>
    </row>
    <row r="91" spans="1:15" x14ac:dyDescent="0.25">
      <c r="A91" s="1"/>
      <c r="B91" s="33"/>
      <c r="C91" s="33"/>
      <c r="O91" s="32"/>
    </row>
    <row r="92" spans="1:15" x14ac:dyDescent="0.25">
      <c r="A92" s="1"/>
      <c r="B92" s="33"/>
      <c r="C92" s="33"/>
      <c r="O92" s="32"/>
    </row>
    <row r="93" spans="1:15" x14ac:dyDescent="0.25">
      <c r="A93" s="1"/>
      <c r="B93" s="33"/>
      <c r="C93" s="33"/>
      <c r="O93" s="32"/>
    </row>
    <row r="94" spans="1:15" x14ac:dyDescent="0.25">
      <c r="A94" s="1"/>
      <c r="B94" s="33"/>
      <c r="C94" s="33"/>
      <c r="O94" s="32"/>
    </row>
    <row r="95" spans="1:15" x14ac:dyDescent="0.25">
      <c r="A95" s="1"/>
      <c r="B95" s="33"/>
      <c r="C95" s="33"/>
      <c r="O95" s="32"/>
    </row>
    <row r="96" spans="1:15" x14ac:dyDescent="0.25">
      <c r="A96" s="1"/>
      <c r="B96" s="33"/>
      <c r="C96" s="33"/>
      <c r="O96" s="32"/>
    </row>
    <row r="97" spans="1:15" x14ac:dyDescent="0.25">
      <c r="A97" s="1"/>
      <c r="B97" s="33"/>
      <c r="C97" s="33"/>
      <c r="O97" s="32"/>
    </row>
    <row r="98" spans="1:15" x14ac:dyDescent="0.25">
      <c r="A98" s="1"/>
      <c r="B98" s="33"/>
      <c r="C98" s="33"/>
      <c r="O98" s="32"/>
    </row>
    <row r="99" spans="1:15" x14ac:dyDescent="0.25">
      <c r="A99" s="1"/>
      <c r="B99" s="33"/>
      <c r="C99" s="33"/>
      <c r="O99" s="32"/>
    </row>
    <row r="100" spans="1:15" x14ac:dyDescent="0.25">
      <c r="A100" s="1"/>
      <c r="B100" s="33"/>
      <c r="C100" s="33"/>
      <c r="O100" s="32"/>
    </row>
    <row r="101" spans="1:15" x14ac:dyDescent="0.25">
      <c r="A101" s="1"/>
      <c r="B101" s="33"/>
      <c r="C101" s="33"/>
      <c r="O101" s="32"/>
    </row>
    <row r="102" spans="1:15" x14ac:dyDescent="0.25">
      <c r="A102" s="1"/>
      <c r="B102" s="33"/>
      <c r="C102" s="33"/>
      <c r="O102" s="32"/>
    </row>
    <row r="103" spans="1:15" x14ac:dyDescent="0.25">
      <c r="A103" s="1"/>
      <c r="B103" s="33"/>
      <c r="C103" s="33"/>
      <c r="O103" s="32"/>
    </row>
    <row r="104" spans="1:15" x14ac:dyDescent="0.25">
      <c r="A104" s="1"/>
      <c r="B104" s="33"/>
      <c r="C104" s="33"/>
      <c r="O104" s="32"/>
    </row>
    <row r="105" spans="1:15" x14ac:dyDescent="0.25">
      <c r="A105" s="1"/>
      <c r="B105" s="33"/>
      <c r="C105" s="33"/>
      <c r="O105" s="32"/>
    </row>
    <row r="106" spans="1:15" x14ac:dyDescent="0.25">
      <c r="A106" s="1"/>
      <c r="B106" s="33"/>
      <c r="C106" s="33"/>
      <c r="O106" s="32"/>
    </row>
    <row r="107" spans="1:15" x14ac:dyDescent="0.25">
      <c r="A107" s="1"/>
      <c r="B107" s="33"/>
      <c r="C107" s="33"/>
      <c r="O107" s="32"/>
    </row>
    <row r="108" spans="1:15" x14ac:dyDescent="0.25">
      <c r="A108" s="1"/>
      <c r="B108" s="33"/>
      <c r="C108" s="33"/>
      <c r="O108" s="32"/>
    </row>
    <row r="109" spans="1:15" x14ac:dyDescent="0.25">
      <c r="A109" s="1"/>
      <c r="B109" s="33"/>
      <c r="C109" s="33"/>
      <c r="O109" s="32"/>
    </row>
    <row r="110" spans="1:15" x14ac:dyDescent="0.25">
      <c r="A110" s="1"/>
      <c r="B110" s="33"/>
      <c r="C110" s="33"/>
      <c r="O110" s="32"/>
    </row>
    <row r="111" spans="1:15" x14ac:dyDescent="0.25">
      <c r="A111" s="1"/>
      <c r="B111" s="33"/>
      <c r="C111" s="33"/>
      <c r="O111" s="32"/>
    </row>
    <row r="112" spans="1:15" x14ac:dyDescent="0.25">
      <c r="A112" s="1"/>
      <c r="B112" s="33"/>
      <c r="C112" s="33"/>
      <c r="O112" s="32"/>
    </row>
    <row r="113" spans="1:15" x14ac:dyDescent="0.25">
      <c r="A113" s="1"/>
      <c r="B113" s="33"/>
      <c r="C113" s="33"/>
      <c r="O113" s="32"/>
    </row>
    <row r="114" spans="1:15" x14ac:dyDescent="0.25">
      <c r="A114" s="1"/>
      <c r="B114" s="33"/>
      <c r="C114" s="33"/>
      <c r="O114" s="32"/>
    </row>
    <row r="115" spans="1:15" x14ac:dyDescent="0.25">
      <c r="A115" s="1"/>
      <c r="B115" s="33"/>
      <c r="C115" s="33"/>
      <c r="O115" s="32"/>
    </row>
    <row r="116" spans="1:15" x14ac:dyDescent="0.25">
      <c r="A116" s="1"/>
      <c r="B116" s="33"/>
      <c r="C116" s="33"/>
      <c r="O116" s="32"/>
    </row>
    <row r="117" spans="1:15" x14ac:dyDescent="0.25">
      <c r="A117" s="1"/>
      <c r="B117" s="33"/>
      <c r="C117" s="33"/>
      <c r="O117" s="32"/>
    </row>
    <row r="118" spans="1:15" x14ac:dyDescent="0.25">
      <c r="A118" s="1"/>
      <c r="B118" s="33"/>
      <c r="C118" s="33"/>
      <c r="O118" s="32"/>
    </row>
    <row r="119" spans="1:15" x14ac:dyDescent="0.25">
      <c r="A119" s="1"/>
      <c r="B119" s="33"/>
      <c r="C119" s="33"/>
      <c r="O119" s="32"/>
    </row>
    <row r="120" spans="1:15" x14ac:dyDescent="0.25">
      <c r="A120" s="1"/>
      <c r="B120" s="33"/>
      <c r="C120" s="33"/>
      <c r="O120" s="32"/>
    </row>
    <row r="121" spans="1:15" x14ac:dyDescent="0.25">
      <c r="A121" s="1"/>
      <c r="B121" s="33"/>
      <c r="C121" s="33"/>
      <c r="O121" s="32"/>
    </row>
    <row r="122" spans="1:15" x14ac:dyDescent="0.25">
      <c r="A122" s="1"/>
      <c r="B122" s="33"/>
      <c r="C122" s="33"/>
      <c r="O122" s="32"/>
    </row>
    <row r="123" spans="1:15" x14ac:dyDescent="0.25">
      <c r="A123" s="1"/>
      <c r="B123" s="33"/>
      <c r="C123" s="33"/>
      <c r="O123" s="32"/>
    </row>
    <row r="124" spans="1:15" x14ac:dyDescent="0.25">
      <c r="A124" s="1"/>
      <c r="B124" s="33"/>
      <c r="C124" s="33"/>
      <c r="O124" s="32"/>
    </row>
    <row r="125" spans="1:15" x14ac:dyDescent="0.25">
      <c r="A125" s="1"/>
      <c r="B125" s="33"/>
      <c r="C125" s="33"/>
      <c r="O125" s="32"/>
    </row>
    <row r="126" spans="1:15" x14ac:dyDescent="0.25">
      <c r="A126" s="1"/>
      <c r="B126" s="33"/>
      <c r="C126" s="33"/>
      <c r="O126" s="32"/>
    </row>
    <row r="127" spans="1:15" x14ac:dyDescent="0.25">
      <c r="A127" s="1"/>
      <c r="B127" s="33"/>
      <c r="C127" s="33"/>
      <c r="O127" s="32"/>
    </row>
    <row r="128" spans="1:15" x14ac:dyDescent="0.25">
      <c r="A128" s="1"/>
      <c r="B128" s="33"/>
      <c r="C128" s="33"/>
      <c r="O128" s="32"/>
    </row>
    <row r="129" spans="1:15" x14ac:dyDescent="0.25">
      <c r="A129" s="1"/>
      <c r="B129" s="33"/>
      <c r="C129" s="33"/>
      <c r="O129" s="32"/>
    </row>
    <row r="130" spans="1:15" x14ac:dyDescent="0.25">
      <c r="A130" s="1"/>
      <c r="B130" s="33"/>
      <c r="C130" s="33"/>
      <c r="O130" s="32"/>
    </row>
    <row r="131" spans="1:15" x14ac:dyDescent="0.25">
      <c r="A131" s="1"/>
      <c r="B131" s="33"/>
      <c r="C131" s="33"/>
      <c r="O131" s="32"/>
    </row>
    <row r="132" spans="1:15" x14ac:dyDescent="0.25">
      <c r="A132" s="1"/>
      <c r="B132" s="33"/>
      <c r="C132" s="33"/>
      <c r="O132" s="32"/>
    </row>
    <row r="133" spans="1:15" x14ac:dyDescent="0.25">
      <c r="A133" s="1"/>
      <c r="B133" s="33"/>
      <c r="C133" s="33"/>
    </row>
    <row r="134" spans="1:15" x14ac:dyDescent="0.25">
      <c r="B134" s="33"/>
      <c r="C134" s="33"/>
    </row>
    <row r="135" spans="1:15" x14ac:dyDescent="0.25">
      <c r="C135" s="1"/>
    </row>
    <row r="136" spans="1:15" x14ac:dyDescent="0.25">
      <c r="C136" s="1"/>
    </row>
    <row r="137" spans="1:15" x14ac:dyDescent="0.25">
      <c r="C137" s="1"/>
    </row>
    <row r="138" spans="1:15" x14ac:dyDescent="0.25">
      <c r="C138" s="1"/>
    </row>
    <row r="139" spans="1:15" x14ac:dyDescent="0.25">
      <c r="C139" s="1"/>
    </row>
    <row r="140" spans="1:15" x14ac:dyDescent="0.25">
      <c r="C140" s="1"/>
    </row>
    <row r="141" spans="1:15" x14ac:dyDescent="0.25">
      <c r="C141" s="1"/>
    </row>
    <row r="142" spans="1:15" x14ac:dyDescent="0.25">
      <c r="C142" s="1"/>
    </row>
    <row r="143" spans="1:15" x14ac:dyDescent="0.25">
      <c r="C143" s="1"/>
    </row>
    <row r="144" spans="1:1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</sheetData>
  <mergeCells count="2">
    <mergeCell ref="B4:G8"/>
    <mergeCell ref="A10:O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SONParser">
                <anchor moveWithCells="1" sizeWithCells="1">
                  <from>
                    <xdr:col>8</xdr:col>
                    <xdr:colOff>228600</xdr:colOff>
                    <xdr:row>2</xdr:row>
                    <xdr:rowOff>114300</xdr:rowOff>
                  </from>
                  <to>
                    <xdr:col>11</xdr:col>
                    <xdr:colOff>457200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B41BF-83F5-49C9-AED6-FA71362FCD5F}">
  <sheetPr codeName="Blad4"/>
  <dimension ref="A1:F9041"/>
  <sheetViews>
    <sheetView workbookViewId="0">
      <selection activeCell="B7" sqref="B7"/>
    </sheetView>
  </sheetViews>
  <sheetFormatPr defaultRowHeight="15" x14ac:dyDescent="0.25"/>
  <cols>
    <col min="2" max="2" width="38.42578125" customWidth="1"/>
  </cols>
  <sheetData>
    <row r="1" spans="1:6" x14ac:dyDescent="0.25">
      <c r="A1" t="s">
        <v>1</v>
      </c>
      <c r="B1" t="s">
        <v>2</v>
      </c>
      <c r="C1" t="s">
        <v>0</v>
      </c>
      <c r="D1" t="s">
        <v>3</v>
      </c>
      <c r="E1" t="s">
        <v>4</v>
      </c>
      <c r="F1" t="s">
        <v>5</v>
      </c>
    </row>
    <row r="2" spans="1:6" x14ac:dyDescent="0.25">
      <c r="C2" s="1"/>
    </row>
    <row r="3" spans="1:6" x14ac:dyDescent="0.25">
      <c r="C3" s="1"/>
    </row>
    <row r="4" spans="1:6" x14ac:dyDescent="0.25">
      <c r="C4" s="1"/>
    </row>
    <row r="5" spans="1:6" x14ac:dyDescent="0.25">
      <c r="C5" s="1"/>
    </row>
    <row r="6" spans="1:6" x14ac:dyDescent="0.25">
      <c r="C6" s="1"/>
    </row>
    <row r="7" spans="1:6" x14ac:dyDescent="0.25">
      <c r="C7" s="1"/>
    </row>
    <row r="8" spans="1:6" x14ac:dyDescent="0.25">
      <c r="C8" s="1"/>
    </row>
    <row r="9" spans="1:6" x14ac:dyDescent="0.25">
      <c r="C9" s="1"/>
    </row>
    <row r="10" spans="1:6" x14ac:dyDescent="0.25">
      <c r="C10" s="1"/>
    </row>
    <row r="11" spans="1:6" x14ac:dyDescent="0.25">
      <c r="C11" s="1"/>
    </row>
    <row r="12" spans="1:6" x14ac:dyDescent="0.25">
      <c r="C12" s="1"/>
    </row>
    <row r="13" spans="1:6" x14ac:dyDescent="0.25">
      <c r="C13" s="1"/>
    </row>
    <row r="14" spans="1:6" x14ac:dyDescent="0.25">
      <c r="C14" s="1"/>
    </row>
    <row r="15" spans="1:6" x14ac:dyDescent="0.25">
      <c r="C15" s="1"/>
    </row>
    <row r="16" spans="1:6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  <row r="46" spans="3:3" x14ac:dyDescent="0.25">
      <c r="C46" s="1"/>
    </row>
    <row r="47" spans="3:3" x14ac:dyDescent="0.25">
      <c r="C47" s="1"/>
    </row>
    <row r="48" spans="3:3" x14ac:dyDescent="0.25">
      <c r="C48" s="1"/>
    </row>
    <row r="49" spans="3:3" x14ac:dyDescent="0.25">
      <c r="C49" s="1"/>
    </row>
    <row r="50" spans="3:3" x14ac:dyDescent="0.25">
      <c r="C50" s="1"/>
    </row>
    <row r="51" spans="3:3" x14ac:dyDescent="0.25">
      <c r="C51" s="1"/>
    </row>
    <row r="52" spans="3:3" x14ac:dyDescent="0.25">
      <c r="C52" s="1"/>
    </row>
    <row r="53" spans="3:3" x14ac:dyDescent="0.25">
      <c r="C53" s="1"/>
    </row>
    <row r="54" spans="3:3" x14ac:dyDescent="0.25">
      <c r="C54" s="1"/>
    </row>
    <row r="55" spans="3:3" x14ac:dyDescent="0.25">
      <c r="C55" s="1"/>
    </row>
    <row r="56" spans="3:3" x14ac:dyDescent="0.25">
      <c r="C56" s="1"/>
    </row>
    <row r="57" spans="3:3" x14ac:dyDescent="0.25">
      <c r="C57" s="1"/>
    </row>
    <row r="58" spans="3:3" x14ac:dyDescent="0.25">
      <c r="C58" s="1"/>
    </row>
    <row r="59" spans="3:3" x14ac:dyDescent="0.25">
      <c r="C59" s="1"/>
    </row>
    <row r="60" spans="3:3" x14ac:dyDescent="0.25">
      <c r="C60" s="1"/>
    </row>
    <row r="61" spans="3:3" x14ac:dyDescent="0.25">
      <c r="C61" s="1"/>
    </row>
    <row r="62" spans="3:3" x14ac:dyDescent="0.25">
      <c r="C62" s="1"/>
    </row>
    <row r="63" spans="3:3" x14ac:dyDescent="0.25">
      <c r="C63" s="1"/>
    </row>
    <row r="64" spans="3:3" x14ac:dyDescent="0.25">
      <c r="C64" s="1"/>
    </row>
    <row r="65" spans="3:3" x14ac:dyDescent="0.25">
      <c r="C65" s="1"/>
    </row>
    <row r="66" spans="3:3" x14ac:dyDescent="0.25">
      <c r="C66" s="1"/>
    </row>
    <row r="67" spans="3:3" x14ac:dyDescent="0.25">
      <c r="C67" s="1"/>
    </row>
    <row r="68" spans="3:3" x14ac:dyDescent="0.25">
      <c r="C68" s="1"/>
    </row>
    <row r="69" spans="3:3" x14ac:dyDescent="0.25">
      <c r="C69" s="1"/>
    </row>
    <row r="70" spans="3:3" x14ac:dyDescent="0.25">
      <c r="C70" s="1"/>
    </row>
    <row r="71" spans="3:3" x14ac:dyDescent="0.25">
      <c r="C71" s="1"/>
    </row>
    <row r="72" spans="3:3" x14ac:dyDescent="0.25">
      <c r="C72" s="1"/>
    </row>
    <row r="73" spans="3:3" x14ac:dyDescent="0.25">
      <c r="C73" s="1"/>
    </row>
    <row r="74" spans="3:3" x14ac:dyDescent="0.25">
      <c r="C74" s="1"/>
    </row>
    <row r="75" spans="3:3" x14ac:dyDescent="0.25">
      <c r="C75" s="1"/>
    </row>
    <row r="76" spans="3:3" x14ac:dyDescent="0.25">
      <c r="C76" s="1"/>
    </row>
    <row r="77" spans="3:3" x14ac:dyDescent="0.25">
      <c r="C77" s="1"/>
    </row>
    <row r="78" spans="3:3" x14ac:dyDescent="0.25">
      <c r="C78" s="1"/>
    </row>
    <row r="79" spans="3:3" x14ac:dyDescent="0.25">
      <c r="C79" s="1"/>
    </row>
    <row r="80" spans="3:3" x14ac:dyDescent="0.25">
      <c r="C80" s="1"/>
    </row>
    <row r="81" spans="3:3" x14ac:dyDescent="0.25">
      <c r="C81" s="1"/>
    </row>
    <row r="82" spans="3:3" x14ac:dyDescent="0.25">
      <c r="C82" s="1"/>
    </row>
    <row r="83" spans="3:3" x14ac:dyDescent="0.25">
      <c r="C83" s="1"/>
    </row>
    <row r="84" spans="3:3" x14ac:dyDescent="0.25">
      <c r="C84" s="1"/>
    </row>
    <row r="85" spans="3:3" x14ac:dyDescent="0.25">
      <c r="C85" s="1"/>
    </row>
    <row r="86" spans="3:3" x14ac:dyDescent="0.25">
      <c r="C86" s="1"/>
    </row>
    <row r="87" spans="3:3" x14ac:dyDescent="0.25">
      <c r="C87" s="1"/>
    </row>
    <row r="88" spans="3:3" x14ac:dyDescent="0.25">
      <c r="C88" s="1"/>
    </row>
    <row r="89" spans="3:3" x14ac:dyDescent="0.25">
      <c r="C89" s="1"/>
    </row>
    <row r="90" spans="3:3" x14ac:dyDescent="0.25">
      <c r="C90" s="1"/>
    </row>
    <row r="91" spans="3:3" x14ac:dyDescent="0.25">
      <c r="C91" s="1"/>
    </row>
    <row r="92" spans="3:3" x14ac:dyDescent="0.25">
      <c r="C92" s="1"/>
    </row>
    <row r="93" spans="3:3" x14ac:dyDescent="0.25">
      <c r="C93" s="1"/>
    </row>
    <row r="94" spans="3:3" x14ac:dyDescent="0.25">
      <c r="C94" s="1"/>
    </row>
    <row r="95" spans="3:3" x14ac:dyDescent="0.25">
      <c r="C95" s="1"/>
    </row>
    <row r="96" spans="3:3" x14ac:dyDescent="0.25">
      <c r="C96" s="1"/>
    </row>
    <row r="97" spans="3:3" x14ac:dyDescent="0.25">
      <c r="C97" s="1"/>
    </row>
    <row r="98" spans="3:3" x14ac:dyDescent="0.25">
      <c r="C98" s="1"/>
    </row>
    <row r="99" spans="3:3" x14ac:dyDescent="0.25">
      <c r="C99" s="1"/>
    </row>
    <row r="100" spans="3:3" x14ac:dyDescent="0.25">
      <c r="C100" s="1"/>
    </row>
    <row r="101" spans="3:3" x14ac:dyDescent="0.25">
      <c r="C101" s="1"/>
    </row>
    <row r="102" spans="3:3" x14ac:dyDescent="0.25">
      <c r="C102" s="1"/>
    </row>
    <row r="103" spans="3:3" x14ac:dyDescent="0.25">
      <c r="C103" s="1"/>
    </row>
    <row r="104" spans="3:3" x14ac:dyDescent="0.25">
      <c r="C104" s="1"/>
    </row>
    <row r="105" spans="3:3" x14ac:dyDescent="0.25">
      <c r="C105" s="1"/>
    </row>
    <row r="106" spans="3:3" x14ac:dyDescent="0.25">
      <c r="C106" s="1"/>
    </row>
    <row r="107" spans="3:3" x14ac:dyDescent="0.25">
      <c r="C107" s="1"/>
    </row>
    <row r="108" spans="3:3" x14ac:dyDescent="0.25">
      <c r="C108" s="1"/>
    </row>
    <row r="109" spans="3:3" x14ac:dyDescent="0.25">
      <c r="C109" s="1"/>
    </row>
    <row r="110" spans="3:3" x14ac:dyDescent="0.25">
      <c r="C110" s="1"/>
    </row>
    <row r="111" spans="3:3" x14ac:dyDescent="0.25">
      <c r="C111" s="1"/>
    </row>
    <row r="112" spans="3:3" x14ac:dyDescent="0.25">
      <c r="C112" s="1"/>
    </row>
    <row r="113" spans="3:3" x14ac:dyDescent="0.25">
      <c r="C113" s="1"/>
    </row>
    <row r="114" spans="3:3" x14ac:dyDescent="0.25">
      <c r="C114" s="1"/>
    </row>
    <row r="115" spans="3:3" x14ac:dyDescent="0.25">
      <c r="C115" s="1"/>
    </row>
    <row r="116" spans="3:3" x14ac:dyDescent="0.25">
      <c r="C116" s="1"/>
    </row>
    <row r="117" spans="3:3" x14ac:dyDescent="0.25">
      <c r="C117" s="1"/>
    </row>
    <row r="118" spans="3:3" x14ac:dyDescent="0.25">
      <c r="C118" s="1"/>
    </row>
    <row r="119" spans="3:3" x14ac:dyDescent="0.25">
      <c r="C119" s="1"/>
    </row>
    <row r="120" spans="3:3" x14ac:dyDescent="0.25">
      <c r="C120" s="1"/>
    </row>
    <row r="121" spans="3:3" x14ac:dyDescent="0.25">
      <c r="C121" s="1"/>
    </row>
    <row r="122" spans="3:3" x14ac:dyDescent="0.25">
      <c r="C122" s="1"/>
    </row>
    <row r="123" spans="3:3" x14ac:dyDescent="0.25">
      <c r="C123" s="1"/>
    </row>
    <row r="124" spans="3:3" x14ac:dyDescent="0.25">
      <c r="C124" s="1"/>
    </row>
    <row r="125" spans="3:3" x14ac:dyDescent="0.25">
      <c r="C125" s="1"/>
    </row>
    <row r="126" spans="3:3" x14ac:dyDescent="0.25">
      <c r="C126" s="1"/>
    </row>
    <row r="127" spans="3:3" x14ac:dyDescent="0.25">
      <c r="C127" s="1"/>
    </row>
    <row r="128" spans="3:3" x14ac:dyDescent="0.25">
      <c r="C128" s="1"/>
    </row>
    <row r="129" spans="3:3" x14ac:dyDescent="0.25">
      <c r="C129" s="1"/>
    </row>
    <row r="130" spans="3:3" x14ac:dyDescent="0.25">
      <c r="C130" s="1"/>
    </row>
    <row r="131" spans="3:3" x14ac:dyDescent="0.25">
      <c r="C131" s="1"/>
    </row>
    <row r="132" spans="3:3" x14ac:dyDescent="0.25">
      <c r="C132" s="1"/>
    </row>
    <row r="133" spans="3:3" x14ac:dyDescent="0.25">
      <c r="C133" s="1"/>
    </row>
    <row r="134" spans="3:3" x14ac:dyDescent="0.25">
      <c r="C134" s="1"/>
    </row>
    <row r="135" spans="3:3" x14ac:dyDescent="0.25">
      <c r="C135" s="1"/>
    </row>
    <row r="136" spans="3:3" x14ac:dyDescent="0.25">
      <c r="C136" s="1"/>
    </row>
    <row r="137" spans="3:3" x14ac:dyDescent="0.25">
      <c r="C137" s="1"/>
    </row>
    <row r="138" spans="3:3" x14ac:dyDescent="0.25">
      <c r="C138" s="1"/>
    </row>
    <row r="139" spans="3:3" x14ac:dyDescent="0.25">
      <c r="C139" s="1"/>
    </row>
    <row r="140" spans="3:3" x14ac:dyDescent="0.25">
      <c r="C140" s="1"/>
    </row>
    <row r="141" spans="3:3" x14ac:dyDescent="0.25">
      <c r="C141" s="1"/>
    </row>
    <row r="142" spans="3:3" x14ac:dyDescent="0.25">
      <c r="C142" s="1"/>
    </row>
    <row r="143" spans="3:3" x14ac:dyDescent="0.25">
      <c r="C143" s="1"/>
    </row>
    <row r="144" spans="3:3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</sheetData>
  <autoFilter ref="A1:F9041" xr:uid="{B5D7D6DE-8109-44FA-8E53-A18ACC09BD2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5117-2441-49A5-9A1E-DAC75CE0A6D7}">
  <sheetPr codeName="Blad3"/>
  <dimension ref="A1:F132"/>
  <sheetViews>
    <sheetView workbookViewId="0">
      <selection activeCell="E14" sqref="E14"/>
    </sheetView>
  </sheetViews>
  <sheetFormatPr defaultRowHeight="15" x14ac:dyDescent="0.25"/>
  <cols>
    <col min="1" max="1" width="16.85546875" customWidth="1"/>
    <col min="2" max="2" width="15.140625" customWidth="1"/>
    <col min="3" max="3" width="16" customWidth="1"/>
  </cols>
  <sheetData>
    <row r="1" spans="1:6" x14ac:dyDescent="0.25">
      <c r="A1" t="s">
        <v>11</v>
      </c>
      <c r="B1" t="str">
        <f t="array" ref="B1:F1">TRANSPOSE(Portfolio!$C$32:$C$36)</f>
        <v>PFE</v>
      </c>
      <c r="C1" t="str">
        <v>MSFT</v>
      </c>
      <c r="D1" t="str">
        <v>GS</v>
      </c>
      <c r="E1" t="str">
        <v>XOM</v>
      </c>
      <c r="F1" t="str">
        <v>GE</v>
      </c>
    </row>
    <row r="2" spans="1:6" x14ac:dyDescent="0.25">
      <c r="A2" t="s">
        <v>12</v>
      </c>
      <c r="B2" s="34">
        <f t="array" ref="B2:F2">TRANSPOSE(Portfolio!$F$32:$F$36)</f>
        <v>0.2</v>
      </c>
      <c r="C2" s="34">
        <v>0.2</v>
      </c>
      <c r="D2" s="34">
        <v>0.2</v>
      </c>
      <c r="E2" s="34">
        <v>0.2</v>
      </c>
      <c r="F2" s="34">
        <v>0.2</v>
      </c>
    </row>
    <row r="3" spans="1:6" x14ac:dyDescent="0.25">
      <c r="A3" t="s">
        <v>0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</row>
    <row r="4" spans="1:6" x14ac:dyDescent="0.25">
      <c r="A4" s="1"/>
      <c r="B4" s="33"/>
      <c r="C4" s="33"/>
      <c r="D4" s="33"/>
      <c r="E4" s="33"/>
      <c r="F4" s="33"/>
    </row>
    <row r="5" spans="1:6" x14ac:dyDescent="0.25">
      <c r="A5" s="1"/>
    </row>
    <row r="6" spans="1:6" x14ac:dyDescent="0.25">
      <c r="A6" s="1"/>
    </row>
    <row r="7" spans="1:6" x14ac:dyDescent="0.25">
      <c r="A7" s="1"/>
    </row>
    <row r="8" spans="1:6" x14ac:dyDescent="0.25">
      <c r="A8" s="1"/>
    </row>
    <row r="9" spans="1:6" x14ac:dyDescent="0.25">
      <c r="A9" s="1"/>
    </row>
    <row r="10" spans="1:6" x14ac:dyDescent="0.25">
      <c r="A10" s="1"/>
    </row>
    <row r="11" spans="1:6" x14ac:dyDescent="0.25">
      <c r="A11" s="1"/>
    </row>
    <row r="12" spans="1:6" x14ac:dyDescent="0.25">
      <c r="A12" s="1"/>
    </row>
    <row r="13" spans="1:6" x14ac:dyDescent="0.25">
      <c r="A13" s="1"/>
    </row>
    <row r="14" spans="1:6" x14ac:dyDescent="0.25">
      <c r="A14" s="1"/>
    </row>
    <row r="15" spans="1:6" x14ac:dyDescent="0.25">
      <c r="A15" s="1"/>
    </row>
    <row r="16" spans="1:6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5A92-F8ED-4EEA-A02B-E70E2873D1C8}">
  <sheetPr codeName="Blad2"/>
  <dimension ref="A1:O131"/>
  <sheetViews>
    <sheetView workbookViewId="0">
      <selection activeCell="B6" sqref="B6"/>
    </sheetView>
  </sheetViews>
  <sheetFormatPr defaultRowHeight="15" x14ac:dyDescent="0.25"/>
  <cols>
    <col min="1" max="1" width="12.28515625" customWidth="1"/>
    <col min="2" max="2" width="12.7109375" bestFit="1" customWidth="1"/>
    <col min="3" max="3" width="14.42578125" customWidth="1"/>
    <col min="4" max="4" width="14.85546875" customWidth="1"/>
    <col min="5" max="5" width="12.7109375" bestFit="1" customWidth="1"/>
    <col min="6" max="6" width="16.28515625" customWidth="1"/>
    <col min="7" max="7" width="18.42578125" customWidth="1"/>
  </cols>
  <sheetData>
    <row r="1" spans="1:15" x14ac:dyDescent="0.25">
      <c r="A1" t="s">
        <v>22</v>
      </c>
      <c r="B1" t="e">
        <f>B131/B6</f>
        <v>#DIV/0!</v>
      </c>
      <c r="C1" t="e">
        <f>C131/C6</f>
        <v>#DIV/0!</v>
      </c>
      <c r="D1" t="e">
        <f>D131/D6</f>
        <v>#DIV/0!</v>
      </c>
      <c r="E1" t="e">
        <f>E131/E6</f>
        <v>#DIV/0!</v>
      </c>
      <c r="F1" t="e">
        <f>F131/F6</f>
        <v>#DIV/0!</v>
      </c>
      <c r="G1" t="s">
        <v>23</v>
      </c>
      <c r="H1" t="s">
        <v>13</v>
      </c>
      <c r="N1" t="s">
        <v>47</v>
      </c>
      <c r="O1" t="s">
        <v>48</v>
      </c>
    </row>
    <row r="2" spans="1:15" x14ac:dyDescent="0.25">
      <c r="A2" t="s">
        <v>45</v>
      </c>
      <c r="B2" t="e">
        <f>MIN(B6:B131)/B$6</f>
        <v>#DIV/0!</v>
      </c>
      <c r="C2" t="e">
        <f t="shared" ref="C2:F2" si="0">MIN(C6:C131)/C$6</f>
        <v>#DIV/0!</v>
      </c>
      <c r="D2" t="e">
        <f t="shared" si="0"/>
        <v>#DIV/0!</v>
      </c>
      <c r="E2" t="e">
        <f t="shared" si="0"/>
        <v>#DIV/0!</v>
      </c>
      <c r="F2" t="e">
        <f t="shared" si="0"/>
        <v>#DIV/0!</v>
      </c>
      <c r="G2" t="e">
        <f>MIN(G6:G131)</f>
        <v>#DIV/0!</v>
      </c>
      <c r="H2" t="e">
        <f>VLOOKUP(G2,$G$6:$H$131,2,0)</f>
        <v>#DIV/0!</v>
      </c>
      <c r="K2" t="s">
        <v>41</v>
      </c>
      <c r="L2" t="e">
        <f>MIN(B1:F1)</f>
        <v>#DIV/0!</v>
      </c>
      <c r="M2" t="e">
        <f>HLOOKUP(L2,$B$1:$F$5,5,0)</f>
        <v>#DIV/0!</v>
      </c>
      <c r="N2" t="e">
        <f>HLOOKUP(L2,$B$1:$F$5,2,0)</f>
        <v>#DIV/0!</v>
      </c>
      <c r="O2" t="e">
        <f>HLOOKUP(L2,$B$1:$F$5,3,0)</f>
        <v>#DIV/0!</v>
      </c>
    </row>
    <row r="3" spans="1:15" x14ac:dyDescent="0.25">
      <c r="A3" t="s">
        <v>46</v>
      </c>
      <c r="B3" t="e">
        <f>MAX(B6:B131)/B6</f>
        <v>#DIV/0!</v>
      </c>
      <c r="C3" t="e">
        <f t="shared" ref="C3:F3" si="1">MAX(C6:C131)/C6</f>
        <v>#DIV/0!</v>
      </c>
      <c r="D3" t="e">
        <f t="shared" si="1"/>
        <v>#DIV/0!</v>
      </c>
      <c r="E3" t="e">
        <f t="shared" si="1"/>
        <v>#DIV/0!</v>
      </c>
      <c r="F3" t="e">
        <f t="shared" si="1"/>
        <v>#DIV/0!</v>
      </c>
      <c r="G3" t="e">
        <f>MAX(G6:G131)</f>
        <v>#DIV/0!</v>
      </c>
      <c r="H3" t="e">
        <f>VLOOKUP(G3,$G$6:$H$131,2,0)</f>
        <v>#DIV/0!</v>
      </c>
      <c r="K3" t="s">
        <v>42</v>
      </c>
      <c r="L3" t="e">
        <f>MAX(B1:F1)</f>
        <v>#DIV/0!</v>
      </c>
      <c r="M3" t="e">
        <f>HLOOKUP(L3,$B$1:$F$5,5,0)</f>
        <v>#DIV/0!</v>
      </c>
      <c r="N3" t="e">
        <f>HLOOKUP(L3,$B$1:$F$5,2,0)</f>
        <v>#DIV/0!</v>
      </c>
      <c r="O3" t="e">
        <f>HLOOKUP(L3,$B$1:$F$5,3,0)</f>
        <v>#DIV/0!</v>
      </c>
    </row>
    <row r="5" spans="1:15" x14ac:dyDescent="0.25">
      <c r="A5" t="s">
        <v>13</v>
      </c>
      <c r="B5" t="str">
        <f>Assets!B1</f>
        <v>PFE</v>
      </c>
      <c r="C5" t="str">
        <f>Assets!C1</f>
        <v>MSFT</v>
      </c>
      <c r="D5" t="str">
        <f>Assets!D1</f>
        <v>GS</v>
      </c>
      <c r="E5" t="str">
        <f>Assets!E1</f>
        <v>XOM</v>
      </c>
      <c r="F5" t="str">
        <f>Assets!F1</f>
        <v>GE</v>
      </c>
      <c r="G5" t="s">
        <v>39</v>
      </c>
      <c r="H5" t="s">
        <v>13</v>
      </c>
    </row>
    <row r="6" spans="1:15" x14ac:dyDescent="0.25">
      <c r="A6" s="1">
        <f>Assets!A4</f>
        <v>0</v>
      </c>
      <c r="B6" t="e">
        <f>Assets!B4/Assets!B$4*Assets!B$2</f>
        <v>#DIV/0!</v>
      </c>
      <c r="C6" t="e">
        <f>Assets!C4/Assets!C$4*Assets!C$2</f>
        <v>#DIV/0!</v>
      </c>
      <c r="D6" t="e">
        <f>Assets!D4/Assets!D$4*Assets!D$2</f>
        <v>#DIV/0!</v>
      </c>
      <c r="E6" t="e">
        <f>Assets!E4/Assets!E$4*Assets!E$2</f>
        <v>#DIV/0!</v>
      </c>
      <c r="F6" t="e">
        <f>Assets!F4/Assets!F$4*Assets!F$2</f>
        <v>#DIV/0!</v>
      </c>
      <c r="G6" t="e">
        <f>SUM(B6:F6)</f>
        <v>#DIV/0!</v>
      </c>
      <c r="H6" s="1">
        <f>A6</f>
        <v>0</v>
      </c>
    </row>
    <row r="7" spans="1:15" x14ac:dyDescent="0.25">
      <c r="A7" s="1">
        <f>Assets!A5</f>
        <v>0</v>
      </c>
      <c r="B7" t="e">
        <f>Assets!B5/Assets!B$4*Assets!B$2</f>
        <v>#DIV/0!</v>
      </c>
      <c r="C7" t="e">
        <f>Assets!C5/Assets!C$4*Assets!C$2</f>
        <v>#DIV/0!</v>
      </c>
      <c r="D7" t="e">
        <f>Assets!D5/Assets!D$4*Assets!D$2</f>
        <v>#DIV/0!</v>
      </c>
      <c r="E7" t="e">
        <f>Assets!E5/Assets!E$4*Assets!E$2</f>
        <v>#DIV/0!</v>
      </c>
      <c r="F7" t="e">
        <f>Assets!F5/Assets!F$4*Assets!F$2</f>
        <v>#DIV/0!</v>
      </c>
      <c r="G7" t="e">
        <f t="shared" ref="G7:G70" si="2">SUM(B7:F7)</f>
        <v>#DIV/0!</v>
      </c>
      <c r="H7" s="1">
        <f t="shared" ref="H7:H70" si="3">A7</f>
        <v>0</v>
      </c>
    </row>
    <row r="8" spans="1:15" x14ac:dyDescent="0.25">
      <c r="A8" s="1">
        <f>Assets!A6</f>
        <v>0</v>
      </c>
      <c r="B8" t="e">
        <f>Assets!B6/Assets!B$4*Assets!B$2</f>
        <v>#DIV/0!</v>
      </c>
      <c r="C8" t="e">
        <f>Assets!C6/Assets!C$4*Assets!C$2</f>
        <v>#DIV/0!</v>
      </c>
      <c r="D8" t="e">
        <f>Assets!D6/Assets!D$4*Assets!D$2</f>
        <v>#DIV/0!</v>
      </c>
      <c r="E8" t="e">
        <f>Assets!E6/Assets!E$4*Assets!E$2</f>
        <v>#DIV/0!</v>
      </c>
      <c r="F8" t="e">
        <f>Assets!F6/Assets!F$4*Assets!F$2</f>
        <v>#DIV/0!</v>
      </c>
      <c r="G8" t="e">
        <f t="shared" si="2"/>
        <v>#DIV/0!</v>
      </c>
      <c r="H8" s="1">
        <f t="shared" si="3"/>
        <v>0</v>
      </c>
    </row>
    <row r="9" spans="1:15" x14ac:dyDescent="0.25">
      <c r="A9" s="1">
        <f>Assets!A7</f>
        <v>0</v>
      </c>
      <c r="B9" t="e">
        <f>Assets!B7/Assets!B$4*Assets!B$2</f>
        <v>#DIV/0!</v>
      </c>
      <c r="C9" t="e">
        <f>Assets!C7/Assets!C$4*Assets!C$2</f>
        <v>#DIV/0!</v>
      </c>
      <c r="D9" t="e">
        <f>Assets!D7/Assets!D$4*Assets!D$2</f>
        <v>#DIV/0!</v>
      </c>
      <c r="E9" t="e">
        <f>Assets!E7/Assets!E$4*Assets!E$2</f>
        <v>#DIV/0!</v>
      </c>
      <c r="F9" t="e">
        <f>Assets!F7/Assets!F$4*Assets!F$2</f>
        <v>#DIV/0!</v>
      </c>
      <c r="G9" t="e">
        <f t="shared" si="2"/>
        <v>#DIV/0!</v>
      </c>
      <c r="H9" s="1">
        <f t="shared" si="3"/>
        <v>0</v>
      </c>
    </row>
    <row r="10" spans="1:15" x14ac:dyDescent="0.25">
      <c r="A10" s="1">
        <f>Assets!A8</f>
        <v>0</v>
      </c>
      <c r="B10" t="e">
        <f>Assets!B8/Assets!B$4*Assets!B$2</f>
        <v>#DIV/0!</v>
      </c>
      <c r="C10" t="e">
        <f>Assets!C8/Assets!C$4*Assets!C$2</f>
        <v>#DIV/0!</v>
      </c>
      <c r="D10" t="e">
        <f>Assets!D8/Assets!D$4*Assets!D$2</f>
        <v>#DIV/0!</v>
      </c>
      <c r="E10" t="e">
        <f>Assets!E8/Assets!E$4*Assets!E$2</f>
        <v>#DIV/0!</v>
      </c>
      <c r="F10" t="e">
        <f>Assets!F8/Assets!F$4*Assets!F$2</f>
        <v>#DIV/0!</v>
      </c>
      <c r="G10" t="e">
        <f t="shared" si="2"/>
        <v>#DIV/0!</v>
      </c>
      <c r="H10" s="1">
        <f t="shared" si="3"/>
        <v>0</v>
      </c>
    </row>
    <row r="11" spans="1:15" x14ac:dyDescent="0.25">
      <c r="A11" s="1">
        <f>Assets!A9</f>
        <v>0</v>
      </c>
      <c r="B11" t="e">
        <f>Assets!B9/Assets!B$4*Assets!B$2</f>
        <v>#DIV/0!</v>
      </c>
      <c r="C11" t="e">
        <f>Assets!C9/Assets!C$4*Assets!C$2</f>
        <v>#DIV/0!</v>
      </c>
      <c r="D11" t="e">
        <f>Assets!D9/Assets!D$4*Assets!D$2</f>
        <v>#DIV/0!</v>
      </c>
      <c r="E11" t="e">
        <f>Assets!E9/Assets!E$4*Assets!E$2</f>
        <v>#DIV/0!</v>
      </c>
      <c r="F11" t="e">
        <f>Assets!F9/Assets!F$4*Assets!F$2</f>
        <v>#DIV/0!</v>
      </c>
      <c r="G11" t="e">
        <f t="shared" si="2"/>
        <v>#DIV/0!</v>
      </c>
      <c r="H11" s="1">
        <f t="shared" si="3"/>
        <v>0</v>
      </c>
    </row>
    <row r="12" spans="1:15" x14ac:dyDescent="0.25">
      <c r="A12" s="1">
        <f>Assets!A10</f>
        <v>0</v>
      </c>
      <c r="B12" t="e">
        <f>Assets!B10/Assets!B$4*Assets!B$2</f>
        <v>#DIV/0!</v>
      </c>
      <c r="C12" t="e">
        <f>Assets!C10/Assets!C$4*Assets!C$2</f>
        <v>#DIV/0!</v>
      </c>
      <c r="D12" t="e">
        <f>Assets!D10/Assets!D$4*Assets!D$2</f>
        <v>#DIV/0!</v>
      </c>
      <c r="E12" t="e">
        <f>Assets!E10/Assets!E$4*Assets!E$2</f>
        <v>#DIV/0!</v>
      </c>
      <c r="F12" t="e">
        <f>Assets!F10/Assets!F$4*Assets!F$2</f>
        <v>#DIV/0!</v>
      </c>
      <c r="G12" t="e">
        <f t="shared" si="2"/>
        <v>#DIV/0!</v>
      </c>
      <c r="H12" s="1">
        <f t="shared" si="3"/>
        <v>0</v>
      </c>
    </row>
    <row r="13" spans="1:15" x14ac:dyDescent="0.25">
      <c r="A13" s="1">
        <f>Assets!A11</f>
        <v>0</v>
      </c>
      <c r="B13" t="e">
        <f>Assets!B11/Assets!B$4*Assets!B$2</f>
        <v>#DIV/0!</v>
      </c>
      <c r="C13" t="e">
        <f>Assets!C11/Assets!C$4*Assets!C$2</f>
        <v>#DIV/0!</v>
      </c>
      <c r="D13" t="e">
        <f>Assets!D11/Assets!D$4*Assets!D$2</f>
        <v>#DIV/0!</v>
      </c>
      <c r="E13" t="e">
        <f>Assets!E11/Assets!E$4*Assets!E$2</f>
        <v>#DIV/0!</v>
      </c>
      <c r="F13" t="e">
        <f>Assets!F11/Assets!F$4*Assets!F$2</f>
        <v>#DIV/0!</v>
      </c>
      <c r="G13" t="e">
        <f t="shared" si="2"/>
        <v>#DIV/0!</v>
      </c>
      <c r="H13" s="1">
        <f t="shared" si="3"/>
        <v>0</v>
      </c>
    </row>
    <row r="14" spans="1:15" x14ac:dyDescent="0.25">
      <c r="A14" s="1">
        <f>Assets!A12</f>
        <v>0</v>
      </c>
      <c r="B14" t="e">
        <f>Assets!B12/Assets!B$4*Assets!B$2</f>
        <v>#DIV/0!</v>
      </c>
      <c r="C14" t="e">
        <f>Assets!C12/Assets!C$4*Assets!C$2</f>
        <v>#DIV/0!</v>
      </c>
      <c r="D14" t="e">
        <f>Assets!D12/Assets!D$4*Assets!D$2</f>
        <v>#DIV/0!</v>
      </c>
      <c r="E14" t="e">
        <f>Assets!E12/Assets!E$4*Assets!E$2</f>
        <v>#DIV/0!</v>
      </c>
      <c r="F14" t="e">
        <f>Assets!F12/Assets!F$4*Assets!F$2</f>
        <v>#DIV/0!</v>
      </c>
      <c r="G14" t="e">
        <f t="shared" si="2"/>
        <v>#DIV/0!</v>
      </c>
      <c r="H14" s="1">
        <f t="shared" si="3"/>
        <v>0</v>
      </c>
    </row>
    <row r="15" spans="1:15" x14ac:dyDescent="0.25">
      <c r="A15" s="1">
        <f>Assets!A13</f>
        <v>0</v>
      </c>
      <c r="B15" t="e">
        <f>Assets!B13/Assets!B$4*Assets!B$2</f>
        <v>#DIV/0!</v>
      </c>
      <c r="C15" t="e">
        <f>Assets!C13/Assets!C$4*Assets!C$2</f>
        <v>#DIV/0!</v>
      </c>
      <c r="D15" t="e">
        <f>Assets!D13/Assets!D$4*Assets!D$2</f>
        <v>#DIV/0!</v>
      </c>
      <c r="E15" t="e">
        <f>Assets!E13/Assets!E$4*Assets!E$2</f>
        <v>#DIV/0!</v>
      </c>
      <c r="F15" t="e">
        <f>Assets!F13/Assets!F$4*Assets!F$2</f>
        <v>#DIV/0!</v>
      </c>
      <c r="G15" t="e">
        <f t="shared" si="2"/>
        <v>#DIV/0!</v>
      </c>
      <c r="H15" s="1">
        <f t="shared" si="3"/>
        <v>0</v>
      </c>
    </row>
    <row r="16" spans="1:15" x14ac:dyDescent="0.25">
      <c r="A16" s="1">
        <f>Assets!A14</f>
        <v>0</v>
      </c>
      <c r="B16" t="e">
        <f>Assets!B14/Assets!B$4*Assets!B$2</f>
        <v>#DIV/0!</v>
      </c>
      <c r="C16" t="e">
        <f>Assets!C14/Assets!C$4*Assets!C$2</f>
        <v>#DIV/0!</v>
      </c>
      <c r="D16" t="e">
        <f>Assets!D14/Assets!D$4*Assets!D$2</f>
        <v>#DIV/0!</v>
      </c>
      <c r="E16" t="e">
        <f>Assets!E14/Assets!E$4*Assets!E$2</f>
        <v>#DIV/0!</v>
      </c>
      <c r="F16" t="e">
        <f>Assets!F14/Assets!F$4*Assets!F$2</f>
        <v>#DIV/0!</v>
      </c>
      <c r="G16" t="e">
        <f t="shared" si="2"/>
        <v>#DIV/0!</v>
      </c>
      <c r="H16" s="1">
        <f t="shared" si="3"/>
        <v>0</v>
      </c>
    </row>
    <row r="17" spans="1:8" x14ac:dyDescent="0.25">
      <c r="A17" s="1">
        <f>Assets!A15</f>
        <v>0</v>
      </c>
      <c r="B17" t="e">
        <f>Assets!B15/Assets!B$4*Assets!B$2</f>
        <v>#DIV/0!</v>
      </c>
      <c r="C17" t="e">
        <f>Assets!C15/Assets!C$4*Assets!C$2</f>
        <v>#DIV/0!</v>
      </c>
      <c r="D17" t="e">
        <f>Assets!D15/Assets!D$4*Assets!D$2</f>
        <v>#DIV/0!</v>
      </c>
      <c r="E17" t="e">
        <f>Assets!E15/Assets!E$4*Assets!E$2</f>
        <v>#DIV/0!</v>
      </c>
      <c r="F17" t="e">
        <f>Assets!F15/Assets!F$4*Assets!F$2</f>
        <v>#DIV/0!</v>
      </c>
      <c r="G17" t="e">
        <f t="shared" si="2"/>
        <v>#DIV/0!</v>
      </c>
      <c r="H17" s="1">
        <f t="shared" si="3"/>
        <v>0</v>
      </c>
    </row>
    <row r="18" spans="1:8" x14ac:dyDescent="0.25">
      <c r="A18" s="1">
        <f>Assets!A16</f>
        <v>0</v>
      </c>
      <c r="B18" t="e">
        <f>Assets!B16/Assets!B$4*Assets!B$2</f>
        <v>#DIV/0!</v>
      </c>
      <c r="C18" t="e">
        <f>Assets!C16/Assets!C$4*Assets!C$2</f>
        <v>#DIV/0!</v>
      </c>
      <c r="D18" t="e">
        <f>Assets!D16/Assets!D$4*Assets!D$2</f>
        <v>#DIV/0!</v>
      </c>
      <c r="E18" t="e">
        <f>Assets!E16/Assets!E$4*Assets!E$2</f>
        <v>#DIV/0!</v>
      </c>
      <c r="F18" t="e">
        <f>Assets!F16/Assets!F$4*Assets!F$2</f>
        <v>#DIV/0!</v>
      </c>
      <c r="G18" t="e">
        <f t="shared" si="2"/>
        <v>#DIV/0!</v>
      </c>
      <c r="H18" s="1">
        <f t="shared" si="3"/>
        <v>0</v>
      </c>
    </row>
    <row r="19" spans="1:8" x14ac:dyDescent="0.25">
      <c r="A19" s="1">
        <f>Assets!A17</f>
        <v>0</v>
      </c>
      <c r="B19" t="e">
        <f>Assets!B17/Assets!B$4*Assets!B$2</f>
        <v>#DIV/0!</v>
      </c>
      <c r="C19" t="e">
        <f>Assets!C17/Assets!C$4*Assets!C$2</f>
        <v>#DIV/0!</v>
      </c>
      <c r="D19" t="e">
        <f>Assets!D17/Assets!D$4*Assets!D$2</f>
        <v>#DIV/0!</v>
      </c>
      <c r="E19" t="e">
        <f>Assets!E17/Assets!E$4*Assets!E$2</f>
        <v>#DIV/0!</v>
      </c>
      <c r="F19" t="e">
        <f>Assets!F17/Assets!F$4*Assets!F$2</f>
        <v>#DIV/0!</v>
      </c>
      <c r="G19" t="e">
        <f t="shared" si="2"/>
        <v>#DIV/0!</v>
      </c>
      <c r="H19" s="1">
        <f t="shared" si="3"/>
        <v>0</v>
      </c>
    </row>
    <row r="20" spans="1:8" x14ac:dyDescent="0.25">
      <c r="A20" s="1">
        <f>Assets!A18</f>
        <v>0</v>
      </c>
      <c r="B20" t="e">
        <f>Assets!B18/Assets!B$4*Assets!B$2</f>
        <v>#DIV/0!</v>
      </c>
      <c r="C20" t="e">
        <f>Assets!C18/Assets!C$4*Assets!C$2</f>
        <v>#DIV/0!</v>
      </c>
      <c r="D20" t="e">
        <f>Assets!D18/Assets!D$4*Assets!D$2</f>
        <v>#DIV/0!</v>
      </c>
      <c r="E20" t="e">
        <f>Assets!E18/Assets!E$4*Assets!E$2</f>
        <v>#DIV/0!</v>
      </c>
      <c r="F20" t="e">
        <f>Assets!F18/Assets!F$4*Assets!F$2</f>
        <v>#DIV/0!</v>
      </c>
      <c r="G20" t="e">
        <f t="shared" si="2"/>
        <v>#DIV/0!</v>
      </c>
      <c r="H20" s="1">
        <f t="shared" si="3"/>
        <v>0</v>
      </c>
    </row>
    <row r="21" spans="1:8" x14ac:dyDescent="0.25">
      <c r="A21" s="1">
        <f>Assets!A19</f>
        <v>0</v>
      </c>
      <c r="B21" t="e">
        <f>Assets!B19/Assets!B$4*Assets!B$2</f>
        <v>#DIV/0!</v>
      </c>
      <c r="C21" t="e">
        <f>Assets!C19/Assets!C$4*Assets!C$2</f>
        <v>#DIV/0!</v>
      </c>
      <c r="D21" t="e">
        <f>Assets!D19/Assets!D$4*Assets!D$2</f>
        <v>#DIV/0!</v>
      </c>
      <c r="E21" t="e">
        <f>Assets!E19/Assets!E$4*Assets!E$2</f>
        <v>#DIV/0!</v>
      </c>
      <c r="F21" t="e">
        <f>Assets!F19/Assets!F$4*Assets!F$2</f>
        <v>#DIV/0!</v>
      </c>
      <c r="G21" t="e">
        <f t="shared" si="2"/>
        <v>#DIV/0!</v>
      </c>
      <c r="H21" s="1">
        <f t="shared" si="3"/>
        <v>0</v>
      </c>
    </row>
    <row r="22" spans="1:8" x14ac:dyDescent="0.25">
      <c r="A22" s="1">
        <f>Assets!A20</f>
        <v>0</v>
      </c>
      <c r="B22" t="e">
        <f>Assets!B20/Assets!B$4*Assets!B$2</f>
        <v>#DIV/0!</v>
      </c>
      <c r="C22" t="e">
        <f>Assets!C20/Assets!C$4*Assets!C$2</f>
        <v>#DIV/0!</v>
      </c>
      <c r="D22" t="e">
        <f>Assets!D20/Assets!D$4*Assets!D$2</f>
        <v>#DIV/0!</v>
      </c>
      <c r="E22" t="e">
        <f>Assets!E20/Assets!E$4*Assets!E$2</f>
        <v>#DIV/0!</v>
      </c>
      <c r="F22" t="e">
        <f>Assets!F20/Assets!F$4*Assets!F$2</f>
        <v>#DIV/0!</v>
      </c>
      <c r="G22" t="e">
        <f t="shared" si="2"/>
        <v>#DIV/0!</v>
      </c>
      <c r="H22" s="1">
        <f t="shared" si="3"/>
        <v>0</v>
      </c>
    </row>
    <row r="23" spans="1:8" x14ac:dyDescent="0.25">
      <c r="A23" s="1">
        <f>Assets!A21</f>
        <v>0</v>
      </c>
      <c r="B23" t="e">
        <f>Assets!B21/Assets!B$4*Assets!B$2</f>
        <v>#DIV/0!</v>
      </c>
      <c r="C23" t="e">
        <f>Assets!C21/Assets!C$4*Assets!C$2</f>
        <v>#DIV/0!</v>
      </c>
      <c r="D23" t="e">
        <f>Assets!D21/Assets!D$4*Assets!D$2</f>
        <v>#DIV/0!</v>
      </c>
      <c r="E23" t="e">
        <f>Assets!E21/Assets!E$4*Assets!E$2</f>
        <v>#DIV/0!</v>
      </c>
      <c r="F23" t="e">
        <f>Assets!F21/Assets!F$4*Assets!F$2</f>
        <v>#DIV/0!</v>
      </c>
      <c r="G23" t="e">
        <f t="shared" si="2"/>
        <v>#DIV/0!</v>
      </c>
      <c r="H23" s="1">
        <f t="shared" si="3"/>
        <v>0</v>
      </c>
    </row>
    <row r="24" spans="1:8" x14ac:dyDescent="0.25">
      <c r="A24" s="1">
        <f>Assets!A22</f>
        <v>0</v>
      </c>
      <c r="B24" t="e">
        <f>Assets!B22/Assets!B$4*Assets!B$2</f>
        <v>#DIV/0!</v>
      </c>
      <c r="C24" t="e">
        <f>Assets!C22/Assets!C$4*Assets!C$2</f>
        <v>#DIV/0!</v>
      </c>
      <c r="D24" t="e">
        <f>Assets!D22/Assets!D$4*Assets!D$2</f>
        <v>#DIV/0!</v>
      </c>
      <c r="E24" t="e">
        <f>Assets!E22/Assets!E$4*Assets!E$2</f>
        <v>#DIV/0!</v>
      </c>
      <c r="F24" t="e">
        <f>Assets!F22/Assets!F$4*Assets!F$2</f>
        <v>#DIV/0!</v>
      </c>
      <c r="G24" t="e">
        <f t="shared" si="2"/>
        <v>#DIV/0!</v>
      </c>
      <c r="H24" s="1">
        <f t="shared" si="3"/>
        <v>0</v>
      </c>
    </row>
    <row r="25" spans="1:8" x14ac:dyDescent="0.25">
      <c r="A25" s="1">
        <f>Assets!A23</f>
        <v>0</v>
      </c>
      <c r="B25" t="e">
        <f>Assets!B23/Assets!B$4*Assets!B$2</f>
        <v>#DIV/0!</v>
      </c>
      <c r="C25" t="e">
        <f>Assets!C23/Assets!C$4*Assets!C$2</f>
        <v>#DIV/0!</v>
      </c>
      <c r="D25" t="e">
        <f>Assets!D23/Assets!D$4*Assets!D$2</f>
        <v>#DIV/0!</v>
      </c>
      <c r="E25" t="e">
        <f>Assets!E23/Assets!E$4*Assets!E$2</f>
        <v>#DIV/0!</v>
      </c>
      <c r="F25" t="e">
        <f>Assets!F23/Assets!F$4*Assets!F$2</f>
        <v>#DIV/0!</v>
      </c>
      <c r="G25" t="e">
        <f t="shared" si="2"/>
        <v>#DIV/0!</v>
      </c>
      <c r="H25" s="1">
        <f t="shared" si="3"/>
        <v>0</v>
      </c>
    </row>
    <row r="26" spans="1:8" x14ac:dyDescent="0.25">
      <c r="A26" s="1">
        <f>Assets!A24</f>
        <v>0</v>
      </c>
      <c r="B26" t="e">
        <f>Assets!B24/Assets!B$4*Assets!B$2</f>
        <v>#DIV/0!</v>
      </c>
      <c r="C26" t="e">
        <f>Assets!C24/Assets!C$4*Assets!C$2</f>
        <v>#DIV/0!</v>
      </c>
      <c r="D26" t="e">
        <f>Assets!D24/Assets!D$4*Assets!D$2</f>
        <v>#DIV/0!</v>
      </c>
      <c r="E26" t="e">
        <f>Assets!E24/Assets!E$4*Assets!E$2</f>
        <v>#DIV/0!</v>
      </c>
      <c r="F26" t="e">
        <f>Assets!F24/Assets!F$4*Assets!F$2</f>
        <v>#DIV/0!</v>
      </c>
      <c r="G26" t="e">
        <f t="shared" si="2"/>
        <v>#DIV/0!</v>
      </c>
      <c r="H26" s="1">
        <f t="shared" si="3"/>
        <v>0</v>
      </c>
    </row>
    <row r="27" spans="1:8" x14ac:dyDescent="0.25">
      <c r="A27" s="1">
        <f>Assets!A25</f>
        <v>0</v>
      </c>
      <c r="B27" t="e">
        <f>Assets!B25/Assets!B$4*Assets!B$2</f>
        <v>#DIV/0!</v>
      </c>
      <c r="C27" t="e">
        <f>Assets!C25/Assets!C$4*Assets!C$2</f>
        <v>#DIV/0!</v>
      </c>
      <c r="D27" t="e">
        <f>Assets!D25/Assets!D$4*Assets!D$2</f>
        <v>#DIV/0!</v>
      </c>
      <c r="E27" t="e">
        <f>Assets!E25/Assets!E$4*Assets!E$2</f>
        <v>#DIV/0!</v>
      </c>
      <c r="F27" t="e">
        <f>Assets!F25/Assets!F$4*Assets!F$2</f>
        <v>#DIV/0!</v>
      </c>
      <c r="G27" t="e">
        <f t="shared" si="2"/>
        <v>#DIV/0!</v>
      </c>
      <c r="H27" s="1">
        <f t="shared" si="3"/>
        <v>0</v>
      </c>
    </row>
    <row r="28" spans="1:8" x14ac:dyDescent="0.25">
      <c r="A28" s="1">
        <f>Assets!A26</f>
        <v>0</v>
      </c>
      <c r="B28" t="e">
        <f>Assets!B26/Assets!B$4*Assets!B$2</f>
        <v>#DIV/0!</v>
      </c>
      <c r="C28" t="e">
        <f>Assets!C26/Assets!C$4*Assets!C$2</f>
        <v>#DIV/0!</v>
      </c>
      <c r="D28" t="e">
        <f>Assets!D26/Assets!D$4*Assets!D$2</f>
        <v>#DIV/0!</v>
      </c>
      <c r="E28" t="e">
        <f>Assets!E26/Assets!E$4*Assets!E$2</f>
        <v>#DIV/0!</v>
      </c>
      <c r="F28" t="e">
        <f>Assets!F26/Assets!F$4*Assets!F$2</f>
        <v>#DIV/0!</v>
      </c>
      <c r="G28" t="e">
        <f t="shared" si="2"/>
        <v>#DIV/0!</v>
      </c>
      <c r="H28" s="1">
        <f t="shared" si="3"/>
        <v>0</v>
      </c>
    </row>
    <row r="29" spans="1:8" x14ac:dyDescent="0.25">
      <c r="A29" s="1">
        <f>Assets!A27</f>
        <v>0</v>
      </c>
      <c r="B29" t="e">
        <f>Assets!B27/Assets!B$4*Assets!B$2</f>
        <v>#DIV/0!</v>
      </c>
      <c r="C29" t="e">
        <f>Assets!C27/Assets!C$4*Assets!C$2</f>
        <v>#DIV/0!</v>
      </c>
      <c r="D29" t="e">
        <f>Assets!D27/Assets!D$4*Assets!D$2</f>
        <v>#DIV/0!</v>
      </c>
      <c r="E29" t="e">
        <f>Assets!E27/Assets!E$4*Assets!E$2</f>
        <v>#DIV/0!</v>
      </c>
      <c r="F29" t="e">
        <f>Assets!F27/Assets!F$4*Assets!F$2</f>
        <v>#DIV/0!</v>
      </c>
      <c r="G29" t="e">
        <f t="shared" si="2"/>
        <v>#DIV/0!</v>
      </c>
      <c r="H29" s="1">
        <f t="shared" si="3"/>
        <v>0</v>
      </c>
    </row>
    <row r="30" spans="1:8" x14ac:dyDescent="0.25">
      <c r="A30" s="1">
        <f>Assets!A28</f>
        <v>0</v>
      </c>
      <c r="B30" t="e">
        <f>Assets!B28/Assets!B$4*Assets!B$2</f>
        <v>#DIV/0!</v>
      </c>
      <c r="C30" t="e">
        <f>Assets!C28/Assets!C$4*Assets!C$2</f>
        <v>#DIV/0!</v>
      </c>
      <c r="D30" t="e">
        <f>Assets!D28/Assets!D$4*Assets!D$2</f>
        <v>#DIV/0!</v>
      </c>
      <c r="E30" t="e">
        <f>Assets!E28/Assets!E$4*Assets!E$2</f>
        <v>#DIV/0!</v>
      </c>
      <c r="F30" t="e">
        <f>Assets!F28/Assets!F$4*Assets!F$2</f>
        <v>#DIV/0!</v>
      </c>
      <c r="G30" t="e">
        <f t="shared" si="2"/>
        <v>#DIV/0!</v>
      </c>
      <c r="H30" s="1">
        <f t="shared" si="3"/>
        <v>0</v>
      </c>
    </row>
    <row r="31" spans="1:8" x14ac:dyDescent="0.25">
      <c r="A31" s="1">
        <f>Assets!A29</f>
        <v>0</v>
      </c>
      <c r="B31" t="e">
        <f>Assets!B29/Assets!B$4*Assets!B$2</f>
        <v>#DIV/0!</v>
      </c>
      <c r="C31" t="e">
        <f>Assets!C29/Assets!C$4*Assets!C$2</f>
        <v>#DIV/0!</v>
      </c>
      <c r="D31" t="e">
        <f>Assets!D29/Assets!D$4*Assets!D$2</f>
        <v>#DIV/0!</v>
      </c>
      <c r="E31" t="e">
        <f>Assets!E29/Assets!E$4*Assets!E$2</f>
        <v>#DIV/0!</v>
      </c>
      <c r="F31" t="e">
        <f>Assets!F29/Assets!F$4*Assets!F$2</f>
        <v>#DIV/0!</v>
      </c>
      <c r="G31" t="e">
        <f t="shared" si="2"/>
        <v>#DIV/0!</v>
      </c>
      <c r="H31" s="1">
        <f t="shared" si="3"/>
        <v>0</v>
      </c>
    </row>
    <row r="32" spans="1:8" x14ac:dyDescent="0.25">
      <c r="A32" s="1">
        <f>Assets!A30</f>
        <v>0</v>
      </c>
      <c r="B32" t="e">
        <f>Assets!B30/Assets!B$4*Assets!B$2</f>
        <v>#DIV/0!</v>
      </c>
      <c r="C32" t="e">
        <f>Assets!C30/Assets!C$4*Assets!C$2</f>
        <v>#DIV/0!</v>
      </c>
      <c r="D32" t="e">
        <f>Assets!D30/Assets!D$4*Assets!D$2</f>
        <v>#DIV/0!</v>
      </c>
      <c r="E32" t="e">
        <f>Assets!E30/Assets!E$4*Assets!E$2</f>
        <v>#DIV/0!</v>
      </c>
      <c r="F32" t="e">
        <f>Assets!F30/Assets!F$4*Assets!F$2</f>
        <v>#DIV/0!</v>
      </c>
      <c r="G32" t="e">
        <f t="shared" si="2"/>
        <v>#DIV/0!</v>
      </c>
      <c r="H32" s="1">
        <f t="shared" si="3"/>
        <v>0</v>
      </c>
    </row>
    <row r="33" spans="1:8" x14ac:dyDescent="0.25">
      <c r="A33" s="1">
        <f>Assets!A31</f>
        <v>0</v>
      </c>
      <c r="B33" t="e">
        <f>Assets!B31/Assets!B$4*Assets!B$2</f>
        <v>#DIV/0!</v>
      </c>
      <c r="C33" t="e">
        <f>Assets!C31/Assets!C$4*Assets!C$2</f>
        <v>#DIV/0!</v>
      </c>
      <c r="D33" t="e">
        <f>Assets!D31/Assets!D$4*Assets!D$2</f>
        <v>#DIV/0!</v>
      </c>
      <c r="E33" t="e">
        <f>Assets!E31/Assets!E$4*Assets!E$2</f>
        <v>#DIV/0!</v>
      </c>
      <c r="F33" t="e">
        <f>Assets!F31/Assets!F$4*Assets!F$2</f>
        <v>#DIV/0!</v>
      </c>
      <c r="G33" t="e">
        <f t="shared" si="2"/>
        <v>#DIV/0!</v>
      </c>
      <c r="H33" s="1">
        <f t="shared" si="3"/>
        <v>0</v>
      </c>
    </row>
    <row r="34" spans="1:8" x14ac:dyDescent="0.25">
      <c r="A34" s="1">
        <f>Assets!A32</f>
        <v>0</v>
      </c>
      <c r="B34" t="e">
        <f>Assets!B32/Assets!B$4*Assets!B$2</f>
        <v>#DIV/0!</v>
      </c>
      <c r="C34" t="e">
        <f>Assets!C32/Assets!C$4*Assets!C$2</f>
        <v>#DIV/0!</v>
      </c>
      <c r="D34" t="e">
        <f>Assets!D32/Assets!D$4*Assets!D$2</f>
        <v>#DIV/0!</v>
      </c>
      <c r="E34" t="e">
        <f>Assets!E32/Assets!E$4*Assets!E$2</f>
        <v>#DIV/0!</v>
      </c>
      <c r="F34" t="e">
        <f>Assets!F32/Assets!F$4*Assets!F$2</f>
        <v>#DIV/0!</v>
      </c>
      <c r="G34" t="e">
        <f t="shared" si="2"/>
        <v>#DIV/0!</v>
      </c>
      <c r="H34" s="1">
        <f t="shared" si="3"/>
        <v>0</v>
      </c>
    </row>
    <row r="35" spans="1:8" x14ac:dyDescent="0.25">
      <c r="A35" s="1">
        <f>Assets!A33</f>
        <v>0</v>
      </c>
      <c r="B35" t="e">
        <f>Assets!B33/Assets!B$4*Assets!B$2</f>
        <v>#DIV/0!</v>
      </c>
      <c r="C35" t="e">
        <f>Assets!C33/Assets!C$4*Assets!C$2</f>
        <v>#DIV/0!</v>
      </c>
      <c r="D35" t="e">
        <f>Assets!D33/Assets!D$4*Assets!D$2</f>
        <v>#DIV/0!</v>
      </c>
      <c r="E35" t="e">
        <f>Assets!E33/Assets!E$4*Assets!E$2</f>
        <v>#DIV/0!</v>
      </c>
      <c r="F35" t="e">
        <f>Assets!F33/Assets!F$4*Assets!F$2</f>
        <v>#DIV/0!</v>
      </c>
      <c r="G35" t="e">
        <f t="shared" si="2"/>
        <v>#DIV/0!</v>
      </c>
      <c r="H35" s="1">
        <f t="shared" si="3"/>
        <v>0</v>
      </c>
    </row>
    <row r="36" spans="1:8" x14ac:dyDescent="0.25">
      <c r="A36" s="1">
        <f>Assets!A34</f>
        <v>0</v>
      </c>
      <c r="B36" t="e">
        <f>Assets!B34/Assets!B$4*Assets!B$2</f>
        <v>#DIV/0!</v>
      </c>
      <c r="C36" t="e">
        <f>Assets!C34/Assets!C$4*Assets!C$2</f>
        <v>#DIV/0!</v>
      </c>
      <c r="D36" t="e">
        <f>Assets!D34/Assets!D$4*Assets!D$2</f>
        <v>#DIV/0!</v>
      </c>
      <c r="E36" t="e">
        <f>Assets!E34/Assets!E$4*Assets!E$2</f>
        <v>#DIV/0!</v>
      </c>
      <c r="F36" t="e">
        <f>Assets!F34/Assets!F$4*Assets!F$2</f>
        <v>#DIV/0!</v>
      </c>
      <c r="G36" t="e">
        <f t="shared" si="2"/>
        <v>#DIV/0!</v>
      </c>
      <c r="H36" s="1">
        <f t="shared" si="3"/>
        <v>0</v>
      </c>
    </row>
    <row r="37" spans="1:8" x14ac:dyDescent="0.25">
      <c r="A37" s="1">
        <f>Assets!A35</f>
        <v>0</v>
      </c>
      <c r="B37" t="e">
        <f>Assets!B35/Assets!B$4*Assets!B$2</f>
        <v>#DIV/0!</v>
      </c>
      <c r="C37" t="e">
        <f>Assets!C35/Assets!C$4*Assets!C$2</f>
        <v>#DIV/0!</v>
      </c>
      <c r="D37" t="e">
        <f>Assets!D35/Assets!D$4*Assets!D$2</f>
        <v>#DIV/0!</v>
      </c>
      <c r="E37" t="e">
        <f>Assets!E35/Assets!E$4*Assets!E$2</f>
        <v>#DIV/0!</v>
      </c>
      <c r="F37" t="e">
        <f>Assets!F35/Assets!F$4*Assets!F$2</f>
        <v>#DIV/0!</v>
      </c>
      <c r="G37" t="e">
        <f t="shared" si="2"/>
        <v>#DIV/0!</v>
      </c>
      <c r="H37" s="1">
        <f t="shared" si="3"/>
        <v>0</v>
      </c>
    </row>
    <row r="38" spans="1:8" x14ac:dyDescent="0.25">
      <c r="A38" s="1">
        <f>Assets!A36</f>
        <v>0</v>
      </c>
      <c r="B38" t="e">
        <f>Assets!B36/Assets!B$4*Assets!B$2</f>
        <v>#DIV/0!</v>
      </c>
      <c r="C38" t="e">
        <f>Assets!C36/Assets!C$4*Assets!C$2</f>
        <v>#DIV/0!</v>
      </c>
      <c r="D38" t="e">
        <f>Assets!D36/Assets!D$4*Assets!D$2</f>
        <v>#DIV/0!</v>
      </c>
      <c r="E38" t="e">
        <f>Assets!E36/Assets!E$4*Assets!E$2</f>
        <v>#DIV/0!</v>
      </c>
      <c r="F38" t="e">
        <f>Assets!F36/Assets!F$4*Assets!F$2</f>
        <v>#DIV/0!</v>
      </c>
      <c r="G38" t="e">
        <f t="shared" si="2"/>
        <v>#DIV/0!</v>
      </c>
      <c r="H38" s="1">
        <f t="shared" si="3"/>
        <v>0</v>
      </c>
    </row>
    <row r="39" spans="1:8" x14ac:dyDescent="0.25">
      <c r="A39" s="1">
        <f>Assets!A37</f>
        <v>0</v>
      </c>
      <c r="B39" t="e">
        <f>Assets!B37/Assets!B$4*Assets!B$2</f>
        <v>#DIV/0!</v>
      </c>
      <c r="C39" t="e">
        <f>Assets!C37/Assets!C$4*Assets!C$2</f>
        <v>#DIV/0!</v>
      </c>
      <c r="D39" t="e">
        <f>Assets!D37/Assets!D$4*Assets!D$2</f>
        <v>#DIV/0!</v>
      </c>
      <c r="E39" t="e">
        <f>Assets!E37/Assets!E$4*Assets!E$2</f>
        <v>#DIV/0!</v>
      </c>
      <c r="F39" t="e">
        <f>Assets!F37/Assets!F$4*Assets!F$2</f>
        <v>#DIV/0!</v>
      </c>
      <c r="G39" t="e">
        <f t="shared" si="2"/>
        <v>#DIV/0!</v>
      </c>
      <c r="H39" s="1">
        <f t="shared" si="3"/>
        <v>0</v>
      </c>
    </row>
    <row r="40" spans="1:8" x14ac:dyDescent="0.25">
      <c r="A40" s="1">
        <f>Assets!A38</f>
        <v>0</v>
      </c>
      <c r="B40" t="e">
        <f>Assets!B38/Assets!B$4*Assets!B$2</f>
        <v>#DIV/0!</v>
      </c>
      <c r="C40" t="e">
        <f>Assets!C38/Assets!C$4*Assets!C$2</f>
        <v>#DIV/0!</v>
      </c>
      <c r="D40" t="e">
        <f>Assets!D38/Assets!D$4*Assets!D$2</f>
        <v>#DIV/0!</v>
      </c>
      <c r="E40" t="e">
        <f>Assets!E38/Assets!E$4*Assets!E$2</f>
        <v>#DIV/0!</v>
      </c>
      <c r="F40" t="e">
        <f>Assets!F38/Assets!F$4*Assets!F$2</f>
        <v>#DIV/0!</v>
      </c>
      <c r="G40" t="e">
        <f t="shared" si="2"/>
        <v>#DIV/0!</v>
      </c>
      <c r="H40" s="1">
        <f t="shared" si="3"/>
        <v>0</v>
      </c>
    </row>
    <row r="41" spans="1:8" x14ac:dyDescent="0.25">
      <c r="A41" s="1">
        <f>Assets!A39</f>
        <v>0</v>
      </c>
      <c r="B41" t="e">
        <f>Assets!B39/Assets!B$4*Assets!B$2</f>
        <v>#DIV/0!</v>
      </c>
      <c r="C41" t="e">
        <f>Assets!C39/Assets!C$4*Assets!C$2</f>
        <v>#DIV/0!</v>
      </c>
      <c r="D41" t="e">
        <f>Assets!D39/Assets!D$4*Assets!D$2</f>
        <v>#DIV/0!</v>
      </c>
      <c r="E41" t="e">
        <f>Assets!E39/Assets!E$4*Assets!E$2</f>
        <v>#DIV/0!</v>
      </c>
      <c r="F41" t="e">
        <f>Assets!F39/Assets!F$4*Assets!F$2</f>
        <v>#DIV/0!</v>
      </c>
      <c r="G41" t="e">
        <f t="shared" si="2"/>
        <v>#DIV/0!</v>
      </c>
      <c r="H41" s="1">
        <f t="shared" si="3"/>
        <v>0</v>
      </c>
    </row>
    <row r="42" spans="1:8" x14ac:dyDescent="0.25">
      <c r="A42" s="1">
        <f>Assets!A40</f>
        <v>0</v>
      </c>
      <c r="B42" t="e">
        <f>Assets!B40/Assets!B$4*Assets!B$2</f>
        <v>#DIV/0!</v>
      </c>
      <c r="C42" t="e">
        <f>Assets!C40/Assets!C$4*Assets!C$2</f>
        <v>#DIV/0!</v>
      </c>
      <c r="D42" t="e">
        <f>Assets!D40/Assets!D$4*Assets!D$2</f>
        <v>#DIV/0!</v>
      </c>
      <c r="E42" t="e">
        <f>Assets!E40/Assets!E$4*Assets!E$2</f>
        <v>#DIV/0!</v>
      </c>
      <c r="F42" t="e">
        <f>Assets!F40/Assets!F$4*Assets!F$2</f>
        <v>#DIV/0!</v>
      </c>
      <c r="G42" t="e">
        <f t="shared" si="2"/>
        <v>#DIV/0!</v>
      </c>
      <c r="H42" s="1">
        <f t="shared" si="3"/>
        <v>0</v>
      </c>
    </row>
    <row r="43" spans="1:8" x14ac:dyDescent="0.25">
      <c r="A43" s="1">
        <f>Assets!A41</f>
        <v>0</v>
      </c>
      <c r="B43" t="e">
        <f>Assets!B41/Assets!B$4*Assets!B$2</f>
        <v>#DIV/0!</v>
      </c>
      <c r="C43" t="e">
        <f>Assets!C41/Assets!C$4*Assets!C$2</f>
        <v>#DIV/0!</v>
      </c>
      <c r="D43" t="e">
        <f>Assets!D41/Assets!D$4*Assets!D$2</f>
        <v>#DIV/0!</v>
      </c>
      <c r="E43" t="e">
        <f>Assets!E41/Assets!E$4*Assets!E$2</f>
        <v>#DIV/0!</v>
      </c>
      <c r="F43" t="e">
        <f>Assets!F41/Assets!F$4*Assets!F$2</f>
        <v>#DIV/0!</v>
      </c>
      <c r="G43" t="e">
        <f t="shared" si="2"/>
        <v>#DIV/0!</v>
      </c>
      <c r="H43" s="1">
        <f t="shared" si="3"/>
        <v>0</v>
      </c>
    </row>
    <row r="44" spans="1:8" x14ac:dyDescent="0.25">
      <c r="A44" s="1">
        <f>Assets!A42</f>
        <v>0</v>
      </c>
      <c r="B44" t="e">
        <f>Assets!B42/Assets!B$4*Assets!B$2</f>
        <v>#DIV/0!</v>
      </c>
      <c r="C44" t="e">
        <f>Assets!C42/Assets!C$4*Assets!C$2</f>
        <v>#DIV/0!</v>
      </c>
      <c r="D44" t="e">
        <f>Assets!D42/Assets!D$4*Assets!D$2</f>
        <v>#DIV/0!</v>
      </c>
      <c r="E44" t="e">
        <f>Assets!E42/Assets!E$4*Assets!E$2</f>
        <v>#DIV/0!</v>
      </c>
      <c r="F44" t="e">
        <f>Assets!F42/Assets!F$4*Assets!F$2</f>
        <v>#DIV/0!</v>
      </c>
      <c r="G44" t="e">
        <f t="shared" si="2"/>
        <v>#DIV/0!</v>
      </c>
      <c r="H44" s="1">
        <f t="shared" si="3"/>
        <v>0</v>
      </c>
    </row>
    <row r="45" spans="1:8" x14ac:dyDescent="0.25">
      <c r="A45" s="1">
        <f>Assets!A43</f>
        <v>0</v>
      </c>
      <c r="B45" t="e">
        <f>Assets!B43/Assets!B$4*Assets!B$2</f>
        <v>#DIV/0!</v>
      </c>
      <c r="C45" t="e">
        <f>Assets!C43/Assets!C$4*Assets!C$2</f>
        <v>#DIV/0!</v>
      </c>
      <c r="D45" t="e">
        <f>Assets!D43/Assets!D$4*Assets!D$2</f>
        <v>#DIV/0!</v>
      </c>
      <c r="E45" t="e">
        <f>Assets!E43/Assets!E$4*Assets!E$2</f>
        <v>#DIV/0!</v>
      </c>
      <c r="F45" t="e">
        <f>Assets!F43/Assets!F$4*Assets!F$2</f>
        <v>#DIV/0!</v>
      </c>
      <c r="G45" t="e">
        <f t="shared" si="2"/>
        <v>#DIV/0!</v>
      </c>
      <c r="H45" s="1">
        <f t="shared" si="3"/>
        <v>0</v>
      </c>
    </row>
    <row r="46" spans="1:8" x14ac:dyDescent="0.25">
      <c r="A46" s="1">
        <f>Assets!A44</f>
        <v>0</v>
      </c>
      <c r="B46" t="e">
        <f>Assets!B44/Assets!B$4*Assets!B$2</f>
        <v>#DIV/0!</v>
      </c>
      <c r="C46" t="e">
        <f>Assets!C44/Assets!C$4*Assets!C$2</f>
        <v>#DIV/0!</v>
      </c>
      <c r="D46" t="e">
        <f>Assets!D44/Assets!D$4*Assets!D$2</f>
        <v>#DIV/0!</v>
      </c>
      <c r="E46" t="e">
        <f>Assets!E44/Assets!E$4*Assets!E$2</f>
        <v>#DIV/0!</v>
      </c>
      <c r="F46" t="e">
        <f>Assets!F44/Assets!F$4*Assets!F$2</f>
        <v>#DIV/0!</v>
      </c>
      <c r="G46" t="e">
        <f t="shared" si="2"/>
        <v>#DIV/0!</v>
      </c>
      <c r="H46" s="1">
        <f t="shared" si="3"/>
        <v>0</v>
      </c>
    </row>
    <row r="47" spans="1:8" x14ac:dyDescent="0.25">
      <c r="A47" s="1">
        <f>Assets!A45</f>
        <v>0</v>
      </c>
      <c r="B47" t="e">
        <f>Assets!B45/Assets!B$4*Assets!B$2</f>
        <v>#DIV/0!</v>
      </c>
      <c r="C47" t="e">
        <f>Assets!C45/Assets!C$4*Assets!C$2</f>
        <v>#DIV/0!</v>
      </c>
      <c r="D47" t="e">
        <f>Assets!D45/Assets!D$4*Assets!D$2</f>
        <v>#DIV/0!</v>
      </c>
      <c r="E47" t="e">
        <f>Assets!E45/Assets!E$4*Assets!E$2</f>
        <v>#DIV/0!</v>
      </c>
      <c r="F47" t="e">
        <f>Assets!F45/Assets!F$4*Assets!F$2</f>
        <v>#DIV/0!</v>
      </c>
      <c r="G47" t="e">
        <f t="shared" si="2"/>
        <v>#DIV/0!</v>
      </c>
      <c r="H47" s="1">
        <f t="shared" si="3"/>
        <v>0</v>
      </c>
    </row>
    <row r="48" spans="1:8" x14ac:dyDescent="0.25">
      <c r="A48" s="1">
        <f>Assets!A46</f>
        <v>0</v>
      </c>
      <c r="B48" t="e">
        <f>Assets!B46/Assets!B$4*Assets!B$2</f>
        <v>#DIV/0!</v>
      </c>
      <c r="C48" t="e">
        <f>Assets!C46/Assets!C$4*Assets!C$2</f>
        <v>#DIV/0!</v>
      </c>
      <c r="D48" t="e">
        <f>Assets!D46/Assets!D$4*Assets!D$2</f>
        <v>#DIV/0!</v>
      </c>
      <c r="E48" t="e">
        <f>Assets!E46/Assets!E$4*Assets!E$2</f>
        <v>#DIV/0!</v>
      </c>
      <c r="F48" t="e">
        <f>Assets!F46/Assets!F$4*Assets!F$2</f>
        <v>#DIV/0!</v>
      </c>
      <c r="G48" t="e">
        <f t="shared" si="2"/>
        <v>#DIV/0!</v>
      </c>
      <c r="H48" s="1">
        <f t="shared" si="3"/>
        <v>0</v>
      </c>
    </row>
    <row r="49" spans="1:8" x14ac:dyDescent="0.25">
      <c r="A49" s="1">
        <f>Assets!A47</f>
        <v>0</v>
      </c>
      <c r="B49" t="e">
        <f>Assets!B47/Assets!B$4*Assets!B$2</f>
        <v>#DIV/0!</v>
      </c>
      <c r="C49" t="e">
        <f>Assets!C47/Assets!C$4*Assets!C$2</f>
        <v>#DIV/0!</v>
      </c>
      <c r="D49" t="e">
        <f>Assets!D47/Assets!D$4*Assets!D$2</f>
        <v>#DIV/0!</v>
      </c>
      <c r="E49" t="e">
        <f>Assets!E47/Assets!E$4*Assets!E$2</f>
        <v>#DIV/0!</v>
      </c>
      <c r="F49" t="e">
        <f>Assets!F47/Assets!F$4*Assets!F$2</f>
        <v>#DIV/0!</v>
      </c>
      <c r="G49" t="e">
        <f t="shared" si="2"/>
        <v>#DIV/0!</v>
      </c>
      <c r="H49" s="1">
        <f t="shared" si="3"/>
        <v>0</v>
      </c>
    </row>
    <row r="50" spans="1:8" x14ac:dyDescent="0.25">
      <c r="A50" s="1">
        <f>Assets!A48</f>
        <v>0</v>
      </c>
      <c r="B50" t="e">
        <f>Assets!B48/Assets!B$4*Assets!B$2</f>
        <v>#DIV/0!</v>
      </c>
      <c r="C50" t="e">
        <f>Assets!C48/Assets!C$4*Assets!C$2</f>
        <v>#DIV/0!</v>
      </c>
      <c r="D50" t="e">
        <f>Assets!D48/Assets!D$4*Assets!D$2</f>
        <v>#DIV/0!</v>
      </c>
      <c r="E50" t="e">
        <f>Assets!E48/Assets!E$4*Assets!E$2</f>
        <v>#DIV/0!</v>
      </c>
      <c r="F50" t="e">
        <f>Assets!F48/Assets!F$4*Assets!F$2</f>
        <v>#DIV/0!</v>
      </c>
      <c r="G50" t="e">
        <f t="shared" si="2"/>
        <v>#DIV/0!</v>
      </c>
      <c r="H50" s="1">
        <f t="shared" si="3"/>
        <v>0</v>
      </c>
    </row>
    <row r="51" spans="1:8" x14ac:dyDescent="0.25">
      <c r="A51" s="1">
        <f>Assets!A49</f>
        <v>0</v>
      </c>
      <c r="B51" t="e">
        <f>Assets!B49/Assets!B$4*Assets!B$2</f>
        <v>#DIV/0!</v>
      </c>
      <c r="C51" t="e">
        <f>Assets!C49/Assets!C$4*Assets!C$2</f>
        <v>#DIV/0!</v>
      </c>
      <c r="D51" t="e">
        <f>Assets!D49/Assets!D$4*Assets!D$2</f>
        <v>#DIV/0!</v>
      </c>
      <c r="E51" t="e">
        <f>Assets!E49/Assets!E$4*Assets!E$2</f>
        <v>#DIV/0!</v>
      </c>
      <c r="F51" t="e">
        <f>Assets!F49/Assets!F$4*Assets!F$2</f>
        <v>#DIV/0!</v>
      </c>
      <c r="G51" t="e">
        <f t="shared" si="2"/>
        <v>#DIV/0!</v>
      </c>
      <c r="H51" s="1">
        <f t="shared" si="3"/>
        <v>0</v>
      </c>
    </row>
    <row r="52" spans="1:8" x14ac:dyDescent="0.25">
      <c r="A52" s="1">
        <f>Assets!A50</f>
        <v>0</v>
      </c>
      <c r="B52" t="e">
        <f>Assets!B50/Assets!B$4*Assets!B$2</f>
        <v>#DIV/0!</v>
      </c>
      <c r="C52" t="e">
        <f>Assets!C50/Assets!C$4*Assets!C$2</f>
        <v>#DIV/0!</v>
      </c>
      <c r="D52" t="e">
        <f>Assets!D50/Assets!D$4*Assets!D$2</f>
        <v>#DIV/0!</v>
      </c>
      <c r="E52" t="e">
        <f>Assets!E50/Assets!E$4*Assets!E$2</f>
        <v>#DIV/0!</v>
      </c>
      <c r="F52" t="e">
        <f>Assets!F50/Assets!F$4*Assets!F$2</f>
        <v>#DIV/0!</v>
      </c>
      <c r="G52" t="e">
        <f t="shared" si="2"/>
        <v>#DIV/0!</v>
      </c>
      <c r="H52" s="1">
        <f t="shared" si="3"/>
        <v>0</v>
      </c>
    </row>
    <row r="53" spans="1:8" x14ac:dyDescent="0.25">
      <c r="A53" s="1">
        <f>Assets!A51</f>
        <v>0</v>
      </c>
      <c r="B53" t="e">
        <f>Assets!B51/Assets!B$4*Assets!B$2</f>
        <v>#DIV/0!</v>
      </c>
      <c r="C53" t="e">
        <f>Assets!C51/Assets!C$4*Assets!C$2</f>
        <v>#DIV/0!</v>
      </c>
      <c r="D53" t="e">
        <f>Assets!D51/Assets!D$4*Assets!D$2</f>
        <v>#DIV/0!</v>
      </c>
      <c r="E53" t="e">
        <f>Assets!E51/Assets!E$4*Assets!E$2</f>
        <v>#DIV/0!</v>
      </c>
      <c r="F53" t="e">
        <f>Assets!F51/Assets!F$4*Assets!F$2</f>
        <v>#DIV/0!</v>
      </c>
      <c r="G53" t="e">
        <f t="shared" si="2"/>
        <v>#DIV/0!</v>
      </c>
      <c r="H53" s="1">
        <f t="shared" si="3"/>
        <v>0</v>
      </c>
    </row>
    <row r="54" spans="1:8" x14ac:dyDescent="0.25">
      <c r="A54" s="1">
        <f>Assets!A52</f>
        <v>0</v>
      </c>
      <c r="B54" t="e">
        <f>Assets!B52/Assets!B$4*Assets!B$2</f>
        <v>#DIV/0!</v>
      </c>
      <c r="C54" t="e">
        <f>Assets!C52/Assets!C$4*Assets!C$2</f>
        <v>#DIV/0!</v>
      </c>
      <c r="D54" t="e">
        <f>Assets!D52/Assets!D$4*Assets!D$2</f>
        <v>#DIV/0!</v>
      </c>
      <c r="E54" t="e">
        <f>Assets!E52/Assets!E$4*Assets!E$2</f>
        <v>#DIV/0!</v>
      </c>
      <c r="F54" t="e">
        <f>Assets!F52/Assets!F$4*Assets!F$2</f>
        <v>#DIV/0!</v>
      </c>
      <c r="G54" t="e">
        <f t="shared" si="2"/>
        <v>#DIV/0!</v>
      </c>
      <c r="H54" s="1">
        <f t="shared" si="3"/>
        <v>0</v>
      </c>
    </row>
    <row r="55" spans="1:8" x14ac:dyDescent="0.25">
      <c r="A55" s="1">
        <f>Assets!A53</f>
        <v>0</v>
      </c>
      <c r="B55" t="e">
        <f>Assets!B53/Assets!B$4*Assets!B$2</f>
        <v>#DIV/0!</v>
      </c>
      <c r="C55" t="e">
        <f>Assets!C53/Assets!C$4*Assets!C$2</f>
        <v>#DIV/0!</v>
      </c>
      <c r="D55" t="e">
        <f>Assets!D53/Assets!D$4*Assets!D$2</f>
        <v>#DIV/0!</v>
      </c>
      <c r="E55" t="e">
        <f>Assets!E53/Assets!E$4*Assets!E$2</f>
        <v>#DIV/0!</v>
      </c>
      <c r="F55" t="e">
        <f>Assets!F53/Assets!F$4*Assets!F$2</f>
        <v>#DIV/0!</v>
      </c>
      <c r="G55" t="e">
        <f t="shared" si="2"/>
        <v>#DIV/0!</v>
      </c>
      <c r="H55" s="1">
        <f t="shared" si="3"/>
        <v>0</v>
      </c>
    </row>
    <row r="56" spans="1:8" x14ac:dyDescent="0.25">
      <c r="A56" s="1">
        <f>Assets!A54</f>
        <v>0</v>
      </c>
      <c r="B56" t="e">
        <f>Assets!B54/Assets!B$4*Assets!B$2</f>
        <v>#DIV/0!</v>
      </c>
      <c r="C56" t="e">
        <f>Assets!C54/Assets!C$4*Assets!C$2</f>
        <v>#DIV/0!</v>
      </c>
      <c r="D56" t="e">
        <f>Assets!D54/Assets!D$4*Assets!D$2</f>
        <v>#DIV/0!</v>
      </c>
      <c r="E56" t="e">
        <f>Assets!E54/Assets!E$4*Assets!E$2</f>
        <v>#DIV/0!</v>
      </c>
      <c r="F56" t="e">
        <f>Assets!F54/Assets!F$4*Assets!F$2</f>
        <v>#DIV/0!</v>
      </c>
      <c r="G56" t="e">
        <f t="shared" si="2"/>
        <v>#DIV/0!</v>
      </c>
      <c r="H56" s="1">
        <f t="shared" si="3"/>
        <v>0</v>
      </c>
    </row>
    <row r="57" spans="1:8" x14ac:dyDescent="0.25">
      <c r="A57" s="1">
        <f>Assets!A55</f>
        <v>0</v>
      </c>
      <c r="B57" t="e">
        <f>Assets!B55/Assets!B$4*Assets!B$2</f>
        <v>#DIV/0!</v>
      </c>
      <c r="C57" t="e">
        <f>Assets!C55/Assets!C$4*Assets!C$2</f>
        <v>#DIV/0!</v>
      </c>
      <c r="D57" t="e">
        <f>Assets!D55/Assets!D$4*Assets!D$2</f>
        <v>#DIV/0!</v>
      </c>
      <c r="E57" t="e">
        <f>Assets!E55/Assets!E$4*Assets!E$2</f>
        <v>#DIV/0!</v>
      </c>
      <c r="F57" t="e">
        <f>Assets!F55/Assets!F$4*Assets!F$2</f>
        <v>#DIV/0!</v>
      </c>
      <c r="G57" t="e">
        <f t="shared" si="2"/>
        <v>#DIV/0!</v>
      </c>
      <c r="H57" s="1">
        <f t="shared" si="3"/>
        <v>0</v>
      </c>
    </row>
    <row r="58" spans="1:8" x14ac:dyDescent="0.25">
      <c r="A58" s="1">
        <f>Assets!A56</f>
        <v>0</v>
      </c>
      <c r="B58" t="e">
        <f>Assets!B56/Assets!B$4*Assets!B$2</f>
        <v>#DIV/0!</v>
      </c>
      <c r="C58" t="e">
        <f>Assets!C56/Assets!C$4*Assets!C$2</f>
        <v>#DIV/0!</v>
      </c>
      <c r="D58" t="e">
        <f>Assets!D56/Assets!D$4*Assets!D$2</f>
        <v>#DIV/0!</v>
      </c>
      <c r="E58" t="e">
        <f>Assets!E56/Assets!E$4*Assets!E$2</f>
        <v>#DIV/0!</v>
      </c>
      <c r="F58" t="e">
        <f>Assets!F56/Assets!F$4*Assets!F$2</f>
        <v>#DIV/0!</v>
      </c>
      <c r="G58" t="e">
        <f t="shared" si="2"/>
        <v>#DIV/0!</v>
      </c>
      <c r="H58" s="1">
        <f t="shared" si="3"/>
        <v>0</v>
      </c>
    </row>
    <row r="59" spans="1:8" x14ac:dyDescent="0.25">
      <c r="A59" s="1">
        <f>Assets!A57</f>
        <v>0</v>
      </c>
      <c r="B59" t="e">
        <f>Assets!B57/Assets!B$4*Assets!B$2</f>
        <v>#DIV/0!</v>
      </c>
      <c r="C59" t="e">
        <f>Assets!C57/Assets!C$4*Assets!C$2</f>
        <v>#DIV/0!</v>
      </c>
      <c r="D59" t="e">
        <f>Assets!D57/Assets!D$4*Assets!D$2</f>
        <v>#DIV/0!</v>
      </c>
      <c r="E59" t="e">
        <f>Assets!E57/Assets!E$4*Assets!E$2</f>
        <v>#DIV/0!</v>
      </c>
      <c r="F59" t="e">
        <f>Assets!F57/Assets!F$4*Assets!F$2</f>
        <v>#DIV/0!</v>
      </c>
      <c r="G59" t="e">
        <f t="shared" si="2"/>
        <v>#DIV/0!</v>
      </c>
      <c r="H59" s="1">
        <f t="shared" si="3"/>
        <v>0</v>
      </c>
    </row>
    <row r="60" spans="1:8" x14ac:dyDescent="0.25">
      <c r="A60" s="1">
        <f>Assets!A58</f>
        <v>0</v>
      </c>
      <c r="B60" t="e">
        <f>Assets!B58/Assets!B$4*Assets!B$2</f>
        <v>#DIV/0!</v>
      </c>
      <c r="C60" t="e">
        <f>Assets!C58/Assets!C$4*Assets!C$2</f>
        <v>#DIV/0!</v>
      </c>
      <c r="D60" t="e">
        <f>Assets!D58/Assets!D$4*Assets!D$2</f>
        <v>#DIV/0!</v>
      </c>
      <c r="E60" t="e">
        <f>Assets!E58/Assets!E$4*Assets!E$2</f>
        <v>#DIV/0!</v>
      </c>
      <c r="F60" t="e">
        <f>Assets!F58/Assets!F$4*Assets!F$2</f>
        <v>#DIV/0!</v>
      </c>
      <c r="G60" t="e">
        <f t="shared" si="2"/>
        <v>#DIV/0!</v>
      </c>
      <c r="H60" s="1">
        <f t="shared" si="3"/>
        <v>0</v>
      </c>
    </row>
    <row r="61" spans="1:8" x14ac:dyDescent="0.25">
      <c r="A61" s="1">
        <f>Assets!A59</f>
        <v>0</v>
      </c>
      <c r="B61" t="e">
        <f>Assets!B59/Assets!B$4*Assets!B$2</f>
        <v>#DIV/0!</v>
      </c>
      <c r="C61" t="e">
        <f>Assets!C59/Assets!C$4*Assets!C$2</f>
        <v>#DIV/0!</v>
      </c>
      <c r="D61" t="e">
        <f>Assets!D59/Assets!D$4*Assets!D$2</f>
        <v>#DIV/0!</v>
      </c>
      <c r="E61" t="e">
        <f>Assets!E59/Assets!E$4*Assets!E$2</f>
        <v>#DIV/0!</v>
      </c>
      <c r="F61" t="e">
        <f>Assets!F59/Assets!F$4*Assets!F$2</f>
        <v>#DIV/0!</v>
      </c>
      <c r="G61" t="e">
        <f t="shared" si="2"/>
        <v>#DIV/0!</v>
      </c>
      <c r="H61" s="1">
        <f t="shared" si="3"/>
        <v>0</v>
      </c>
    </row>
    <row r="62" spans="1:8" x14ac:dyDescent="0.25">
      <c r="A62" s="1">
        <f>Assets!A60</f>
        <v>0</v>
      </c>
      <c r="B62" t="e">
        <f>Assets!B60/Assets!B$4*Assets!B$2</f>
        <v>#DIV/0!</v>
      </c>
      <c r="C62" t="e">
        <f>Assets!C60/Assets!C$4*Assets!C$2</f>
        <v>#DIV/0!</v>
      </c>
      <c r="D62" t="e">
        <f>Assets!D60/Assets!D$4*Assets!D$2</f>
        <v>#DIV/0!</v>
      </c>
      <c r="E62" t="e">
        <f>Assets!E60/Assets!E$4*Assets!E$2</f>
        <v>#DIV/0!</v>
      </c>
      <c r="F62" t="e">
        <f>Assets!F60/Assets!F$4*Assets!F$2</f>
        <v>#DIV/0!</v>
      </c>
      <c r="G62" t="e">
        <f t="shared" si="2"/>
        <v>#DIV/0!</v>
      </c>
      <c r="H62" s="1">
        <f t="shared" si="3"/>
        <v>0</v>
      </c>
    </row>
    <row r="63" spans="1:8" x14ac:dyDescent="0.25">
      <c r="A63" s="1">
        <f>Assets!A61</f>
        <v>0</v>
      </c>
      <c r="B63" t="e">
        <f>Assets!B61/Assets!B$4*Assets!B$2</f>
        <v>#DIV/0!</v>
      </c>
      <c r="C63" t="e">
        <f>Assets!C61/Assets!C$4*Assets!C$2</f>
        <v>#DIV/0!</v>
      </c>
      <c r="D63" t="e">
        <f>Assets!D61/Assets!D$4*Assets!D$2</f>
        <v>#DIV/0!</v>
      </c>
      <c r="E63" t="e">
        <f>Assets!E61/Assets!E$4*Assets!E$2</f>
        <v>#DIV/0!</v>
      </c>
      <c r="F63" t="e">
        <f>Assets!F61/Assets!F$4*Assets!F$2</f>
        <v>#DIV/0!</v>
      </c>
      <c r="G63" t="e">
        <f t="shared" si="2"/>
        <v>#DIV/0!</v>
      </c>
      <c r="H63" s="1">
        <f t="shared" si="3"/>
        <v>0</v>
      </c>
    </row>
    <row r="64" spans="1:8" x14ac:dyDescent="0.25">
      <c r="A64" s="1">
        <f>Assets!A62</f>
        <v>0</v>
      </c>
      <c r="B64" t="e">
        <f>Assets!B62/Assets!B$4*Assets!B$2</f>
        <v>#DIV/0!</v>
      </c>
      <c r="C64" t="e">
        <f>Assets!C62/Assets!C$4*Assets!C$2</f>
        <v>#DIV/0!</v>
      </c>
      <c r="D64" t="e">
        <f>Assets!D62/Assets!D$4*Assets!D$2</f>
        <v>#DIV/0!</v>
      </c>
      <c r="E64" t="e">
        <f>Assets!E62/Assets!E$4*Assets!E$2</f>
        <v>#DIV/0!</v>
      </c>
      <c r="F64" t="e">
        <f>Assets!F62/Assets!F$4*Assets!F$2</f>
        <v>#DIV/0!</v>
      </c>
      <c r="G64" t="e">
        <f t="shared" si="2"/>
        <v>#DIV/0!</v>
      </c>
      <c r="H64" s="1">
        <f t="shared" si="3"/>
        <v>0</v>
      </c>
    </row>
    <row r="65" spans="1:8" x14ac:dyDescent="0.25">
      <c r="A65" s="1">
        <f>Assets!A63</f>
        <v>0</v>
      </c>
      <c r="B65" t="e">
        <f>Assets!B63/Assets!B$4*Assets!B$2</f>
        <v>#DIV/0!</v>
      </c>
      <c r="C65" t="e">
        <f>Assets!C63/Assets!C$4*Assets!C$2</f>
        <v>#DIV/0!</v>
      </c>
      <c r="D65" t="e">
        <f>Assets!D63/Assets!D$4*Assets!D$2</f>
        <v>#DIV/0!</v>
      </c>
      <c r="E65" t="e">
        <f>Assets!E63/Assets!E$4*Assets!E$2</f>
        <v>#DIV/0!</v>
      </c>
      <c r="F65" t="e">
        <f>Assets!F63/Assets!F$4*Assets!F$2</f>
        <v>#DIV/0!</v>
      </c>
      <c r="G65" t="e">
        <f t="shared" si="2"/>
        <v>#DIV/0!</v>
      </c>
      <c r="H65" s="1">
        <f t="shared" si="3"/>
        <v>0</v>
      </c>
    </row>
    <row r="66" spans="1:8" x14ac:dyDescent="0.25">
      <c r="A66" s="1">
        <f>Assets!A64</f>
        <v>0</v>
      </c>
      <c r="B66" t="e">
        <f>Assets!B64/Assets!B$4*Assets!B$2</f>
        <v>#DIV/0!</v>
      </c>
      <c r="C66" t="e">
        <f>Assets!C64/Assets!C$4*Assets!C$2</f>
        <v>#DIV/0!</v>
      </c>
      <c r="D66" t="e">
        <f>Assets!D64/Assets!D$4*Assets!D$2</f>
        <v>#DIV/0!</v>
      </c>
      <c r="E66" t="e">
        <f>Assets!E64/Assets!E$4*Assets!E$2</f>
        <v>#DIV/0!</v>
      </c>
      <c r="F66" t="e">
        <f>Assets!F64/Assets!F$4*Assets!F$2</f>
        <v>#DIV/0!</v>
      </c>
      <c r="G66" t="e">
        <f t="shared" si="2"/>
        <v>#DIV/0!</v>
      </c>
      <c r="H66" s="1">
        <f t="shared" si="3"/>
        <v>0</v>
      </c>
    </row>
    <row r="67" spans="1:8" x14ac:dyDescent="0.25">
      <c r="A67" s="1">
        <f>Assets!A65</f>
        <v>0</v>
      </c>
      <c r="B67" t="e">
        <f>Assets!B65/Assets!B$4*Assets!B$2</f>
        <v>#DIV/0!</v>
      </c>
      <c r="C67" t="e">
        <f>Assets!C65/Assets!C$4*Assets!C$2</f>
        <v>#DIV/0!</v>
      </c>
      <c r="D67" t="e">
        <f>Assets!D65/Assets!D$4*Assets!D$2</f>
        <v>#DIV/0!</v>
      </c>
      <c r="E67" t="e">
        <f>Assets!E65/Assets!E$4*Assets!E$2</f>
        <v>#DIV/0!</v>
      </c>
      <c r="F67" t="e">
        <f>Assets!F65/Assets!F$4*Assets!F$2</f>
        <v>#DIV/0!</v>
      </c>
      <c r="G67" t="e">
        <f t="shared" si="2"/>
        <v>#DIV/0!</v>
      </c>
      <c r="H67" s="1">
        <f t="shared" si="3"/>
        <v>0</v>
      </c>
    </row>
    <row r="68" spans="1:8" x14ac:dyDescent="0.25">
      <c r="A68" s="1">
        <f>Assets!A66</f>
        <v>0</v>
      </c>
      <c r="B68" t="e">
        <f>Assets!B66/Assets!B$4*Assets!B$2</f>
        <v>#DIV/0!</v>
      </c>
      <c r="C68" t="e">
        <f>Assets!C66/Assets!C$4*Assets!C$2</f>
        <v>#DIV/0!</v>
      </c>
      <c r="D68" t="e">
        <f>Assets!D66/Assets!D$4*Assets!D$2</f>
        <v>#DIV/0!</v>
      </c>
      <c r="E68" t="e">
        <f>Assets!E66/Assets!E$4*Assets!E$2</f>
        <v>#DIV/0!</v>
      </c>
      <c r="F68" t="e">
        <f>Assets!F66/Assets!F$4*Assets!F$2</f>
        <v>#DIV/0!</v>
      </c>
      <c r="G68" t="e">
        <f t="shared" si="2"/>
        <v>#DIV/0!</v>
      </c>
      <c r="H68" s="1">
        <f t="shared" si="3"/>
        <v>0</v>
      </c>
    </row>
    <row r="69" spans="1:8" x14ac:dyDescent="0.25">
      <c r="A69" s="1">
        <f>Assets!A67</f>
        <v>0</v>
      </c>
      <c r="B69" t="e">
        <f>Assets!B67/Assets!B$4*Assets!B$2</f>
        <v>#DIV/0!</v>
      </c>
      <c r="C69" t="e">
        <f>Assets!C67/Assets!C$4*Assets!C$2</f>
        <v>#DIV/0!</v>
      </c>
      <c r="D69" t="e">
        <f>Assets!D67/Assets!D$4*Assets!D$2</f>
        <v>#DIV/0!</v>
      </c>
      <c r="E69" t="e">
        <f>Assets!E67/Assets!E$4*Assets!E$2</f>
        <v>#DIV/0!</v>
      </c>
      <c r="F69" t="e">
        <f>Assets!F67/Assets!F$4*Assets!F$2</f>
        <v>#DIV/0!</v>
      </c>
      <c r="G69" t="e">
        <f t="shared" si="2"/>
        <v>#DIV/0!</v>
      </c>
      <c r="H69" s="1">
        <f t="shared" si="3"/>
        <v>0</v>
      </c>
    </row>
    <row r="70" spans="1:8" x14ac:dyDescent="0.25">
      <c r="A70" s="1">
        <f>Assets!A68</f>
        <v>0</v>
      </c>
      <c r="B70" t="e">
        <f>Assets!B68/Assets!B$4*Assets!B$2</f>
        <v>#DIV/0!</v>
      </c>
      <c r="C70" t="e">
        <f>Assets!C68/Assets!C$4*Assets!C$2</f>
        <v>#DIV/0!</v>
      </c>
      <c r="D70" t="e">
        <f>Assets!D68/Assets!D$4*Assets!D$2</f>
        <v>#DIV/0!</v>
      </c>
      <c r="E70" t="e">
        <f>Assets!E68/Assets!E$4*Assets!E$2</f>
        <v>#DIV/0!</v>
      </c>
      <c r="F70" t="e">
        <f>Assets!F68/Assets!F$4*Assets!F$2</f>
        <v>#DIV/0!</v>
      </c>
      <c r="G70" t="e">
        <f t="shared" si="2"/>
        <v>#DIV/0!</v>
      </c>
      <c r="H70" s="1">
        <f t="shared" si="3"/>
        <v>0</v>
      </c>
    </row>
    <row r="71" spans="1:8" x14ac:dyDescent="0.25">
      <c r="A71" s="1">
        <f>Assets!A69</f>
        <v>0</v>
      </c>
      <c r="B71" t="e">
        <f>Assets!B69/Assets!B$4*Assets!B$2</f>
        <v>#DIV/0!</v>
      </c>
      <c r="C71" t="e">
        <f>Assets!C69/Assets!C$4*Assets!C$2</f>
        <v>#DIV/0!</v>
      </c>
      <c r="D71" t="e">
        <f>Assets!D69/Assets!D$4*Assets!D$2</f>
        <v>#DIV/0!</v>
      </c>
      <c r="E71" t="e">
        <f>Assets!E69/Assets!E$4*Assets!E$2</f>
        <v>#DIV/0!</v>
      </c>
      <c r="F71" t="e">
        <f>Assets!F69/Assets!F$4*Assets!F$2</f>
        <v>#DIV/0!</v>
      </c>
      <c r="G71" t="e">
        <f t="shared" ref="G71:G131" si="4">SUM(B71:F71)</f>
        <v>#DIV/0!</v>
      </c>
      <c r="H71" s="1">
        <f t="shared" ref="H71:H131" si="5">A71</f>
        <v>0</v>
      </c>
    </row>
    <row r="72" spans="1:8" x14ac:dyDescent="0.25">
      <c r="A72" s="1">
        <f>Assets!A70</f>
        <v>0</v>
      </c>
      <c r="B72" t="e">
        <f>Assets!B70/Assets!B$4*Assets!B$2</f>
        <v>#DIV/0!</v>
      </c>
      <c r="C72" t="e">
        <f>Assets!C70/Assets!C$4*Assets!C$2</f>
        <v>#DIV/0!</v>
      </c>
      <c r="D72" t="e">
        <f>Assets!D70/Assets!D$4*Assets!D$2</f>
        <v>#DIV/0!</v>
      </c>
      <c r="E72" t="e">
        <f>Assets!E70/Assets!E$4*Assets!E$2</f>
        <v>#DIV/0!</v>
      </c>
      <c r="F72" t="e">
        <f>Assets!F70/Assets!F$4*Assets!F$2</f>
        <v>#DIV/0!</v>
      </c>
      <c r="G72" t="e">
        <f t="shared" si="4"/>
        <v>#DIV/0!</v>
      </c>
      <c r="H72" s="1">
        <f t="shared" si="5"/>
        <v>0</v>
      </c>
    </row>
    <row r="73" spans="1:8" x14ac:dyDescent="0.25">
      <c r="A73" s="1">
        <f>Assets!A71</f>
        <v>0</v>
      </c>
      <c r="B73" t="e">
        <f>Assets!B71/Assets!B$4*Assets!B$2</f>
        <v>#DIV/0!</v>
      </c>
      <c r="C73" t="e">
        <f>Assets!C71/Assets!C$4*Assets!C$2</f>
        <v>#DIV/0!</v>
      </c>
      <c r="D73" t="e">
        <f>Assets!D71/Assets!D$4*Assets!D$2</f>
        <v>#DIV/0!</v>
      </c>
      <c r="E73" t="e">
        <f>Assets!E71/Assets!E$4*Assets!E$2</f>
        <v>#DIV/0!</v>
      </c>
      <c r="F73" t="e">
        <f>Assets!F71/Assets!F$4*Assets!F$2</f>
        <v>#DIV/0!</v>
      </c>
      <c r="G73" t="e">
        <f t="shared" si="4"/>
        <v>#DIV/0!</v>
      </c>
      <c r="H73" s="1">
        <f t="shared" si="5"/>
        <v>0</v>
      </c>
    </row>
    <row r="74" spans="1:8" x14ac:dyDescent="0.25">
      <c r="A74" s="1">
        <f>Assets!A72</f>
        <v>0</v>
      </c>
      <c r="B74" t="e">
        <f>Assets!B72/Assets!B$4*Assets!B$2</f>
        <v>#DIV/0!</v>
      </c>
      <c r="C74" t="e">
        <f>Assets!C72/Assets!C$4*Assets!C$2</f>
        <v>#DIV/0!</v>
      </c>
      <c r="D74" t="e">
        <f>Assets!D72/Assets!D$4*Assets!D$2</f>
        <v>#DIV/0!</v>
      </c>
      <c r="E74" t="e">
        <f>Assets!E72/Assets!E$4*Assets!E$2</f>
        <v>#DIV/0!</v>
      </c>
      <c r="F74" t="e">
        <f>Assets!F72/Assets!F$4*Assets!F$2</f>
        <v>#DIV/0!</v>
      </c>
      <c r="G74" t="e">
        <f t="shared" si="4"/>
        <v>#DIV/0!</v>
      </c>
      <c r="H74" s="1">
        <f t="shared" si="5"/>
        <v>0</v>
      </c>
    </row>
    <row r="75" spans="1:8" x14ac:dyDescent="0.25">
      <c r="A75" s="1">
        <f>Assets!A73</f>
        <v>0</v>
      </c>
      <c r="B75" t="e">
        <f>Assets!B73/Assets!B$4*Assets!B$2</f>
        <v>#DIV/0!</v>
      </c>
      <c r="C75" t="e">
        <f>Assets!C73/Assets!C$4*Assets!C$2</f>
        <v>#DIV/0!</v>
      </c>
      <c r="D75" t="e">
        <f>Assets!D73/Assets!D$4*Assets!D$2</f>
        <v>#DIV/0!</v>
      </c>
      <c r="E75" t="e">
        <f>Assets!E73/Assets!E$4*Assets!E$2</f>
        <v>#DIV/0!</v>
      </c>
      <c r="F75" t="e">
        <f>Assets!F73/Assets!F$4*Assets!F$2</f>
        <v>#DIV/0!</v>
      </c>
      <c r="G75" t="e">
        <f t="shared" si="4"/>
        <v>#DIV/0!</v>
      </c>
      <c r="H75" s="1">
        <f t="shared" si="5"/>
        <v>0</v>
      </c>
    </row>
    <row r="76" spans="1:8" x14ac:dyDescent="0.25">
      <c r="A76" s="1">
        <f>Assets!A74</f>
        <v>0</v>
      </c>
      <c r="B76" t="e">
        <f>Assets!B74/Assets!B$4*Assets!B$2</f>
        <v>#DIV/0!</v>
      </c>
      <c r="C76" t="e">
        <f>Assets!C74/Assets!C$4*Assets!C$2</f>
        <v>#DIV/0!</v>
      </c>
      <c r="D76" t="e">
        <f>Assets!D74/Assets!D$4*Assets!D$2</f>
        <v>#DIV/0!</v>
      </c>
      <c r="E76" t="e">
        <f>Assets!E74/Assets!E$4*Assets!E$2</f>
        <v>#DIV/0!</v>
      </c>
      <c r="F76" t="e">
        <f>Assets!F74/Assets!F$4*Assets!F$2</f>
        <v>#DIV/0!</v>
      </c>
      <c r="G76" t="e">
        <f t="shared" si="4"/>
        <v>#DIV/0!</v>
      </c>
      <c r="H76" s="1">
        <f t="shared" si="5"/>
        <v>0</v>
      </c>
    </row>
    <row r="77" spans="1:8" x14ac:dyDescent="0.25">
      <c r="A77" s="1">
        <f>Assets!A75</f>
        <v>0</v>
      </c>
      <c r="B77" t="e">
        <f>Assets!B75/Assets!B$4*Assets!B$2</f>
        <v>#DIV/0!</v>
      </c>
      <c r="C77" t="e">
        <f>Assets!C75/Assets!C$4*Assets!C$2</f>
        <v>#DIV/0!</v>
      </c>
      <c r="D77" t="e">
        <f>Assets!D75/Assets!D$4*Assets!D$2</f>
        <v>#DIV/0!</v>
      </c>
      <c r="E77" t="e">
        <f>Assets!E75/Assets!E$4*Assets!E$2</f>
        <v>#DIV/0!</v>
      </c>
      <c r="F77" t="e">
        <f>Assets!F75/Assets!F$4*Assets!F$2</f>
        <v>#DIV/0!</v>
      </c>
      <c r="G77" t="e">
        <f t="shared" si="4"/>
        <v>#DIV/0!</v>
      </c>
      <c r="H77" s="1">
        <f t="shared" si="5"/>
        <v>0</v>
      </c>
    </row>
    <row r="78" spans="1:8" x14ac:dyDescent="0.25">
      <c r="A78" s="1">
        <f>Assets!A76</f>
        <v>0</v>
      </c>
      <c r="B78" t="e">
        <f>Assets!B76/Assets!B$4*Assets!B$2</f>
        <v>#DIV/0!</v>
      </c>
      <c r="C78" t="e">
        <f>Assets!C76/Assets!C$4*Assets!C$2</f>
        <v>#DIV/0!</v>
      </c>
      <c r="D78" t="e">
        <f>Assets!D76/Assets!D$4*Assets!D$2</f>
        <v>#DIV/0!</v>
      </c>
      <c r="E78" t="e">
        <f>Assets!E76/Assets!E$4*Assets!E$2</f>
        <v>#DIV/0!</v>
      </c>
      <c r="F78" t="e">
        <f>Assets!F76/Assets!F$4*Assets!F$2</f>
        <v>#DIV/0!</v>
      </c>
      <c r="G78" t="e">
        <f t="shared" si="4"/>
        <v>#DIV/0!</v>
      </c>
      <c r="H78" s="1">
        <f t="shared" si="5"/>
        <v>0</v>
      </c>
    </row>
    <row r="79" spans="1:8" x14ac:dyDescent="0.25">
      <c r="A79" s="1">
        <f>Assets!A77</f>
        <v>0</v>
      </c>
      <c r="B79" t="e">
        <f>Assets!B77/Assets!B$4*Assets!B$2</f>
        <v>#DIV/0!</v>
      </c>
      <c r="C79" t="e">
        <f>Assets!C77/Assets!C$4*Assets!C$2</f>
        <v>#DIV/0!</v>
      </c>
      <c r="D79" t="e">
        <f>Assets!D77/Assets!D$4*Assets!D$2</f>
        <v>#DIV/0!</v>
      </c>
      <c r="E79" t="e">
        <f>Assets!E77/Assets!E$4*Assets!E$2</f>
        <v>#DIV/0!</v>
      </c>
      <c r="F79" t="e">
        <f>Assets!F77/Assets!F$4*Assets!F$2</f>
        <v>#DIV/0!</v>
      </c>
      <c r="G79" t="e">
        <f t="shared" si="4"/>
        <v>#DIV/0!</v>
      </c>
      <c r="H79" s="1">
        <f t="shared" si="5"/>
        <v>0</v>
      </c>
    </row>
    <row r="80" spans="1:8" x14ac:dyDescent="0.25">
      <c r="A80" s="1">
        <f>Assets!A78</f>
        <v>0</v>
      </c>
      <c r="B80" t="e">
        <f>Assets!B78/Assets!B$4*Assets!B$2</f>
        <v>#DIV/0!</v>
      </c>
      <c r="C80" t="e">
        <f>Assets!C78/Assets!C$4*Assets!C$2</f>
        <v>#DIV/0!</v>
      </c>
      <c r="D80" t="e">
        <f>Assets!D78/Assets!D$4*Assets!D$2</f>
        <v>#DIV/0!</v>
      </c>
      <c r="E80" t="e">
        <f>Assets!E78/Assets!E$4*Assets!E$2</f>
        <v>#DIV/0!</v>
      </c>
      <c r="F80" t="e">
        <f>Assets!F78/Assets!F$4*Assets!F$2</f>
        <v>#DIV/0!</v>
      </c>
      <c r="G80" t="e">
        <f t="shared" si="4"/>
        <v>#DIV/0!</v>
      </c>
      <c r="H80" s="1">
        <f t="shared" si="5"/>
        <v>0</v>
      </c>
    </row>
    <row r="81" spans="1:8" x14ac:dyDescent="0.25">
      <c r="A81" s="1">
        <f>Assets!A79</f>
        <v>0</v>
      </c>
      <c r="B81" t="e">
        <f>Assets!B79/Assets!B$4*Assets!B$2</f>
        <v>#DIV/0!</v>
      </c>
      <c r="C81" t="e">
        <f>Assets!C79/Assets!C$4*Assets!C$2</f>
        <v>#DIV/0!</v>
      </c>
      <c r="D81" t="e">
        <f>Assets!D79/Assets!D$4*Assets!D$2</f>
        <v>#DIV/0!</v>
      </c>
      <c r="E81" t="e">
        <f>Assets!E79/Assets!E$4*Assets!E$2</f>
        <v>#DIV/0!</v>
      </c>
      <c r="F81" t="e">
        <f>Assets!F79/Assets!F$4*Assets!F$2</f>
        <v>#DIV/0!</v>
      </c>
      <c r="G81" t="e">
        <f t="shared" si="4"/>
        <v>#DIV/0!</v>
      </c>
      <c r="H81" s="1">
        <f t="shared" si="5"/>
        <v>0</v>
      </c>
    </row>
    <row r="82" spans="1:8" x14ac:dyDescent="0.25">
      <c r="A82" s="1">
        <f>Assets!A80</f>
        <v>0</v>
      </c>
      <c r="B82" t="e">
        <f>Assets!B80/Assets!B$4*Assets!B$2</f>
        <v>#DIV/0!</v>
      </c>
      <c r="C82" t="e">
        <f>Assets!C80/Assets!C$4*Assets!C$2</f>
        <v>#DIV/0!</v>
      </c>
      <c r="D82" t="e">
        <f>Assets!D80/Assets!D$4*Assets!D$2</f>
        <v>#DIV/0!</v>
      </c>
      <c r="E82" t="e">
        <f>Assets!E80/Assets!E$4*Assets!E$2</f>
        <v>#DIV/0!</v>
      </c>
      <c r="F82" t="e">
        <f>Assets!F80/Assets!F$4*Assets!F$2</f>
        <v>#DIV/0!</v>
      </c>
      <c r="G82" t="e">
        <f t="shared" si="4"/>
        <v>#DIV/0!</v>
      </c>
      <c r="H82" s="1">
        <f t="shared" si="5"/>
        <v>0</v>
      </c>
    </row>
    <row r="83" spans="1:8" x14ac:dyDescent="0.25">
      <c r="A83" s="1">
        <f>Assets!A81</f>
        <v>0</v>
      </c>
      <c r="B83" t="e">
        <f>Assets!B81/Assets!B$4*Assets!B$2</f>
        <v>#DIV/0!</v>
      </c>
      <c r="C83" t="e">
        <f>Assets!C81/Assets!C$4*Assets!C$2</f>
        <v>#DIV/0!</v>
      </c>
      <c r="D83" t="e">
        <f>Assets!D81/Assets!D$4*Assets!D$2</f>
        <v>#DIV/0!</v>
      </c>
      <c r="E83" t="e">
        <f>Assets!E81/Assets!E$4*Assets!E$2</f>
        <v>#DIV/0!</v>
      </c>
      <c r="F83" t="e">
        <f>Assets!F81/Assets!F$4*Assets!F$2</f>
        <v>#DIV/0!</v>
      </c>
      <c r="G83" t="e">
        <f t="shared" si="4"/>
        <v>#DIV/0!</v>
      </c>
      <c r="H83" s="1">
        <f t="shared" si="5"/>
        <v>0</v>
      </c>
    </row>
    <row r="84" spans="1:8" x14ac:dyDescent="0.25">
      <c r="A84" s="1">
        <f>Assets!A82</f>
        <v>0</v>
      </c>
      <c r="B84" t="e">
        <f>Assets!B82/Assets!B$4*Assets!B$2</f>
        <v>#DIV/0!</v>
      </c>
      <c r="C84" t="e">
        <f>Assets!C82/Assets!C$4*Assets!C$2</f>
        <v>#DIV/0!</v>
      </c>
      <c r="D84" t="e">
        <f>Assets!D82/Assets!D$4*Assets!D$2</f>
        <v>#DIV/0!</v>
      </c>
      <c r="E84" t="e">
        <f>Assets!E82/Assets!E$4*Assets!E$2</f>
        <v>#DIV/0!</v>
      </c>
      <c r="F84" t="e">
        <f>Assets!F82/Assets!F$4*Assets!F$2</f>
        <v>#DIV/0!</v>
      </c>
      <c r="G84" t="e">
        <f t="shared" si="4"/>
        <v>#DIV/0!</v>
      </c>
      <c r="H84" s="1">
        <f t="shared" si="5"/>
        <v>0</v>
      </c>
    </row>
    <row r="85" spans="1:8" x14ac:dyDescent="0.25">
      <c r="A85" s="1">
        <f>Assets!A83</f>
        <v>0</v>
      </c>
      <c r="B85" t="e">
        <f>Assets!B83/Assets!B$4*Assets!B$2</f>
        <v>#DIV/0!</v>
      </c>
      <c r="C85" t="e">
        <f>Assets!C83/Assets!C$4*Assets!C$2</f>
        <v>#DIV/0!</v>
      </c>
      <c r="D85" t="e">
        <f>Assets!D83/Assets!D$4*Assets!D$2</f>
        <v>#DIV/0!</v>
      </c>
      <c r="E85" t="e">
        <f>Assets!E83/Assets!E$4*Assets!E$2</f>
        <v>#DIV/0!</v>
      </c>
      <c r="F85" t="e">
        <f>Assets!F83/Assets!F$4*Assets!F$2</f>
        <v>#DIV/0!</v>
      </c>
      <c r="G85" t="e">
        <f t="shared" si="4"/>
        <v>#DIV/0!</v>
      </c>
      <c r="H85" s="1">
        <f t="shared" si="5"/>
        <v>0</v>
      </c>
    </row>
    <row r="86" spans="1:8" x14ac:dyDescent="0.25">
      <c r="A86" s="1">
        <f>Assets!A84</f>
        <v>0</v>
      </c>
      <c r="B86" t="e">
        <f>Assets!B84/Assets!B$4*Assets!B$2</f>
        <v>#DIV/0!</v>
      </c>
      <c r="C86" t="e">
        <f>Assets!C84/Assets!C$4*Assets!C$2</f>
        <v>#DIV/0!</v>
      </c>
      <c r="D86" t="e">
        <f>Assets!D84/Assets!D$4*Assets!D$2</f>
        <v>#DIV/0!</v>
      </c>
      <c r="E86" t="e">
        <f>Assets!E84/Assets!E$4*Assets!E$2</f>
        <v>#DIV/0!</v>
      </c>
      <c r="F86" t="e">
        <f>Assets!F84/Assets!F$4*Assets!F$2</f>
        <v>#DIV/0!</v>
      </c>
      <c r="G86" t="e">
        <f t="shared" si="4"/>
        <v>#DIV/0!</v>
      </c>
      <c r="H86" s="1">
        <f t="shared" si="5"/>
        <v>0</v>
      </c>
    </row>
    <row r="87" spans="1:8" x14ac:dyDescent="0.25">
      <c r="A87" s="1">
        <f>Assets!A85</f>
        <v>0</v>
      </c>
      <c r="B87" t="e">
        <f>Assets!B85/Assets!B$4*Assets!B$2</f>
        <v>#DIV/0!</v>
      </c>
      <c r="C87" t="e">
        <f>Assets!C85/Assets!C$4*Assets!C$2</f>
        <v>#DIV/0!</v>
      </c>
      <c r="D87" t="e">
        <f>Assets!D85/Assets!D$4*Assets!D$2</f>
        <v>#DIV/0!</v>
      </c>
      <c r="E87" t="e">
        <f>Assets!E85/Assets!E$4*Assets!E$2</f>
        <v>#DIV/0!</v>
      </c>
      <c r="F87" t="e">
        <f>Assets!F85/Assets!F$4*Assets!F$2</f>
        <v>#DIV/0!</v>
      </c>
      <c r="G87" t="e">
        <f t="shared" si="4"/>
        <v>#DIV/0!</v>
      </c>
      <c r="H87" s="1">
        <f t="shared" si="5"/>
        <v>0</v>
      </c>
    </row>
    <row r="88" spans="1:8" x14ac:dyDescent="0.25">
      <c r="A88" s="1">
        <f>Assets!A86</f>
        <v>0</v>
      </c>
      <c r="B88" t="e">
        <f>Assets!B86/Assets!B$4*Assets!B$2</f>
        <v>#DIV/0!</v>
      </c>
      <c r="C88" t="e">
        <f>Assets!C86/Assets!C$4*Assets!C$2</f>
        <v>#DIV/0!</v>
      </c>
      <c r="D88" t="e">
        <f>Assets!D86/Assets!D$4*Assets!D$2</f>
        <v>#DIV/0!</v>
      </c>
      <c r="E88" t="e">
        <f>Assets!E86/Assets!E$4*Assets!E$2</f>
        <v>#DIV/0!</v>
      </c>
      <c r="F88" t="e">
        <f>Assets!F86/Assets!F$4*Assets!F$2</f>
        <v>#DIV/0!</v>
      </c>
      <c r="G88" t="e">
        <f t="shared" si="4"/>
        <v>#DIV/0!</v>
      </c>
      <c r="H88" s="1">
        <f t="shared" si="5"/>
        <v>0</v>
      </c>
    </row>
    <row r="89" spans="1:8" x14ac:dyDescent="0.25">
      <c r="A89" s="1">
        <f>Assets!A87</f>
        <v>0</v>
      </c>
      <c r="B89" t="e">
        <f>Assets!B87/Assets!B$4*Assets!B$2</f>
        <v>#DIV/0!</v>
      </c>
      <c r="C89" t="e">
        <f>Assets!C87/Assets!C$4*Assets!C$2</f>
        <v>#DIV/0!</v>
      </c>
      <c r="D89" t="e">
        <f>Assets!D87/Assets!D$4*Assets!D$2</f>
        <v>#DIV/0!</v>
      </c>
      <c r="E89" t="e">
        <f>Assets!E87/Assets!E$4*Assets!E$2</f>
        <v>#DIV/0!</v>
      </c>
      <c r="F89" t="e">
        <f>Assets!F87/Assets!F$4*Assets!F$2</f>
        <v>#DIV/0!</v>
      </c>
      <c r="G89" t="e">
        <f t="shared" si="4"/>
        <v>#DIV/0!</v>
      </c>
      <c r="H89" s="1">
        <f t="shared" si="5"/>
        <v>0</v>
      </c>
    </row>
    <row r="90" spans="1:8" x14ac:dyDescent="0.25">
      <c r="A90" s="1">
        <f>Assets!A88</f>
        <v>0</v>
      </c>
      <c r="B90" t="e">
        <f>Assets!B88/Assets!B$4*Assets!B$2</f>
        <v>#DIV/0!</v>
      </c>
      <c r="C90" t="e">
        <f>Assets!C88/Assets!C$4*Assets!C$2</f>
        <v>#DIV/0!</v>
      </c>
      <c r="D90" t="e">
        <f>Assets!D88/Assets!D$4*Assets!D$2</f>
        <v>#DIV/0!</v>
      </c>
      <c r="E90" t="e">
        <f>Assets!E88/Assets!E$4*Assets!E$2</f>
        <v>#DIV/0!</v>
      </c>
      <c r="F90" t="e">
        <f>Assets!F88/Assets!F$4*Assets!F$2</f>
        <v>#DIV/0!</v>
      </c>
      <c r="G90" t="e">
        <f t="shared" si="4"/>
        <v>#DIV/0!</v>
      </c>
      <c r="H90" s="1">
        <f t="shared" si="5"/>
        <v>0</v>
      </c>
    </row>
    <row r="91" spans="1:8" x14ac:dyDescent="0.25">
      <c r="A91" s="1">
        <f>Assets!A89</f>
        <v>0</v>
      </c>
      <c r="B91" t="e">
        <f>Assets!B89/Assets!B$4*Assets!B$2</f>
        <v>#DIV/0!</v>
      </c>
      <c r="C91" t="e">
        <f>Assets!C89/Assets!C$4*Assets!C$2</f>
        <v>#DIV/0!</v>
      </c>
      <c r="D91" t="e">
        <f>Assets!D89/Assets!D$4*Assets!D$2</f>
        <v>#DIV/0!</v>
      </c>
      <c r="E91" t="e">
        <f>Assets!E89/Assets!E$4*Assets!E$2</f>
        <v>#DIV/0!</v>
      </c>
      <c r="F91" t="e">
        <f>Assets!F89/Assets!F$4*Assets!F$2</f>
        <v>#DIV/0!</v>
      </c>
      <c r="G91" t="e">
        <f t="shared" si="4"/>
        <v>#DIV/0!</v>
      </c>
      <c r="H91" s="1">
        <f t="shared" si="5"/>
        <v>0</v>
      </c>
    </row>
    <row r="92" spans="1:8" x14ac:dyDescent="0.25">
      <c r="A92" s="1">
        <f>Assets!A90</f>
        <v>0</v>
      </c>
      <c r="B92" t="e">
        <f>Assets!B90/Assets!B$4*Assets!B$2</f>
        <v>#DIV/0!</v>
      </c>
      <c r="C92" t="e">
        <f>Assets!C90/Assets!C$4*Assets!C$2</f>
        <v>#DIV/0!</v>
      </c>
      <c r="D92" t="e">
        <f>Assets!D90/Assets!D$4*Assets!D$2</f>
        <v>#DIV/0!</v>
      </c>
      <c r="E92" t="e">
        <f>Assets!E90/Assets!E$4*Assets!E$2</f>
        <v>#DIV/0!</v>
      </c>
      <c r="F92" t="e">
        <f>Assets!F90/Assets!F$4*Assets!F$2</f>
        <v>#DIV/0!</v>
      </c>
      <c r="G92" t="e">
        <f t="shared" si="4"/>
        <v>#DIV/0!</v>
      </c>
      <c r="H92" s="1">
        <f t="shared" si="5"/>
        <v>0</v>
      </c>
    </row>
    <row r="93" spans="1:8" x14ac:dyDescent="0.25">
      <c r="A93" s="1">
        <f>Assets!A91</f>
        <v>0</v>
      </c>
      <c r="B93" t="e">
        <f>Assets!B91/Assets!B$4*Assets!B$2</f>
        <v>#DIV/0!</v>
      </c>
      <c r="C93" t="e">
        <f>Assets!C91/Assets!C$4*Assets!C$2</f>
        <v>#DIV/0!</v>
      </c>
      <c r="D93" t="e">
        <f>Assets!D91/Assets!D$4*Assets!D$2</f>
        <v>#DIV/0!</v>
      </c>
      <c r="E93" t="e">
        <f>Assets!E91/Assets!E$4*Assets!E$2</f>
        <v>#DIV/0!</v>
      </c>
      <c r="F93" t="e">
        <f>Assets!F91/Assets!F$4*Assets!F$2</f>
        <v>#DIV/0!</v>
      </c>
      <c r="G93" t="e">
        <f t="shared" si="4"/>
        <v>#DIV/0!</v>
      </c>
      <c r="H93" s="1">
        <f t="shared" si="5"/>
        <v>0</v>
      </c>
    </row>
    <row r="94" spans="1:8" x14ac:dyDescent="0.25">
      <c r="A94" s="1">
        <f>Assets!A92</f>
        <v>0</v>
      </c>
      <c r="B94" t="e">
        <f>Assets!B92/Assets!B$4*Assets!B$2</f>
        <v>#DIV/0!</v>
      </c>
      <c r="C94" t="e">
        <f>Assets!C92/Assets!C$4*Assets!C$2</f>
        <v>#DIV/0!</v>
      </c>
      <c r="D94" t="e">
        <f>Assets!D92/Assets!D$4*Assets!D$2</f>
        <v>#DIV/0!</v>
      </c>
      <c r="E94" t="e">
        <f>Assets!E92/Assets!E$4*Assets!E$2</f>
        <v>#DIV/0!</v>
      </c>
      <c r="F94" t="e">
        <f>Assets!F92/Assets!F$4*Assets!F$2</f>
        <v>#DIV/0!</v>
      </c>
      <c r="G94" t="e">
        <f t="shared" si="4"/>
        <v>#DIV/0!</v>
      </c>
      <c r="H94" s="1">
        <f t="shared" si="5"/>
        <v>0</v>
      </c>
    </row>
    <row r="95" spans="1:8" x14ac:dyDescent="0.25">
      <c r="A95" s="1">
        <f>Assets!A93</f>
        <v>0</v>
      </c>
      <c r="B95" t="e">
        <f>Assets!B93/Assets!B$4*Assets!B$2</f>
        <v>#DIV/0!</v>
      </c>
      <c r="C95" t="e">
        <f>Assets!C93/Assets!C$4*Assets!C$2</f>
        <v>#DIV/0!</v>
      </c>
      <c r="D95" t="e">
        <f>Assets!D93/Assets!D$4*Assets!D$2</f>
        <v>#DIV/0!</v>
      </c>
      <c r="E95" t="e">
        <f>Assets!E93/Assets!E$4*Assets!E$2</f>
        <v>#DIV/0!</v>
      </c>
      <c r="F95" t="e">
        <f>Assets!F93/Assets!F$4*Assets!F$2</f>
        <v>#DIV/0!</v>
      </c>
      <c r="G95" t="e">
        <f t="shared" si="4"/>
        <v>#DIV/0!</v>
      </c>
      <c r="H95" s="1">
        <f t="shared" si="5"/>
        <v>0</v>
      </c>
    </row>
    <row r="96" spans="1:8" x14ac:dyDescent="0.25">
      <c r="A96" s="1">
        <f>Assets!A94</f>
        <v>0</v>
      </c>
      <c r="B96" t="e">
        <f>Assets!B94/Assets!B$4*Assets!B$2</f>
        <v>#DIV/0!</v>
      </c>
      <c r="C96" t="e">
        <f>Assets!C94/Assets!C$4*Assets!C$2</f>
        <v>#DIV/0!</v>
      </c>
      <c r="D96" t="e">
        <f>Assets!D94/Assets!D$4*Assets!D$2</f>
        <v>#DIV/0!</v>
      </c>
      <c r="E96" t="e">
        <f>Assets!E94/Assets!E$4*Assets!E$2</f>
        <v>#DIV/0!</v>
      </c>
      <c r="F96" t="e">
        <f>Assets!F94/Assets!F$4*Assets!F$2</f>
        <v>#DIV/0!</v>
      </c>
      <c r="G96" t="e">
        <f t="shared" si="4"/>
        <v>#DIV/0!</v>
      </c>
      <c r="H96" s="1">
        <f t="shared" si="5"/>
        <v>0</v>
      </c>
    </row>
    <row r="97" spans="1:8" x14ac:dyDescent="0.25">
      <c r="A97" s="1">
        <f>Assets!A95</f>
        <v>0</v>
      </c>
      <c r="B97" t="e">
        <f>Assets!B95/Assets!B$4*Assets!B$2</f>
        <v>#DIV/0!</v>
      </c>
      <c r="C97" t="e">
        <f>Assets!C95/Assets!C$4*Assets!C$2</f>
        <v>#DIV/0!</v>
      </c>
      <c r="D97" t="e">
        <f>Assets!D95/Assets!D$4*Assets!D$2</f>
        <v>#DIV/0!</v>
      </c>
      <c r="E97" t="e">
        <f>Assets!E95/Assets!E$4*Assets!E$2</f>
        <v>#DIV/0!</v>
      </c>
      <c r="F97" t="e">
        <f>Assets!F95/Assets!F$4*Assets!F$2</f>
        <v>#DIV/0!</v>
      </c>
      <c r="G97" t="e">
        <f t="shared" si="4"/>
        <v>#DIV/0!</v>
      </c>
      <c r="H97" s="1">
        <f t="shared" si="5"/>
        <v>0</v>
      </c>
    </row>
    <row r="98" spans="1:8" x14ac:dyDescent="0.25">
      <c r="A98" s="1">
        <f>Assets!A96</f>
        <v>0</v>
      </c>
      <c r="B98" t="e">
        <f>Assets!B96/Assets!B$4*Assets!B$2</f>
        <v>#DIV/0!</v>
      </c>
      <c r="C98" t="e">
        <f>Assets!C96/Assets!C$4*Assets!C$2</f>
        <v>#DIV/0!</v>
      </c>
      <c r="D98" t="e">
        <f>Assets!D96/Assets!D$4*Assets!D$2</f>
        <v>#DIV/0!</v>
      </c>
      <c r="E98" t="e">
        <f>Assets!E96/Assets!E$4*Assets!E$2</f>
        <v>#DIV/0!</v>
      </c>
      <c r="F98" t="e">
        <f>Assets!F96/Assets!F$4*Assets!F$2</f>
        <v>#DIV/0!</v>
      </c>
      <c r="G98" t="e">
        <f t="shared" si="4"/>
        <v>#DIV/0!</v>
      </c>
      <c r="H98" s="1">
        <f t="shared" si="5"/>
        <v>0</v>
      </c>
    </row>
    <row r="99" spans="1:8" x14ac:dyDescent="0.25">
      <c r="A99" s="1">
        <f>Assets!A97</f>
        <v>0</v>
      </c>
      <c r="B99" t="e">
        <f>Assets!B97/Assets!B$4*Assets!B$2</f>
        <v>#DIV/0!</v>
      </c>
      <c r="C99" t="e">
        <f>Assets!C97/Assets!C$4*Assets!C$2</f>
        <v>#DIV/0!</v>
      </c>
      <c r="D99" t="e">
        <f>Assets!D97/Assets!D$4*Assets!D$2</f>
        <v>#DIV/0!</v>
      </c>
      <c r="E99" t="e">
        <f>Assets!E97/Assets!E$4*Assets!E$2</f>
        <v>#DIV/0!</v>
      </c>
      <c r="F99" t="e">
        <f>Assets!F97/Assets!F$4*Assets!F$2</f>
        <v>#DIV/0!</v>
      </c>
      <c r="G99" t="e">
        <f t="shared" si="4"/>
        <v>#DIV/0!</v>
      </c>
      <c r="H99" s="1">
        <f t="shared" si="5"/>
        <v>0</v>
      </c>
    </row>
    <row r="100" spans="1:8" x14ac:dyDescent="0.25">
      <c r="A100" s="1">
        <f>Assets!A98</f>
        <v>0</v>
      </c>
      <c r="B100" t="e">
        <f>Assets!B98/Assets!B$4*Assets!B$2</f>
        <v>#DIV/0!</v>
      </c>
      <c r="C100" t="e">
        <f>Assets!C98/Assets!C$4*Assets!C$2</f>
        <v>#DIV/0!</v>
      </c>
      <c r="D100" t="e">
        <f>Assets!D98/Assets!D$4*Assets!D$2</f>
        <v>#DIV/0!</v>
      </c>
      <c r="E100" t="e">
        <f>Assets!E98/Assets!E$4*Assets!E$2</f>
        <v>#DIV/0!</v>
      </c>
      <c r="F100" t="e">
        <f>Assets!F98/Assets!F$4*Assets!F$2</f>
        <v>#DIV/0!</v>
      </c>
      <c r="G100" t="e">
        <f t="shared" si="4"/>
        <v>#DIV/0!</v>
      </c>
      <c r="H100" s="1">
        <f t="shared" si="5"/>
        <v>0</v>
      </c>
    </row>
    <row r="101" spans="1:8" x14ac:dyDescent="0.25">
      <c r="A101" s="1">
        <f>Assets!A99</f>
        <v>0</v>
      </c>
      <c r="B101" t="e">
        <f>Assets!B99/Assets!B$4*Assets!B$2</f>
        <v>#DIV/0!</v>
      </c>
      <c r="C101" t="e">
        <f>Assets!C99/Assets!C$4*Assets!C$2</f>
        <v>#DIV/0!</v>
      </c>
      <c r="D101" t="e">
        <f>Assets!D99/Assets!D$4*Assets!D$2</f>
        <v>#DIV/0!</v>
      </c>
      <c r="E101" t="e">
        <f>Assets!E99/Assets!E$4*Assets!E$2</f>
        <v>#DIV/0!</v>
      </c>
      <c r="F101" t="e">
        <f>Assets!F99/Assets!F$4*Assets!F$2</f>
        <v>#DIV/0!</v>
      </c>
      <c r="G101" t="e">
        <f t="shared" si="4"/>
        <v>#DIV/0!</v>
      </c>
      <c r="H101" s="1">
        <f t="shared" si="5"/>
        <v>0</v>
      </c>
    </row>
    <row r="102" spans="1:8" x14ac:dyDescent="0.25">
      <c r="A102" s="1">
        <f>Assets!A100</f>
        <v>0</v>
      </c>
      <c r="B102" t="e">
        <f>Assets!B100/Assets!B$4*Assets!B$2</f>
        <v>#DIV/0!</v>
      </c>
      <c r="C102" t="e">
        <f>Assets!C100/Assets!C$4*Assets!C$2</f>
        <v>#DIV/0!</v>
      </c>
      <c r="D102" t="e">
        <f>Assets!D100/Assets!D$4*Assets!D$2</f>
        <v>#DIV/0!</v>
      </c>
      <c r="E102" t="e">
        <f>Assets!E100/Assets!E$4*Assets!E$2</f>
        <v>#DIV/0!</v>
      </c>
      <c r="F102" t="e">
        <f>Assets!F100/Assets!F$4*Assets!F$2</f>
        <v>#DIV/0!</v>
      </c>
      <c r="G102" t="e">
        <f t="shared" si="4"/>
        <v>#DIV/0!</v>
      </c>
      <c r="H102" s="1">
        <f t="shared" si="5"/>
        <v>0</v>
      </c>
    </row>
    <row r="103" spans="1:8" x14ac:dyDescent="0.25">
      <c r="A103" s="1">
        <f>Assets!A101</f>
        <v>0</v>
      </c>
      <c r="B103" t="e">
        <f>Assets!B101/Assets!B$4*Assets!B$2</f>
        <v>#DIV/0!</v>
      </c>
      <c r="C103" t="e">
        <f>Assets!C101/Assets!C$4*Assets!C$2</f>
        <v>#DIV/0!</v>
      </c>
      <c r="D103" t="e">
        <f>Assets!D101/Assets!D$4*Assets!D$2</f>
        <v>#DIV/0!</v>
      </c>
      <c r="E103" t="e">
        <f>Assets!E101/Assets!E$4*Assets!E$2</f>
        <v>#DIV/0!</v>
      </c>
      <c r="F103" t="e">
        <f>Assets!F101/Assets!F$4*Assets!F$2</f>
        <v>#DIV/0!</v>
      </c>
      <c r="G103" t="e">
        <f t="shared" si="4"/>
        <v>#DIV/0!</v>
      </c>
      <c r="H103" s="1">
        <f t="shared" si="5"/>
        <v>0</v>
      </c>
    </row>
    <row r="104" spans="1:8" x14ac:dyDescent="0.25">
      <c r="A104" s="1">
        <f>Assets!A102</f>
        <v>0</v>
      </c>
      <c r="B104" t="e">
        <f>Assets!B102/Assets!B$4*Assets!B$2</f>
        <v>#DIV/0!</v>
      </c>
      <c r="C104" t="e">
        <f>Assets!C102/Assets!C$4*Assets!C$2</f>
        <v>#DIV/0!</v>
      </c>
      <c r="D104" t="e">
        <f>Assets!D102/Assets!D$4*Assets!D$2</f>
        <v>#DIV/0!</v>
      </c>
      <c r="E104" t="e">
        <f>Assets!E102/Assets!E$4*Assets!E$2</f>
        <v>#DIV/0!</v>
      </c>
      <c r="F104" t="e">
        <f>Assets!F102/Assets!F$4*Assets!F$2</f>
        <v>#DIV/0!</v>
      </c>
      <c r="G104" t="e">
        <f t="shared" si="4"/>
        <v>#DIV/0!</v>
      </c>
      <c r="H104" s="1">
        <f t="shared" si="5"/>
        <v>0</v>
      </c>
    </row>
    <row r="105" spans="1:8" x14ac:dyDescent="0.25">
      <c r="A105" s="1">
        <f>Assets!A103</f>
        <v>0</v>
      </c>
      <c r="B105" t="e">
        <f>Assets!B103/Assets!B$4*Assets!B$2</f>
        <v>#DIV/0!</v>
      </c>
      <c r="C105" t="e">
        <f>Assets!C103/Assets!C$4*Assets!C$2</f>
        <v>#DIV/0!</v>
      </c>
      <c r="D105" t="e">
        <f>Assets!D103/Assets!D$4*Assets!D$2</f>
        <v>#DIV/0!</v>
      </c>
      <c r="E105" t="e">
        <f>Assets!E103/Assets!E$4*Assets!E$2</f>
        <v>#DIV/0!</v>
      </c>
      <c r="F105" t="e">
        <f>Assets!F103/Assets!F$4*Assets!F$2</f>
        <v>#DIV/0!</v>
      </c>
      <c r="G105" t="e">
        <f t="shared" si="4"/>
        <v>#DIV/0!</v>
      </c>
      <c r="H105" s="1">
        <f t="shared" si="5"/>
        <v>0</v>
      </c>
    </row>
    <row r="106" spans="1:8" x14ac:dyDescent="0.25">
      <c r="A106" s="1">
        <f>Assets!A104</f>
        <v>0</v>
      </c>
      <c r="B106" t="e">
        <f>Assets!B104/Assets!B$4*Assets!B$2</f>
        <v>#DIV/0!</v>
      </c>
      <c r="C106" t="e">
        <f>Assets!C104/Assets!C$4*Assets!C$2</f>
        <v>#DIV/0!</v>
      </c>
      <c r="D106" t="e">
        <f>Assets!D104/Assets!D$4*Assets!D$2</f>
        <v>#DIV/0!</v>
      </c>
      <c r="E106" t="e">
        <f>Assets!E104/Assets!E$4*Assets!E$2</f>
        <v>#DIV/0!</v>
      </c>
      <c r="F106" t="e">
        <f>Assets!F104/Assets!F$4*Assets!F$2</f>
        <v>#DIV/0!</v>
      </c>
      <c r="G106" t="e">
        <f t="shared" si="4"/>
        <v>#DIV/0!</v>
      </c>
      <c r="H106" s="1">
        <f t="shared" si="5"/>
        <v>0</v>
      </c>
    </row>
    <row r="107" spans="1:8" x14ac:dyDescent="0.25">
      <c r="A107" s="1">
        <f>Assets!A105</f>
        <v>0</v>
      </c>
      <c r="B107" t="e">
        <f>Assets!B105/Assets!B$4*Assets!B$2</f>
        <v>#DIV/0!</v>
      </c>
      <c r="C107" t="e">
        <f>Assets!C105/Assets!C$4*Assets!C$2</f>
        <v>#DIV/0!</v>
      </c>
      <c r="D107" t="e">
        <f>Assets!D105/Assets!D$4*Assets!D$2</f>
        <v>#DIV/0!</v>
      </c>
      <c r="E107" t="e">
        <f>Assets!E105/Assets!E$4*Assets!E$2</f>
        <v>#DIV/0!</v>
      </c>
      <c r="F107" t="e">
        <f>Assets!F105/Assets!F$4*Assets!F$2</f>
        <v>#DIV/0!</v>
      </c>
      <c r="G107" t="e">
        <f t="shared" si="4"/>
        <v>#DIV/0!</v>
      </c>
      <c r="H107" s="1">
        <f t="shared" si="5"/>
        <v>0</v>
      </c>
    </row>
    <row r="108" spans="1:8" x14ac:dyDescent="0.25">
      <c r="A108" s="1">
        <f>Assets!A106</f>
        <v>0</v>
      </c>
      <c r="B108" t="e">
        <f>Assets!B106/Assets!B$4*Assets!B$2</f>
        <v>#DIV/0!</v>
      </c>
      <c r="C108" t="e">
        <f>Assets!C106/Assets!C$4*Assets!C$2</f>
        <v>#DIV/0!</v>
      </c>
      <c r="D108" t="e">
        <f>Assets!D106/Assets!D$4*Assets!D$2</f>
        <v>#DIV/0!</v>
      </c>
      <c r="E108" t="e">
        <f>Assets!E106/Assets!E$4*Assets!E$2</f>
        <v>#DIV/0!</v>
      </c>
      <c r="F108" t="e">
        <f>Assets!F106/Assets!F$4*Assets!F$2</f>
        <v>#DIV/0!</v>
      </c>
      <c r="G108" t="e">
        <f t="shared" si="4"/>
        <v>#DIV/0!</v>
      </c>
      <c r="H108" s="1">
        <f t="shared" si="5"/>
        <v>0</v>
      </c>
    </row>
    <row r="109" spans="1:8" x14ac:dyDescent="0.25">
      <c r="A109" s="1">
        <f>Assets!A107</f>
        <v>0</v>
      </c>
      <c r="B109" t="e">
        <f>Assets!B107/Assets!B$4*Assets!B$2</f>
        <v>#DIV/0!</v>
      </c>
      <c r="C109" t="e">
        <f>Assets!C107/Assets!C$4*Assets!C$2</f>
        <v>#DIV/0!</v>
      </c>
      <c r="D109" t="e">
        <f>Assets!D107/Assets!D$4*Assets!D$2</f>
        <v>#DIV/0!</v>
      </c>
      <c r="E109" t="e">
        <f>Assets!E107/Assets!E$4*Assets!E$2</f>
        <v>#DIV/0!</v>
      </c>
      <c r="F109" t="e">
        <f>Assets!F107/Assets!F$4*Assets!F$2</f>
        <v>#DIV/0!</v>
      </c>
      <c r="G109" t="e">
        <f t="shared" si="4"/>
        <v>#DIV/0!</v>
      </c>
      <c r="H109" s="1">
        <f t="shared" si="5"/>
        <v>0</v>
      </c>
    </row>
    <row r="110" spans="1:8" x14ac:dyDescent="0.25">
      <c r="A110" s="1">
        <f>Assets!A108</f>
        <v>0</v>
      </c>
      <c r="B110" t="e">
        <f>Assets!B108/Assets!B$4*Assets!B$2</f>
        <v>#DIV/0!</v>
      </c>
      <c r="C110" t="e">
        <f>Assets!C108/Assets!C$4*Assets!C$2</f>
        <v>#DIV/0!</v>
      </c>
      <c r="D110" t="e">
        <f>Assets!D108/Assets!D$4*Assets!D$2</f>
        <v>#DIV/0!</v>
      </c>
      <c r="E110" t="e">
        <f>Assets!E108/Assets!E$4*Assets!E$2</f>
        <v>#DIV/0!</v>
      </c>
      <c r="F110" t="e">
        <f>Assets!F108/Assets!F$4*Assets!F$2</f>
        <v>#DIV/0!</v>
      </c>
      <c r="G110" t="e">
        <f t="shared" si="4"/>
        <v>#DIV/0!</v>
      </c>
      <c r="H110" s="1">
        <f t="shared" si="5"/>
        <v>0</v>
      </c>
    </row>
    <row r="111" spans="1:8" x14ac:dyDescent="0.25">
      <c r="A111" s="1">
        <f>Assets!A109</f>
        <v>0</v>
      </c>
      <c r="B111" t="e">
        <f>Assets!B109/Assets!B$4*Assets!B$2</f>
        <v>#DIV/0!</v>
      </c>
      <c r="C111" t="e">
        <f>Assets!C109/Assets!C$4*Assets!C$2</f>
        <v>#DIV/0!</v>
      </c>
      <c r="D111" t="e">
        <f>Assets!D109/Assets!D$4*Assets!D$2</f>
        <v>#DIV/0!</v>
      </c>
      <c r="E111" t="e">
        <f>Assets!E109/Assets!E$4*Assets!E$2</f>
        <v>#DIV/0!</v>
      </c>
      <c r="F111" t="e">
        <f>Assets!F109/Assets!F$4*Assets!F$2</f>
        <v>#DIV/0!</v>
      </c>
      <c r="G111" t="e">
        <f t="shared" si="4"/>
        <v>#DIV/0!</v>
      </c>
      <c r="H111" s="1">
        <f t="shared" si="5"/>
        <v>0</v>
      </c>
    </row>
    <row r="112" spans="1:8" x14ac:dyDescent="0.25">
      <c r="A112" s="1">
        <f>Assets!A110</f>
        <v>0</v>
      </c>
      <c r="B112" t="e">
        <f>Assets!B110/Assets!B$4*Assets!B$2</f>
        <v>#DIV/0!</v>
      </c>
      <c r="C112" t="e">
        <f>Assets!C110/Assets!C$4*Assets!C$2</f>
        <v>#DIV/0!</v>
      </c>
      <c r="D112" t="e">
        <f>Assets!D110/Assets!D$4*Assets!D$2</f>
        <v>#DIV/0!</v>
      </c>
      <c r="E112" t="e">
        <f>Assets!E110/Assets!E$4*Assets!E$2</f>
        <v>#DIV/0!</v>
      </c>
      <c r="F112" t="e">
        <f>Assets!F110/Assets!F$4*Assets!F$2</f>
        <v>#DIV/0!</v>
      </c>
      <c r="G112" t="e">
        <f t="shared" si="4"/>
        <v>#DIV/0!</v>
      </c>
      <c r="H112" s="1">
        <f t="shared" si="5"/>
        <v>0</v>
      </c>
    </row>
    <row r="113" spans="1:8" x14ac:dyDescent="0.25">
      <c r="A113" s="1">
        <f>Assets!A111</f>
        <v>0</v>
      </c>
      <c r="B113" t="e">
        <f>Assets!B111/Assets!B$4*Assets!B$2</f>
        <v>#DIV/0!</v>
      </c>
      <c r="C113" t="e">
        <f>Assets!C111/Assets!C$4*Assets!C$2</f>
        <v>#DIV/0!</v>
      </c>
      <c r="D113" t="e">
        <f>Assets!D111/Assets!D$4*Assets!D$2</f>
        <v>#DIV/0!</v>
      </c>
      <c r="E113" t="e">
        <f>Assets!E111/Assets!E$4*Assets!E$2</f>
        <v>#DIV/0!</v>
      </c>
      <c r="F113" t="e">
        <f>Assets!F111/Assets!F$4*Assets!F$2</f>
        <v>#DIV/0!</v>
      </c>
      <c r="G113" t="e">
        <f t="shared" si="4"/>
        <v>#DIV/0!</v>
      </c>
      <c r="H113" s="1">
        <f t="shared" si="5"/>
        <v>0</v>
      </c>
    </row>
    <row r="114" spans="1:8" x14ac:dyDescent="0.25">
      <c r="A114" s="1">
        <f>Assets!A112</f>
        <v>0</v>
      </c>
      <c r="B114" t="e">
        <f>Assets!B112/Assets!B$4*Assets!B$2</f>
        <v>#DIV/0!</v>
      </c>
      <c r="C114" t="e">
        <f>Assets!C112/Assets!C$4*Assets!C$2</f>
        <v>#DIV/0!</v>
      </c>
      <c r="D114" t="e">
        <f>Assets!D112/Assets!D$4*Assets!D$2</f>
        <v>#DIV/0!</v>
      </c>
      <c r="E114" t="e">
        <f>Assets!E112/Assets!E$4*Assets!E$2</f>
        <v>#DIV/0!</v>
      </c>
      <c r="F114" t="e">
        <f>Assets!F112/Assets!F$4*Assets!F$2</f>
        <v>#DIV/0!</v>
      </c>
      <c r="G114" t="e">
        <f t="shared" si="4"/>
        <v>#DIV/0!</v>
      </c>
      <c r="H114" s="1">
        <f t="shared" si="5"/>
        <v>0</v>
      </c>
    </row>
    <row r="115" spans="1:8" x14ac:dyDescent="0.25">
      <c r="A115" s="1">
        <f>Assets!A113</f>
        <v>0</v>
      </c>
      <c r="B115" t="e">
        <f>Assets!B113/Assets!B$4*Assets!B$2</f>
        <v>#DIV/0!</v>
      </c>
      <c r="C115" t="e">
        <f>Assets!C113/Assets!C$4*Assets!C$2</f>
        <v>#DIV/0!</v>
      </c>
      <c r="D115" t="e">
        <f>Assets!D113/Assets!D$4*Assets!D$2</f>
        <v>#DIV/0!</v>
      </c>
      <c r="E115" t="e">
        <f>Assets!E113/Assets!E$4*Assets!E$2</f>
        <v>#DIV/0!</v>
      </c>
      <c r="F115" t="e">
        <f>Assets!F113/Assets!F$4*Assets!F$2</f>
        <v>#DIV/0!</v>
      </c>
      <c r="G115" t="e">
        <f t="shared" si="4"/>
        <v>#DIV/0!</v>
      </c>
      <c r="H115" s="1">
        <f t="shared" si="5"/>
        <v>0</v>
      </c>
    </row>
    <row r="116" spans="1:8" x14ac:dyDescent="0.25">
      <c r="A116" s="1">
        <f>Assets!A114</f>
        <v>0</v>
      </c>
      <c r="B116" t="e">
        <f>Assets!B114/Assets!B$4*Assets!B$2</f>
        <v>#DIV/0!</v>
      </c>
      <c r="C116" t="e">
        <f>Assets!C114/Assets!C$4*Assets!C$2</f>
        <v>#DIV/0!</v>
      </c>
      <c r="D116" t="e">
        <f>Assets!D114/Assets!D$4*Assets!D$2</f>
        <v>#DIV/0!</v>
      </c>
      <c r="E116" t="e">
        <f>Assets!E114/Assets!E$4*Assets!E$2</f>
        <v>#DIV/0!</v>
      </c>
      <c r="F116" t="e">
        <f>Assets!F114/Assets!F$4*Assets!F$2</f>
        <v>#DIV/0!</v>
      </c>
      <c r="G116" t="e">
        <f t="shared" si="4"/>
        <v>#DIV/0!</v>
      </c>
      <c r="H116" s="1">
        <f t="shared" si="5"/>
        <v>0</v>
      </c>
    </row>
    <row r="117" spans="1:8" x14ac:dyDescent="0.25">
      <c r="A117" s="1">
        <f>Assets!A115</f>
        <v>0</v>
      </c>
      <c r="B117" t="e">
        <f>Assets!B115/Assets!B$4*Assets!B$2</f>
        <v>#DIV/0!</v>
      </c>
      <c r="C117" t="e">
        <f>Assets!C115/Assets!C$4*Assets!C$2</f>
        <v>#DIV/0!</v>
      </c>
      <c r="D117" t="e">
        <f>Assets!D115/Assets!D$4*Assets!D$2</f>
        <v>#DIV/0!</v>
      </c>
      <c r="E117" t="e">
        <f>Assets!E115/Assets!E$4*Assets!E$2</f>
        <v>#DIV/0!</v>
      </c>
      <c r="F117" t="e">
        <f>Assets!F115/Assets!F$4*Assets!F$2</f>
        <v>#DIV/0!</v>
      </c>
      <c r="G117" t="e">
        <f t="shared" si="4"/>
        <v>#DIV/0!</v>
      </c>
      <c r="H117" s="1">
        <f t="shared" si="5"/>
        <v>0</v>
      </c>
    </row>
    <row r="118" spans="1:8" x14ac:dyDescent="0.25">
      <c r="A118" s="1">
        <f>Assets!A116</f>
        <v>0</v>
      </c>
      <c r="B118" t="e">
        <f>Assets!B116/Assets!B$4*Assets!B$2</f>
        <v>#DIV/0!</v>
      </c>
      <c r="C118" t="e">
        <f>Assets!C116/Assets!C$4*Assets!C$2</f>
        <v>#DIV/0!</v>
      </c>
      <c r="D118" t="e">
        <f>Assets!D116/Assets!D$4*Assets!D$2</f>
        <v>#DIV/0!</v>
      </c>
      <c r="E118" t="e">
        <f>Assets!E116/Assets!E$4*Assets!E$2</f>
        <v>#DIV/0!</v>
      </c>
      <c r="F118" t="e">
        <f>Assets!F116/Assets!F$4*Assets!F$2</f>
        <v>#DIV/0!</v>
      </c>
      <c r="G118" t="e">
        <f t="shared" si="4"/>
        <v>#DIV/0!</v>
      </c>
      <c r="H118" s="1">
        <f t="shared" si="5"/>
        <v>0</v>
      </c>
    </row>
    <row r="119" spans="1:8" x14ac:dyDescent="0.25">
      <c r="A119" s="1">
        <f>Assets!A117</f>
        <v>0</v>
      </c>
      <c r="B119" t="e">
        <f>Assets!B117/Assets!B$4*Assets!B$2</f>
        <v>#DIV/0!</v>
      </c>
      <c r="C119" t="e">
        <f>Assets!C117/Assets!C$4*Assets!C$2</f>
        <v>#DIV/0!</v>
      </c>
      <c r="D119" t="e">
        <f>Assets!D117/Assets!D$4*Assets!D$2</f>
        <v>#DIV/0!</v>
      </c>
      <c r="E119" t="e">
        <f>Assets!E117/Assets!E$4*Assets!E$2</f>
        <v>#DIV/0!</v>
      </c>
      <c r="F119" t="e">
        <f>Assets!F117/Assets!F$4*Assets!F$2</f>
        <v>#DIV/0!</v>
      </c>
      <c r="G119" t="e">
        <f t="shared" si="4"/>
        <v>#DIV/0!</v>
      </c>
      <c r="H119" s="1">
        <f t="shared" si="5"/>
        <v>0</v>
      </c>
    </row>
    <row r="120" spans="1:8" x14ac:dyDescent="0.25">
      <c r="A120" s="1">
        <f>Assets!A118</f>
        <v>0</v>
      </c>
      <c r="B120" t="e">
        <f>Assets!B118/Assets!B$4*Assets!B$2</f>
        <v>#DIV/0!</v>
      </c>
      <c r="C120" t="e">
        <f>Assets!C118/Assets!C$4*Assets!C$2</f>
        <v>#DIV/0!</v>
      </c>
      <c r="D120" t="e">
        <f>Assets!D118/Assets!D$4*Assets!D$2</f>
        <v>#DIV/0!</v>
      </c>
      <c r="E120" t="e">
        <f>Assets!E118/Assets!E$4*Assets!E$2</f>
        <v>#DIV/0!</v>
      </c>
      <c r="F120" t="e">
        <f>Assets!F118/Assets!F$4*Assets!F$2</f>
        <v>#DIV/0!</v>
      </c>
      <c r="G120" t="e">
        <f t="shared" si="4"/>
        <v>#DIV/0!</v>
      </c>
      <c r="H120" s="1">
        <f t="shared" si="5"/>
        <v>0</v>
      </c>
    </row>
    <row r="121" spans="1:8" x14ac:dyDescent="0.25">
      <c r="A121" s="1">
        <f>Assets!A119</f>
        <v>0</v>
      </c>
      <c r="B121" t="e">
        <f>Assets!B119/Assets!B$4*Assets!B$2</f>
        <v>#DIV/0!</v>
      </c>
      <c r="C121" t="e">
        <f>Assets!C119/Assets!C$4*Assets!C$2</f>
        <v>#DIV/0!</v>
      </c>
      <c r="D121" t="e">
        <f>Assets!D119/Assets!D$4*Assets!D$2</f>
        <v>#DIV/0!</v>
      </c>
      <c r="E121" t="e">
        <f>Assets!E119/Assets!E$4*Assets!E$2</f>
        <v>#DIV/0!</v>
      </c>
      <c r="F121" t="e">
        <f>Assets!F119/Assets!F$4*Assets!F$2</f>
        <v>#DIV/0!</v>
      </c>
      <c r="G121" t="e">
        <f t="shared" si="4"/>
        <v>#DIV/0!</v>
      </c>
      <c r="H121" s="1">
        <f t="shared" si="5"/>
        <v>0</v>
      </c>
    </row>
    <row r="122" spans="1:8" x14ac:dyDescent="0.25">
      <c r="A122" s="1">
        <f>Assets!A120</f>
        <v>0</v>
      </c>
      <c r="B122" t="e">
        <f>Assets!B120/Assets!B$4*Assets!B$2</f>
        <v>#DIV/0!</v>
      </c>
      <c r="C122" t="e">
        <f>Assets!C120/Assets!C$4*Assets!C$2</f>
        <v>#DIV/0!</v>
      </c>
      <c r="D122" t="e">
        <f>Assets!D120/Assets!D$4*Assets!D$2</f>
        <v>#DIV/0!</v>
      </c>
      <c r="E122" t="e">
        <f>Assets!E120/Assets!E$4*Assets!E$2</f>
        <v>#DIV/0!</v>
      </c>
      <c r="F122" t="e">
        <f>Assets!F120/Assets!F$4*Assets!F$2</f>
        <v>#DIV/0!</v>
      </c>
      <c r="G122" t="e">
        <f t="shared" si="4"/>
        <v>#DIV/0!</v>
      </c>
      <c r="H122" s="1">
        <f t="shared" si="5"/>
        <v>0</v>
      </c>
    </row>
    <row r="123" spans="1:8" x14ac:dyDescent="0.25">
      <c r="A123" s="1">
        <f>Assets!A121</f>
        <v>0</v>
      </c>
      <c r="B123" t="e">
        <f>Assets!B121/Assets!B$4*Assets!B$2</f>
        <v>#DIV/0!</v>
      </c>
      <c r="C123" t="e">
        <f>Assets!C121/Assets!C$4*Assets!C$2</f>
        <v>#DIV/0!</v>
      </c>
      <c r="D123" t="e">
        <f>Assets!D121/Assets!D$4*Assets!D$2</f>
        <v>#DIV/0!</v>
      </c>
      <c r="E123" t="e">
        <f>Assets!E121/Assets!E$4*Assets!E$2</f>
        <v>#DIV/0!</v>
      </c>
      <c r="F123" t="e">
        <f>Assets!F121/Assets!F$4*Assets!F$2</f>
        <v>#DIV/0!</v>
      </c>
      <c r="G123" t="e">
        <f t="shared" si="4"/>
        <v>#DIV/0!</v>
      </c>
      <c r="H123" s="1">
        <f t="shared" si="5"/>
        <v>0</v>
      </c>
    </row>
    <row r="124" spans="1:8" x14ac:dyDescent="0.25">
      <c r="A124" s="1">
        <f>Assets!A122</f>
        <v>0</v>
      </c>
      <c r="B124" t="e">
        <f>Assets!B122/Assets!B$4*Assets!B$2</f>
        <v>#DIV/0!</v>
      </c>
      <c r="C124" t="e">
        <f>Assets!C122/Assets!C$4*Assets!C$2</f>
        <v>#DIV/0!</v>
      </c>
      <c r="D124" t="e">
        <f>Assets!D122/Assets!D$4*Assets!D$2</f>
        <v>#DIV/0!</v>
      </c>
      <c r="E124" t="e">
        <f>Assets!E122/Assets!E$4*Assets!E$2</f>
        <v>#DIV/0!</v>
      </c>
      <c r="F124" t="e">
        <f>Assets!F122/Assets!F$4*Assets!F$2</f>
        <v>#DIV/0!</v>
      </c>
      <c r="G124" t="e">
        <f t="shared" si="4"/>
        <v>#DIV/0!</v>
      </c>
      <c r="H124" s="1">
        <f t="shared" si="5"/>
        <v>0</v>
      </c>
    </row>
    <row r="125" spans="1:8" x14ac:dyDescent="0.25">
      <c r="A125" s="1">
        <f>Assets!A123</f>
        <v>0</v>
      </c>
      <c r="B125" t="e">
        <f>Assets!B123/Assets!B$4*Assets!B$2</f>
        <v>#DIV/0!</v>
      </c>
      <c r="C125" t="e">
        <f>Assets!C123/Assets!C$4*Assets!C$2</f>
        <v>#DIV/0!</v>
      </c>
      <c r="D125" t="e">
        <f>Assets!D123/Assets!D$4*Assets!D$2</f>
        <v>#DIV/0!</v>
      </c>
      <c r="E125" t="e">
        <f>Assets!E123/Assets!E$4*Assets!E$2</f>
        <v>#DIV/0!</v>
      </c>
      <c r="F125" t="e">
        <f>Assets!F123/Assets!F$4*Assets!F$2</f>
        <v>#DIV/0!</v>
      </c>
      <c r="G125" t="e">
        <f t="shared" si="4"/>
        <v>#DIV/0!</v>
      </c>
      <c r="H125" s="1">
        <f t="shared" si="5"/>
        <v>0</v>
      </c>
    </row>
    <row r="126" spans="1:8" x14ac:dyDescent="0.25">
      <c r="A126" s="1">
        <f>Assets!A124</f>
        <v>0</v>
      </c>
      <c r="B126" t="e">
        <f>Assets!B124/Assets!B$4*Assets!B$2</f>
        <v>#DIV/0!</v>
      </c>
      <c r="C126" t="e">
        <f>Assets!C124/Assets!C$4*Assets!C$2</f>
        <v>#DIV/0!</v>
      </c>
      <c r="D126" t="e">
        <f>Assets!D124/Assets!D$4*Assets!D$2</f>
        <v>#DIV/0!</v>
      </c>
      <c r="E126" t="e">
        <f>Assets!E124/Assets!E$4*Assets!E$2</f>
        <v>#DIV/0!</v>
      </c>
      <c r="F126" t="e">
        <f>Assets!F124/Assets!F$4*Assets!F$2</f>
        <v>#DIV/0!</v>
      </c>
      <c r="G126" t="e">
        <f t="shared" si="4"/>
        <v>#DIV/0!</v>
      </c>
      <c r="H126" s="1">
        <f t="shared" si="5"/>
        <v>0</v>
      </c>
    </row>
    <row r="127" spans="1:8" x14ac:dyDescent="0.25">
      <c r="A127" s="1">
        <f>Assets!A125</f>
        <v>0</v>
      </c>
      <c r="B127" t="e">
        <f>Assets!B125/Assets!B$4*Assets!B$2</f>
        <v>#DIV/0!</v>
      </c>
      <c r="C127" t="e">
        <f>Assets!C125/Assets!C$4*Assets!C$2</f>
        <v>#DIV/0!</v>
      </c>
      <c r="D127" t="e">
        <f>Assets!D125/Assets!D$4*Assets!D$2</f>
        <v>#DIV/0!</v>
      </c>
      <c r="E127" t="e">
        <f>Assets!E125/Assets!E$4*Assets!E$2</f>
        <v>#DIV/0!</v>
      </c>
      <c r="F127" t="e">
        <f>Assets!F125/Assets!F$4*Assets!F$2</f>
        <v>#DIV/0!</v>
      </c>
      <c r="G127" t="e">
        <f t="shared" si="4"/>
        <v>#DIV/0!</v>
      </c>
      <c r="H127" s="1">
        <f t="shared" si="5"/>
        <v>0</v>
      </c>
    </row>
    <row r="128" spans="1:8" x14ac:dyDescent="0.25">
      <c r="A128" s="1">
        <f>Assets!A126</f>
        <v>0</v>
      </c>
      <c r="B128" t="e">
        <f>Assets!B126/Assets!B$4*Assets!B$2</f>
        <v>#DIV/0!</v>
      </c>
      <c r="C128" t="e">
        <f>Assets!C126/Assets!C$4*Assets!C$2</f>
        <v>#DIV/0!</v>
      </c>
      <c r="D128" t="e">
        <f>Assets!D126/Assets!D$4*Assets!D$2</f>
        <v>#DIV/0!</v>
      </c>
      <c r="E128" t="e">
        <f>Assets!E126/Assets!E$4*Assets!E$2</f>
        <v>#DIV/0!</v>
      </c>
      <c r="F128" t="e">
        <f>Assets!F126/Assets!F$4*Assets!F$2</f>
        <v>#DIV/0!</v>
      </c>
      <c r="G128" t="e">
        <f t="shared" si="4"/>
        <v>#DIV/0!</v>
      </c>
      <c r="H128" s="1">
        <f t="shared" si="5"/>
        <v>0</v>
      </c>
    </row>
    <row r="129" spans="1:8" x14ac:dyDescent="0.25">
      <c r="A129" s="1">
        <f>Assets!A127</f>
        <v>0</v>
      </c>
      <c r="B129" t="e">
        <f>Assets!B127/Assets!B$4*Assets!B$2</f>
        <v>#DIV/0!</v>
      </c>
      <c r="C129" t="e">
        <f>Assets!C127/Assets!C$4*Assets!C$2</f>
        <v>#DIV/0!</v>
      </c>
      <c r="D129" t="e">
        <f>Assets!D127/Assets!D$4*Assets!D$2</f>
        <v>#DIV/0!</v>
      </c>
      <c r="E129" t="e">
        <f>Assets!E127/Assets!E$4*Assets!E$2</f>
        <v>#DIV/0!</v>
      </c>
      <c r="F129" t="e">
        <f>Assets!F127/Assets!F$4*Assets!F$2</f>
        <v>#DIV/0!</v>
      </c>
      <c r="G129" t="e">
        <f t="shared" si="4"/>
        <v>#DIV/0!</v>
      </c>
      <c r="H129" s="1">
        <f t="shared" si="5"/>
        <v>0</v>
      </c>
    </row>
    <row r="130" spans="1:8" x14ac:dyDescent="0.25">
      <c r="A130" s="1">
        <f>Assets!A128</f>
        <v>0</v>
      </c>
      <c r="B130" t="e">
        <f>Assets!B128/Assets!B$4*Assets!B$2</f>
        <v>#DIV/0!</v>
      </c>
      <c r="C130" t="e">
        <f>Assets!C128/Assets!C$4*Assets!C$2</f>
        <v>#DIV/0!</v>
      </c>
      <c r="D130" t="e">
        <f>Assets!D128/Assets!D$4*Assets!D$2</f>
        <v>#DIV/0!</v>
      </c>
      <c r="E130" t="e">
        <f>Assets!E128/Assets!E$4*Assets!E$2</f>
        <v>#DIV/0!</v>
      </c>
      <c r="F130" t="e">
        <f>Assets!F128/Assets!F$4*Assets!F$2</f>
        <v>#DIV/0!</v>
      </c>
      <c r="G130" t="e">
        <f t="shared" si="4"/>
        <v>#DIV/0!</v>
      </c>
      <c r="H130" s="1">
        <f t="shared" si="5"/>
        <v>0</v>
      </c>
    </row>
    <row r="131" spans="1:8" x14ac:dyDescent="0.25">
      <c r="A131" s="1">
        <f>Assets!A129</f>
        <v>0</v>
      </c>
      <c r="B131" t="e">
        <f>Assets!B129/Assets!B$4*Assets!B$2</f>
        <v>#DIV/0!</v>
      </c>
      <c r="C131" t="e">
        <f>Assets!C129/Assets!C$4*Assets!C$2</f>
        <v>#DIV/0!</v>
      </c>
      <c r="D131" t="e">
        <f>Assets!D129/Assets!D$4*Assets!D$2</f>
        <v>#DIV/0!</v>
      </c>
      <c r="E131" t="e">
        <f>Assets!E129/Assets!E$4*Assets!E$2</f>
        <v>#DIV/0!</v>
      </c>
      <c r="F131" t="e">
        <f>Assets!F129/Assets!F$4*Assets!F$2</f>
        <v>#DIV/0!</v>
      </c>
      <c r="G131" t="e">
        <f t="shared" si="4"/>
        <v>#DIV/0!</v>
      </c>
      <c r="H131" s="1">
        <f t="shared" si="5"/>
        <v>0</v>
      </c>
    </row>
  </sheetData>
  <phoneticPr fontId="2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876AF78F4594D9C6F8B8EF32D2354" ma:contentTypeVersion="13" ma:contentTypeDescription="Een nieuw document maken." ma:contentTypeScope="" ma:versionID="343e99205f616833945fe50b9934878c">
  <xsd:schema xmlns:xsd="http://www.w3.org/2001/XMLSchema" xmlns:xs="http://www.w3.org/2001/XMLSchema" xmlns:p="http://schemas.microsoft.com/office/2006/metadata/properties" xmlns:ns3="09f10444-fcb4-40c4-97e2-6c56ab27871a" xmlns:ns4="5a1878bb-d9b9-40a4-90ed-5688d9393cf2" targetNamespace="http://schemas.microsoft.com/office/2006/metadata/properties" ma:root="true" ma:fieldsID="3567eb737b08883fb7779058b8d601d8" ns3:_="" ns4:_="">
    <xsd:import namespace="09f10444-fcb4-40c4-97e2-6c56ab27871a"/>
    <xsd:import namespace="5a1878bb-d9b9-40a4-90ed-5688d9393c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f10444-fcb4-40c4-97e2-6c56ab2787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878bb-d9b9-40a4-90ed-5688d9393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D27DD9-8E42-4561-A2A3-98EA2E790CD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041B615-3184-4532-BA6B-901FEB89D13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F1D04C-6A64-4881-AC2C-60E23118C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10444-fcb4-40c4-97e2-6c56ab27871a"/>
    <ds:schemaRef ds:uri="5a1878bb-d9b9-40a4-90ed-5688d9393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Description</vt:lpstr>
      <vt:lpstr>Portfolio</vt:lpstr>
      <vt:lpstr>JSON Parser</vt:lpstr>
      <vt:lpstr>All Stock</vt:lpstr>
      <vt:lpstr>Assets</vt:lpstr>
      <vt:lpstr>Analysed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cp:lastPrinted>2020-09-10T10:28:19Z</cp:lastPrinted>
  <dcterms:created xsi:type="dcterms:W3CDTF">2020-08-20T06:28:39Z</dcterms:created>
  <dcterms:modified xsi:type="dcterms:W3CDTF">2020-09-10T12:22:02Z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0x010100CED876AF78F4594D9C6F8B8EF32D2354</vt:lpwstr>
  </property>
  <property fmtid="{D5CDD505-2E9C-101B-9397-08002B2CF9AE}" pid="3" name="WorkbookGuid">
    <vt:lpwstr>f728b79e-997c-40f0-b60b-8f69b7335c60</vt:lpwstr>
  </property>
</Properties>
</file>