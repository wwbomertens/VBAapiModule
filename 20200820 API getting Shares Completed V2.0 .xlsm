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outer Mertens\Desktop\JavaAngular\VBA Module\VBAapiModule\"/>
    </mc:Choice>
  </mc:AlternateContent>
  <xr:revisionPtr revIDLastSave="0" documentId="13_ncr:1_{35EF3D3A-6406-4CCD-BEDA-A70D81744448}" xr6:coauthVersionLast="45" xr6:coauthVersionMax="45" xr10:uidLastSave="{00000000-0000-0000-0000-000000000000}"/>
  <bookViews>
    <workbookView xWindow="-120" yWindow="-120" windowWidth="29040" windowHeight="15840" activeTab="1" xr2:uid="{01A8A170-273B-47D3-9BD9-5EB95179BEB3}"/>
  </bookViews>
  <sheets>
    <sheet name="Description" sheetId="5" r:id="rId1"/>
    <sheet name="Portfolio" sheetId="6" r:id="rId2"/>
    <sheet name="JSON Parser" sheetId="1" r:id="rId3"/>
    <sheet name="All Stock" sheetId="4" r:id="rId4"/>
    <sheet name="Assets" sheetId="3" r:id="rId5"/>
    <sheet name="Analysed stock" sheetId="2" r:id="rId6"/>
  </sheets>
  <functionGroups builtInGroupCount="19"/>
  <definedNames>
    <definedName name="_xlnm._FilterDatabase" localSheetId="3" hidden="1">'All Stock'!$A$1:$F$9041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36" i="6" l="1"/>
  <c r="P35" i="6"/>
  <c r="P34" i="6"/>
  <c r="P33" i="6"/>
  <c r="P32" i="6"/>
  <c r="J20" i="6"/>
  <c r="J19" i="6"/>
  <c r="J18" i="6"/>
  <c r="J17" i="6"/>
  <c r="J16" i="6"/>
  <c r="N15" i="6"/>
  <c r="L18" i="6" s="1"/>
  <c r="K16" i="6" a="1"/>
  <c r="K16" i="6" s="1"/>
  <c r="K41" i="6"/>
  <c r="J41" i="6"/>
  <c r="H41" i="6"/>
  <c r="K40" i="6"/>
  <c r="K39" i="6"/>
  <c r="J40" i="6"/>
  <c r="J39" i="6"/>
  <c r="H40" i="6"/>
  <c r="H39" i="6"/>
  <c r="K38" i="6"/>
  <c r="K37" i="6"/>
  <c r="K36" i="6"/>
  <c r="J38" i="6"/>
  <c r="J37" i="6"/>
  <c r="J36" i="6"/>
  <c r="H35" i="6"/>
  <c r="H34" i="6"/>
  <c r="H33" i="6"/>
  <c r="H36" i="6"/>
  <c r="H37" i="6" s="1"/>
  <c r="H38" i="6" s="1"/>
  <c r="K35" i="6"/>
  <c r="K34" i="6"/>
  <c r="K33" i="6"/>
  <c r="K32" i="6"/>
  <c r="J35" i="6"/>
  <c r="J34" i="6"/>
  <c r="J33" i="6"/>
  <c r="J32" i="6"/>
  <c r="H32" i="6"/>
  <c r="A131" i="2"/>
  <c r="H131" i="2" s="1"/>
  <c r="A130" i="2"/>
  <c r="H130" i="2" s="1"/>
  <c r="A129" i="2"/>
  <c r="H129" i="2" s="1"/>
  <c r="A128" i="2"/>
  <c r="H128" i="2" s="1"/>
  <c r="A127" i="2"/>
  <c r="H127" i="2" s="1"/>
  <c r="A126" i="2"/>
  <c r="H126" i="2" s="1"/>
  <c r="A125" i="2"/>
  <c r="H125" i="2" s="1"/>
  <c r="A124" i="2"/>
  <c r="H124" i="2" s="1"/>
  <c r="A123" i="2"/>
  <c r="H123" i="2" s="1"/>
  <c r="A122" i="2"/>
  <c r="H122" i="2" s="1"/>
  <c r="A121" i="2"/>
  <c r="H121" i="2" s="1"/>
  <c r="A120" i="2"/>
  <c r="H120" i="2" s="1"/>
  <c r="A119" i="2"/>
  <c r="H119" i="2" s="1"/>
  <c r="A118" i="2"/>
  <c r="H118" i="2" s="1"/>
  <c r="A117" i="2"/>
  <c r="H117" i="2" s="1"/>
  <c r="A116" i="2"/>
  <c r="H116" i="2" s="1"/>
  <c r="A115" i="2"/>
  <c r="H115" i="2" s="1"/>
  <c r="A114" i="2"/>
  <c r="H114" i="2" s="1"/>
  <c r="A113" i="2"/>
  <c r="H113" i="2" s="1"/>
  <c r="A112" i="2"/>
  <c r="H112" i="2" s="1"/>
  <c r="A111" i="2"/>
  <c r="H111" i="2" s="1"/>
  <c r="A110" i="2"/>
  <c r="H110" i="2" s="1"/>
  <c r="A109" i="2"/>
  <c r="H109" i="2" s="1"/>
  <c r="A108" i="2"/>
  <c r="H108" i="2" s="1"/>
  <c r="A107" i="2"/>
  <c r="H107" i="2" s="1"/>
  <c r="A106" i="2"/>
  <c r="H106" i="2" s="1"/>
  <c r="A105" i="2"/>
  <c r="H105" i="2" s="1"/>
  <c r="A104" i="2"/>
  <c r="H104" i="2" s="1"/>
  <c r="A103" i="2"/>
  <c r="H103" i="2" s="1"/>
  <c r="A102" i="2"/>
  <c r="H102" i="2" s="1"/>
  <c r="A101" i="2"/>
  <c r="H101" i="2" s="1"/>
  <c r="A100" i="2"/>
  <c r="H100" i="2" s="1"/>
  <c r="A99" i="2"/>
  <c r="H99" i="2" s="1"/>
  <c r="A98" i="2"/>
  <c r="H98" i="2" s="1"/>
  <c r="A97" i="2"/>
  <c r="H97" i="2" s="1"/>
  <c r="A96" i="2"/>
  <c r="H96" i="2" s="1"/>
  <c r="A95" i="2"/>
  <c r="H95" i="2" s="1"/>
  <c r="A94" i="2"/>
  <c r="H94" i="2" s="1"/>
  <c r="A93" i="2"/>
  <c r="H93" i="2" s="1"/>
  <c r="A92" i="2"/>
  <c r="H92" i="2" s="1"/>
  <c r="A91" i="2"/>
  <c r="H91" i="2" s="1"/>
  <c r="A90" i="2"/>
  <c r="H90" i="2" s="1"/>
  <c r="A89" i="2"/>
  <c r="H89" i="2" s="1"/>
  <c r="A88" i="2"/>
  <c r="H88" i="2" s="1"/>
  <c r="A87" i="2"/>
  <c r="H87" i="2" s="1"/>
  <c r="A86" i="2"/>
  <c r="H86" i="2" s="1"/>
  <c r="A85" i="2"/>
  <c r="H85" i="2" s="1"/>
  <c r="A84" i="2"/>
  <c r="H84" i="2" s="1"/>
  <c r="A83" i="2"/>
  <c r="H83" i="2" s="1"/>
  <c r="A82" i="2"/>
  <c r="H82" i="2" s="1"/>
  <c r="A81" i="2"/>
  <c r="H81" i="2" s="1"/>
  <c r="A80" i="2"/>
  <c r="H80" i="2" s="1"/>
  <c r="A79" i="2"/>
  <c r="H79" i="2" s="1"/>
  <c r="A78" i="2"/>
  <c r="H78" i="2" s="1"/>
  <c r="A77" i="2"/>
  <c r="H77" i="2" s="1"/>
  <c r="A76" i="2"/>
  <c r="H76" i="2" s="1"/>
  <c r="A75" i="2"/>
  <c r="H75" i="2" s="1"/>
  <c r="A74" i="2"/>
  <c r="H74" i="2" s="1"/>
  <c r="A73" i="2"/>
  <c r="H73" i="2" s="1"/>
  <c r="A72" i="2"/>
  <c r="H72" i="2" s="1"/>
  <c r="A71" i="2"/>
  <c r="H71" i="2" s="1"/>
  <c r="A70" i="2"/>
  <c r="H70" i="2" s="1"/>
  <c r="A69" i="2"/>
  <c r="H69" i="2" s="1"/>
  <c r="A68" i="2"/>
  <c r="H68" i="2" s="1"/>
  <c r="A67" i="2"/>
  <c r="H67" i="2" s="1"/>
  <c r="A66" i="2"/>
  <c r="H66" i="2" s="1"/>
  <c r="A65" i="2"/>
  <c r="H65" i="2" s="1"/>
  <c r="A64" i="2"/>
  <c r="H64" i="2" s="1"/>
  <c r="A63" i="2"/>
  <c r="H63" i="2" s="1"/>
  <c r="A62" i="2"/>
  <c r="H62" i="2" s="1"/>
  <c r="A61" i="2"/>
  <c r="H61" i="2" s="1"/>
  <c r="A60" i="2"/>
  <c r="H60" i="2" s="1"/>
  <c r="A59" i="2"/>
  <c r="H59" i="2" s="1"/>
  <c r="A58" i="2"/>
  <c r="H58" i="2" s="1"/>
  <c r="A57" i="2"/>
  <c r="H57" i="2" s="1"/>
  <c r="A56" i="2"/>
  <c r="H56" i="2" s="1"/>
  <c r="A55" i="2"/>
  <c r="H55" i="2" s="1"/>
  <c r="A54" i="2"/>
  <c r="H54" i="2" s="1"/>
  <c r="A53" i="2"/>
  <c r="H53" i="2" s="1"/>
  <c r="A52" i="2"/>
  <c r="H52" i="2" s="1"/>
  <c r="A51" i="2"/>
  <c r="H51" i="2" s="1"/>
  <c r="A50" i="2"/>
  <c r="H50" i="2" s="1"/>
  <c r="A49" i="2"/>
  <c r="H49" i="2" s="1"/>
  <c r="A48" i="2"/>
  <c r="H48" i="2" s="1"/>
  <c r="A47" i="2"/>
  <c r="H47" i="2" s="1"/>
  <c r="A46" i="2"/>
  <c r="H46" i="2" s="1"/>
  <c r="A45" i="2"/>
  <c r="H45" i="2" s="1"/>
  <c r="A44" i="2"/>
  <c r="H44" i="2" s="1"/>
  <c r="A43" i="2"/>
  <c r="H43" i="2" s="1"/>
  <c r="A42" i="2"/>
  <c r="H42" i="2" s="1"/>
  <c r="A41" i="2"/>
  <c r="H41" i="2" s="1"/>
  <c r="A40" i="2"/>
  <c r="H40" i="2" s="1"/>
  <c r="A39" i="2"/>
  <c r="H39" i="2" s="1"/>
  <c r="A38" i="2"/>
  <c r="H38" i="2" s="1"/>
  <c r="A37" i="2"/>
  <c r="H37" i="2" s="1"/>
  <c r="A36" i="2"/>
  <c r="H36" i="2" s="1"/>
  <c r="A35" i="2"/>
  <c r="H35" i="2" s="1"/>
  <c r="A34" i="2"/>
  <c r="H34" i="2" s="1"/>
  <c r="A33" i="2"/>
  <c r="H33" i="2" s="1"/>
  <c r="A32" i="2"/>
  <c r="H32" i="2" s="1"/>
  <c r="A31" i="2"/>
  <c r="H31" i="2" s="1"/>
  <c r="A30" i="2"/>
  <c r="H30" i="2" s="1"/>
  <c r="A29" i="2"/>
  <c r="H29" i="2" s="1"/>
  <c r="A28" i="2"/>
  <c r="H28" i="2" s="1"/>
  <c r="A27" i="2"/>
  <c r="H27" i="2" s="1"/>
  <c r="A26" i="2"/>
  <c r="H26" i="2" s="1"/>
  <c r="A25" i="2"/>
  <c r="H25" i="2" s="1"/>
  <c r="A24" i="2"/>
  <c r="H24" i="2" s="1"/>
  <c r="A23" i="2"/>
  <c r="H23" i="2" s="1"/>
  <c r="A22" i="2"/>
  <c r="H22" i="2" s="1"/>
  <c r="A21" i="2"/>
  <c r="H21" i="2" s="1"/>
  <c r="A20" i="2"/>
  <c r="H20" i="2" s="1"/>
  <c r="A19" i="2"/>
  <c r="H19" i="2" s="1"/>
  <c r="A18" i="2"/>
  <c r="H18" i="2" s="1"/>
  <c r="A17" i="2"/>
  <c r="H17" i="2" s="1"/>
  <c r="A16" i="2"/>
  <c r="H16" i="2" s="1"/>
  <c r="A15" i="2"/>
  <c r="H15" i="2" s="1"/>
  <c r="A14" i="2"/>
  <c r="H14" i="2" s="1"/>
  <c r="A13" i="2"/>
  <c r="H13" i="2" s="1"/>
  <c r="A12" i="2"/>
  <c r="H12" i="2" s="1"/>
  <c r="A11" i="2"/>
  <c r="H11" i="2" s="1"/>
  <c r="A10" i="2"/>
  <c r="H10" i="2" s="1"/>
  <c r="A9" i="2"/>
  <c r="H9" i="2" s="1"/>
  <c r="A8" i="2"/>
  <c r="H8" i="2" s="1"/>
  <c r="A7" i="2"/>
  <c r="H7" i="2" s="1"/>
  <c r="A6" i="2"/>
  <c r="H6" i="2" s="1"/>
  <c r="B2" i="3" a="1"/>
  <c r="B2" i="3" s="1"/>
  <c r="B1" i="3" a="1"/>
  <c r="D1" i="3" s="1"/>
  <c r="D5" i="2" s="1"/>
  <c r="M36" i="6"/>
  <c r="M35" i="6"/>
  <c r="M34" i="6"/>
  <c r="M33" i="6"/>
  <c r="M32" i="6"/>
  <c r="K19" i="6" l="1"/>
  <c r="L16" i="6"/>
  <c r="L20" i="6"/>
  <c r="K18" i="6"/>
  <c r="L17" i="6"/>
  <c r="L19" i="6"/>
  <c r="K17" i="6"/>
  <c r="K20" i="6"/>
  <c r="B131" i="2"/>
  <c r="B127" i="2"/>
  <c r="B123" i="2"/>
  <c r="B119" i="2"/>
  <c r="B115" i="2"/>
  <c r="B111" i="2"/>
  <c r="B107" i="2"/>
  <c r="B103" i="2"/>
  <c r="B99" i="2"/>
  <c r="B129" i="2"/>
  <c r="B125" i="2"/>
  <c r="B121" i="2"/>
  <c r="B117" i="2"/>
  <c r="B113" i="2"/>
  <c r="B109" i="2"/>
  <c r="B105" i="2"/>
  <c r="B101" i="2"/>
  <c r="B97" i="2"/>
  <c r="B93" i="2"/>
  <c r="B89" i="2"/>
  <c r="B85" i="2"/>
  <c r="B81" i="2"/>
  <c r="B77" i="2"/>
  <c r="B130" i="2"/>
  <c r="B128" i="2"/>
  <c r="B126" i="2"/>
  <c r="B124" i="2"/>
  <c r="B122" i="2"/>
  <c r="B120" i="2"/>
  <c r="B118" i="2"/>
  <c r="B116" i="2"/>
  <c r="B114" i="2"/>
  <c r="B112" i="2"/>
  <c r="B110" i="2"/>
  <c r="B108" i="2"/>
  <c r="B106" i="2"/>
  <c r="B104" i="2"/>
  <c r="B102" i="2"/>
  <c r="B100" i="2"/>
  <c r="B96" i="2"/>
  <c r="B91" i="2"/>
  <c r="B88" i="2"/>
  <c r="B83" i="2"/>
  <c r="B80" i="2"/>
  <c r="B75" i="2"/>
  <c r="B71" i="2"/>
  <c r="B98" i="2"/>
  <c r="B90" i="2"/>
  <c r="B82" i="2"/>
  <c r="B72" i="2"/>
  <c r="B68" i="2"/>
  <c r="B95" i="2"/>
  <c r="B92" i="2"/>
  <c r="B87" i="2"/>
  <c r="B84" i="2"/>
  <c r="B79" i="2"/>
  <c r="B76" i="2"/>
  <c r="B73" i="2"/>
  <c r="B69" i="2"/>
  <c r="B65" i="2"/>
  <c r="B61" i="2"/>
  <c r="B70" i="2"/>
  <c r="B67" i="2"/>
  <c r="B66" i="2"/>
  <c r="B59" i="2"/>
  <c r="B55" i="2"/>
  <c r="B51" i="2"/>
  <c r="B47" i="2"/>
  <c r="B43" i="2"/>
  <c r="B39" i="2"/>
  <c r="B35" i="2"/>
  <c r="B31" i="2"/>
  <c r="B27" i="2"/>
  <c r="B23" i="2"/>
  <c r="B19" i="2"/>
  <c r="B94" i="2"/>
  <c r="B86" i="2"/>
  <c r="B78" i="2"/>
  <c r="B63" i="2"/>
  <c r="B60" i="2"/>
  <c r="B56" i="2"/>
  <c r="B52" i="2"/>
  <c r="B48" i="2"/>
  <c r="B44" i="2"/>
  <c r="B40" i="2"/>
  <c r="B36" i="2"/>
  <c r="B32" i="2"/>
  <c r="B64" i="2"/>
  <c r="B58" i="2"/>
  <c r="B54" i="2"/>
  <c r="B50" i="2"/>
  <c r="B46" i="2"/>
  <c r="B42" i="2"/>
  <c r="B38" i="2"/>
  <c r="B34" i="2"/>
  <c r="B30" i="2"/>
  <c r="B53" i="2"/>
  <c r="B45" i="2"/>
  <c r="B37" i="2"/>
  <c r="B26" i="2"/>
  <c r="B21" i="2"/>
  <c r="B17" i="2"/>
  <c r="B13" i="2"/>
  <c r="B9" i="2"/>
  <c r="B6" i="2"/>
  <c r="B16" i="2"/>
  <c r="B12" i="2"/>
  <c r="B74" i="2"/>
  <c r="B29" i="2"/>
  <c r="B28" i="2"/>
  <c r="B20" i="2"/>
  <c r="B18" i="2"/>
  <c r="B14" i="2"/>
  <c r="B10" i="2"/>
  <c r="B62" i="2"/>
  <c r="B57" i="2"/>
  <c r="B49" i="2"/>
  <c r="B41" i="2"/>
  <c r="B33" i="2"/>
  <c r="B25" i="2"/>
  <c r="B22" i="2"/>
  <c r="B15" i="2"/>
  <c r="B11" i="2"/>
  <c r="B7" i="2"/>
  <c r="B24" i="2"/>
  <c r="B8" i="2"/>
  <c r="F1" i="3"/>
  <c r="F5" i="2" s="1"/>
  <c r="B1" i="3"/>
  <c r="B5" i="2" s="1"/>
  <c r="D2" i="3"/>
  <c r="C2" i="3"/>
  <c r="C1" i="3"/>
  <c r="C5" i="2" s="1"/>
  <c r="E2" i="3"/>
  <c r="E1" i="3"/>
  <c r="E5" i="2" s="1"/>
  <c r="F2" i="3"/>
  <c r="D36" i="6"/>
  <c r="D35" i="6"/>
  <c r="D34" i="6"/>
  <c r="D33" i="6"/>
  <c r="D32" i="6"/>
  <c r="B3" i="2" l="1"/>
  <c r="B2" i="2"/>
  <c r="B1" i="2"/>
  <c r="E130" i="2"/>
  <c r="E126" i="2"/>
  <c r="E122" i="2"/>
  <c r="E118" i="2"/>
  <c r="E114" i="2"/>
  <c r="E110" i="2"/>
  <c r="E106" i="2"/>
  <c r="E102" i="2"/>
  <c r="E131" i="2"/>
  <c r="E1" i="2" s="1"/>
  <c r="E128" i="2"/>
  <c r="E124" i="2"/>
  <c r="E120" i="2"/>
  <c r="E116" i="2"/>
  <c r="E112" i="2"/>
  <c r="E108" i="2"/>
  <c r="E104" i="2"/>
  <c r="E100" i="2"/>
  <c r="E96" i="2"/>
  <c r="E92" i="2"/>
  <c r="E88" i="2"/>
  <c r="E84" i="2"/>
  <c r="E80" i="2"/>
  <c r="E76" i="2"/>
  <c r="E97" i="2"/>
  <c r="E95" i="2"/>
  <c r="E89" i="2"/>
  <c r="E87" i="2"/>
  <c r="E81" i="2"/>
  <c r="E79" i="2"/>
  <c r="E74" i="2"/>
  <c r="E70" i="2"/>
  <c r="E94" i="2"/>
  <c r="E86" i="2"/>
  <c r="E78" i="2"/>
  <c r="E71" i="2"/>
  <c r="E67" i="2"/>
  <c r="E93" i="2"/>
  <c r="E91" i="2"/>
  <c r="E85" i="2"/>
  <c r="E83" i="2"/>
  <c r="E77" i="2"/>
  <c r="E75" i="2"/>
  <c r="E72" i="2"/>
  <c r="E68" i="2"/>
  <c r="E64" i="2"/>
  <c r="E60" i="2"/>
  <c r="E73" i="2"/>
  <c r="E62" i="2"/>
  <c r="E58" i="2"/>
  <c r="E54" i="2"/>
  <c r="E50" i="2"/>
  <c r="E46" i="2"/>
  <c r="E42" i="2"/>
  <c r="E38" i="2"/>
  <c r="E34" i="2"/>
  <c r="E30" i="2"/>
  <c r="E26" i="2"/>
  <c r="E22" i="2"/>
  <c r="E98" i="2"/>
  <c r="E90" i="2"/>
  <c r="E82" i="2"/>
  <c r="E61" i="2"/>
  <c r="E59" i="2"/>
  <c r="E55" i="2"/>
  <c r="E51" i="2"/>
  <c r="E47" i="2"/>
  <c r="E43" i="2"/>
  <c r="E39" i="2"/>
  <c r="E35" i="2"/>
  <c r="E31" i="2"/>
  <c r="E129" i="2"/>
  <c r="E127" i="2"/>
  <c r="E125" i="2"/>
  <c r="E123" i="2"/>
  <c r="E121" i="2"/>
  <c r="E119" i="2"/>
  <c r="E117" i="2"/>
  <c r="E115" i="2"/>
  <c r="E113" i="2"/>
  <c r="E111" i="2"/>
  <c r="E109" i="2"/>
  <c r="E107" i="2"/>
  <c r="E105" i="2"/>
  <c r="E103" i="2"/>
  <c r="E101" i="2"/>
  <c r="E99" i="2"/>
  <c r="E66" i="2"/>
  <c r="E65" i="2"/>
  <c r="E63" i="2"/>
  <c r="E57" i="2"/>
  <c r="E53" i="2"/>
  <c r="E49" i="2"/>
  <c r="E45" i="2"/>
  <c r="E41" i="2"/>
  <c r="E37" i="2"/>
  <c r="E33" i="2"/>
  <c r="E29" i="2"/>
  <c r="E69" i="2"/>
  <c r="E56" i="2"/>
  <c r="E48" i="2"/>
  <c r="E40" i="2"/>
  <c r="E32" i="2"/>
  <c r="E28" i="2"/>
  <c r="E27" i="2"/>
  <c r="E25" i="2"/>
  <c r="E19" i="2"/>
  <c r="E16" i="2"/>
  <c r="E12" i="2"/>
  <c r="E8" i="2"/>
  <c r="E7" i="2"/>
  <c r="E24" i="2"/>
  <c r="E17" i="2"/>
  <c r="E13" i="2"/>
  <c r="E9" i="2"/>
  <c r="E6" i="2"/>
  <c r="E52" i="2"/>
  <c r="E44" i="2"/>
  <c r="E36" i="2"/>
  <c r="E23" i="2"/>
  <c r="E21" i="2"/>
  <c r="E18" i="2"/>
  <c r="E14" i="2"/>
  <c r="E10" i="2"/>
  <c r="E20" i="2"/>
  <c r="E15" i="2"/>
  <c r="E11" i="2"/>
  <c r="F131" i="2"/>
  <c r="F127" i="2"/>
  <c r="F123" i="2"/>
  <c r="F119" i="2"/>
  <c r="F115" i="2"/>
  <c r="F111" i="2"/>
  <c r="F107" i="2"/>
  <c r="F103" i="2"/>
  <c r="F99" i="2"/>
  <c r="F129" i="2"/>
  <c r="F125" i="2"/>
  <c r="F121" i="2"/>
  <c r="F117" i="2"/>
  <c r="F113" i="2"/>
  <c r="F109" i="2"/>
  <c r="F105" i="2"/>
  <c r="F101" i="2"/>
  <c r="F97" i="2"/>
  <c r="F93" i="2"/>
  <c r="F89" i="2"/>
  <c r="F85" i="2"/>
  <c r="F81" i="2"/>
  <c r="F77" i="2"/>
  <c r="F94" i="2"/>
  <c r="F86" i="2"/>
  <c r="F78" i="2"/>
  <c r="F71" i="2"/>
  <c r="F96" i="2"/>
  <c r="F91" i="2"/>
  <c r="F88" i="2"/>
  <c r="F83" i="2"/>
  <c r="F80" i="2"/>
  <c r="F75" i="2"/>
  <c r="F72" i="2"/>
  <c r="F68" i="2"/>
  <c r="F130" i="2"/>
  <c r="F128" i="2"/>
  <c r="F126" i="2"/>
  <c r="F124" i="2"/>
  <c r="F122" i="2"/>
  <c r="F120" i="2"/>
  <c r="F118" i="2"/>
  <c r="F116" i="2"/>
  <c r="F114" i="2"/>
  <c r="F112" i="2"/>
  <c r="F110" i="2"/>
  <c r="F108" i="2"/>
  <c r="F106" i="2"/>
  <c r="F104" i="2"/>
  <c r="F102" i="2"/>
  <c r="F100" i="2"/>
  <c r="F98" i="2"/>
  <c r="F90" i="2"/>
  <c r="F82" i="2"/>
  <c r="F73" i="2"/>
  <c r="F69" i="2"/>
  <c r="F65" i="2"/>
  <c r="F61" i="2"/>
  <c r="F64" i="2"/>
  <c r="F59" i="2"/>
  <c r="F55" i="2"/>
  <c r="F51" i="2"/>
  <c r="F47" i="2"/>
  <c r="F43" i="2"/>
  <c r="F39" i="2"/>
  <c r="F35" i="2"/>
  <c r="F31" i="2"/>
  <c r="F27" i="2"/>
  <c r="F23" i="2"/>
  <c r="F19" i="2"/>
  <c r="F92" i="2"/>
  <c r="F84" i="2"/>
  <c r="F76" i="2"/>
  <c r="F74" i="2"/>
  <c r="F56" i="2"/>
  <c r="F52" i="2"/>
  <c r="F48" i="2"/>
  <c r="F44" i="2"/>
  <c r="F40" i="2"/>
  <c r="F36" i="2"/>
  <c r="F32" i="2"/>
  <c r="F95" i="2"/>
  <c r="F87" i="2"/>
  <c r="F79" i="2"/>
  <c r="F70" i="2"/>
  <c r="F62" i="2"/>
  <c r="F58" i="2"/>
  <c r="F54" i="2"/>
  <c r="F50" i="2"/>
  <c r="F46" i="2"/>
  <c r="F42" i="2"/>
  <c r="F38" i="2"/>
  <c r="F34" i="2"/>
  <c r="F30" i="2"/>
  <c r="F67" i="2"/>
  <c r="F63" i="2"/>
  <c r="F24" i="2"/>
  <c r="F17" i="2"/>
  <c r="F13" i="2"/>
  <c r="F9" i="2"/>
  <c r="F6" i="2"/>
  <c r="F12" i="2"/>
  <c r="F8" i="2"/>
  <c r="F57" i="2"/>
  <c r="F49" i="2"/>
  <c r="F41" i="2"/>
  <c r="F33" i="2"/>
  <c r="F26" i="2"/>
  <c r="F21" i="2"/>
  <c r="F18" i="2"/>
  <c r="F14" i="2"/>
  <c r="F10" i="2"/>
  <c r="F66" i="2"/>
  <c r="F60" i="2"/>
  <c r="F20" i="2"/>
  <c r="F15" i="2"/>
  <c r="F11" i="2"/>
  <c r="F7" i="2"/>
  <c r="F53" i="2"/>
  <c r="F45" i="2"/>
  <c r="F37" i="2"/>
  <c r="F29" i="2"/>
  <c r="F28" i="2"/>
  <c r="F25" i="2"/>
  <c r="F22" i="2"/>
  <c r="F16" i="2"/>
  <c r="C128" i="2"/>
  <c r="G128" i="2" s="1"/>
  <c r="C124" i="2"/>
  <c r="C120" i="2"/>
  <c r="C116" i="2"/>
  <c r="C112" i="2"/>
  <c r="G112" i="2" s="1"/>
  <c r="C108" i="2"/>
  <c r="C104" i="2"/>
  <c r="C100" i="2"/>
  <c r="C130" i="2"/>
  <c r="C126" i="2"/>
  <c r="C122" i="2"/>
  <c r="C118" i="2"/>
  <c r="C114" i="2"/>
  <c r="C110" i="2"/>
  <c r="C106" i="2"/>
  <c r="C102" i="2"/>
  <c r="C98" i="2"/>
  <c r="C94" i="2"/>
  <c r="C90" i="2"/>
  <c r="C86" i="2"/>
  <c r="C82" i="2"/>
  <c r="C78" i="2"/>
  <c r="C131" i="2"/>
  <c r="C129" i="2"/>
  <c r="C127" i="2"/>
  <c r="C125" i="2"/>
  <c r="C123" i="2"/>
  <c r="C121" i="2"/>
  <c r="C119" i="2"/>
  <c r="C117" i="2"/>
  <c r="C115" i="2"/>
  <c r="C113" i="2"/>
  <c r="C111" i="2"/>
  <c r="G111" i="2" s="1"/>
  <c r="C109" i="2"/>
  <c r="C107" i="2"/>
  <c r="C105" i="2"/>
  <c r="C103" i="2"/>
  <c r="G103" i="2" s="1"/>
  <c r="C101" i="2"/>
  <c r="C99" i="2"/>
  <c r="C93" i="2"/>
  <c r="C85" i="2"/>
  <c r="C77" i="2"/>
  <c r="C72" i="2"/>
  <c r="C95" i="2"/>
  <c r="C92" i="2"/>
  <c r="C87" i="2"/>
  <c r="C84" i="2"/>
  <c r="C79" i="2"/>
  <c r="C76" i="2"/>
  <c r="C73" i="2"/>
  <c r="C69" i="2"/>
  <c r="C97" i="2"/>
  <c r="C89" i="2"/>
  <c r="C81" i="2"/>
  <c r="C74" i="2"/>
  <c r="C70" i="2"/>
  <c r="C66" i="2"/>
  <c r="G66" i="2" s="1"/>
  <c r="C62" i="2"/>
  <c r="C63" i="2"/>
  <c r="C60" i="2"/>
  <c r="C56" i="2"/>
  <c r="G56" i="2" s="1"/>
  <c r="C52" i="2"/>
  <c r="C48" i="2"/>
  <c r="C44" i="2"/>
  <c r="C40" i="2"/>
  <c r="G40" i="2" s="1"/>
  <c r="C36" i="2"/>
  <c r="C32" i="2"/>
  <c r="C28" i="2"/>
  <c r="C24" i="2"/>
  <c r="G24" i="2" s="1"/>
  <c r="C20" i="2"/>
  <c r="C96" i="2"/>
  <c r="C88" i="2"/>
  <c r="C80" i="2"/>
  <c r="C71" i="2"/>
  <c r="C65" i="2"/>
  <c r="C57" i="2"/>
  <c r="C53" i="2"/>
  <c r="G53" i="2" s="1"/>
  <c r="C49" i="2"/>
  <c r="C45" i="2"/>
  <c r="C41" i="2"/>
  <c r="C37" i="2"/>
  <c r="G37" i="2" s="1"/>
  <c r="C33" i="2"/>
  <c r="C91" i="2"/>
  <c r="C83" i="2"/>
  <c r="C75" i="2"/>
  <c r="C68" i="2"/>
  <c r="C67" i="2"/>
  <c r="C61" i="2"/>
  <c r="C59" i="2"/>
  <c r="G59" i="2" s="1"/>
  <c r="C55" i="2"/>
  <c r="C51" i="2"/>
  <c r="C47" i="2"/>
  <c r="C43" i="2"/>
  <c r="G43" i="2" s="1"/>
  <c r="C39" i="2"/>
  <c r="C35" i="2"/>
  <c r="C31" i="2"/>
  <c r="C29" i="2"/>
  <c r="C23" i="2"/>
  <c r="C18" i="2"/>
  <c r="C14" i="2"/>
  <c r="C10" i="2"/>
  <c r="G10" i="2" s="1"/>
  <c r="C17" i="2"/>
  <c r="C6" i="2"/>
  <c r="C54" i="2"/>
  <c r="C46" i="2"/>
  <c r="C38" i="2"/>
  <c r="C30" i="2"/>
  <c r="C25" i="2"/>
  <c r="C22" i="2"/>
  <c r="G22" i="2" s="1"/>
  <c r="C15" i="2"/>
  <c r="C11" i="2"/>
  <c r="C7" i="2"/>
  <c r="C64" i="2"/>
  <c r="C27" i="2"/>
  <c r="C19" i="2"/>
  <c r="C16" i="2"/>
  <c r="C12" i="2"/>
  <c r="C8" i="2"/>
  <c r="C58" i="2"/>
  <c r="C50" i="2"/>
  <c r="C42" i="2"/>
  <c r="C34" i="2"/>
  <c r="C26" i="2"/>
  <c r="C21" i="2"/>
  <c r="C13" i="2"/>
  <c r="C9" i="2"/>
  <c r="D129" i="2"/>
  <c r="D125" i="2"/>
  <c r="D121" i="2"/>
  <c r="D117" i="2"/>
  <c r="D113" i="2"/>
  <c r="D109" i="2"/>
  <c r="D105" i="2"/>
  <c r="D101" i="2"/>
  <c r="D131" i="2"/>
  <c r="D127" i="2"/>
  <c r="D123" i="2"/>
  <c r="D119" i="2"/>
  <c r="D115" i="2"/>
  <c r="G115" i="2" s="1"/>
  <c r="D111" i="2"/>
  <c r="D107" i="2"/>
  <c r="D103" i="2"/>
  <c r="D99" i="2"/>
  <c r="G99" i="2" s="1"/>
  <c r="D95" i="2"/>
  <c r="D91" i="2"/>
  <c r="G91" i="2" s="1"/>
  <c r="D87" i="2"/>
  <c r="D83" i="2"/>
  <c r="D79" i="2"/>
  <c r="D75" i="2"/>
  <c r="D98" i="2"/>
  <c r="D92" i="2"/>
  <c r="D90" i="2"/>
  <c r="D84" i="2"/>
  <c r="D82" i="2"/>
  <c r="D76" i="2"/>
  <c r="D73" i="2"/>
  <c r="D97" i="2"/>
  <c r="D89" i="2"/>
  <c r="D81" i="2"/>
  <c r="D74" i="2"/>
  <c r="D70" i="2"/>
  <c r="D66" i="2"/>
  <c r="D96" i="2"/>
  <c r="D94" i="2"/>
  <c r="D88" i="2"/>
  <c r="D86" i="2"/>
  <c r="D80" i="2"/>
  <c r="D78" i="2"/>
  <c r="D71" i="2"/>
  <c r="D67" i="2"/>
  <c r="D63" i="2"/>
  <c r="D65" i="2"/>
  <c r="D57" i="2"/>
  <c r="D53" i="2"/>
  <c r="D49" i="2"/>
  <c r="D45" i="2"/>
  <c r="D41" i="2"/>
  <c r="D37" i="2"/>
  <c r="D33" i="2"/>
  <c r="D29" i="2"/>
  <c r="D25" i="2"/>
  <c r="D21" i="2"/>
  <c r="D130" i="2"/>
  <c r="D128" i="2"/>
  <c r="D126" i="2"/>
  <c r="D124" i="2"/>
  <c r="D122" i="2"/>
  <c r="D120" i="2"/>
  <c r="D118" i="2"/>
  <c r="D116" i="2"/>
  <c r="D114" i="2"/>
  <c r="D112" i="2"/>
  <c r="D110" i="2"/>
  <c r="D108" i="2"/>
  <c r="D106" i="2"/>
  <c r="D104" i="2"/>
  <c r="D102" i="2"/>
  <c r="D100" i="2"/>
  <c r="D64" i="2"/>
  <c r="D62" i="2"/>
  <c r="D58" i="2"/>
  <c r="D54" i="2"/>
  <c r="D50" i="2"/>
  <c r="D46" i="2"/>
  <c r="D42" i="2"/>
  <c r="D38" i="2"/>
  <c r="D34" i="2"/>
  <c r="D30" i="2"/>
  <c r="D93" i="2"/>
  <c r="D85" i="2"/>
  <c r="D77" i="2"/>
  <c r="D69" i="2"/>
  <c r="D60" i="2"/>
  <c r="D56" i="2"/>
  <c r="D52" i="2"/>
  <c r="D48" i="2"/>
  <c r="D44" i="2"/>
  <c r="D40" i="2"/>
  <c r="D36" i="2"/>
  <c r="D32" i="2"/>
  <c r="G32" i="2" s="1"/>
  <c r="D28" i="2"/>
  <c r="D72" i="2"/>
  <c r="D61" i="2"/>
  <c r="D59" i="2"/>
  <c r="D51" i="2"/>
  <c r="D43" i="2"/>
  <c r="D35" i="2"/>
  <c r="D22" i="2"/>
  <c r="D20" i="2"/>
  <c r="D15" i="2"/>
  <c r="D11" i="2"/>
  <c r="D7" i="2"/>
  <c r="D23" i="2"/>
  <c r="D18" i="2"/>
  <c r="D14" i="2"/>
  <c r="D27" i="2"/>
  <c r="D19" i="2"/>
  <c r="D16" i="2"/>
  <c r="D12" i="2"/>
  <c r="D8" i="2"/>
  <c r="D68" i="2"/>
  <c r="D55" i="2"/>
  <c r="D47" i="2"/>
  <c r="D39" i="2"/>
  <c r="D31" i="2"/>
  <c r="D26" i="2"/>
  <c r="D24" i="2"/>
  <c r="D17" i="2"/>
  <c r="D13" i="2"/>
  <c r="D9" i="2"/>
  <c r="D6" i="2"/>
  <c r="D10" i="2"/>
  <c r="G27" i="2"/>
  <c r="B2" i="6"/>
  <c r="G16" i="2" l="1"/>
  <c r="G72" i="2"/>
  <c r="G54" i="2"/>
  <c r="G52" i="2"/>
  <c r="G75" i="2"/>
  <c r="G45" i="2"/>
  <c r="G85" i="2"/>
  <c r="G64" i="2"/>
  <c r="G80" i="2"/>
  <c r="G76" i="2"/>
  <c r="G130" i="2"/>
  <c r="G26" i="2"/>
  <c r="G86" i="2"/>
  <c r="G44" i="2"/>
  <c r="G95" i="2"/>
  <c r="G61" i="2"/>
  <c r="G48" i="2"/>
  <c r="G120" i="2"/>
  <c r="D3" i="2"/>
  <c r="D2" i="2"/>
  <c r="D1" i="2"/>
  <c r="G92" i="2"/>
  <c r="G114" i="2"/>
  <c r="G14" i="2"/>
  <c r="G47" i="2"/>
  <c r="G6" i="2"/>
  <c r="G31" i="2"/>
  <c r="G93" i="2"/>
  <c r="G58" i="2"/>
  <c r="G25" i="2"/>
  <c r="G84" i="2"/>
  <c r="G107" i="2"/>
  <c r="G123" i="2"/>
  <c r="C2" i="2"/>
  <c r="C3" i="2"/>
  <c r="C1" i="2"/>
  <c r="F3" i="2"/>
  <c r="F2" i="2"/>
  <c r="F1" i="2"/>
  <c r="E3" i="2"/>
  <c r="E2" i="2"/>
  <c r="G34" i="2"/>
  <c r="G51" i="2"/>
  <c r="G102" i="2"/>
  <c r="G110" i="2"/>
  <c r="G41" i="2"/>
  <c r="G88" i="2"/>
  <c r="G97" i="2"/>
  <c r="G74" i="2"/>
  <c r="G129" i="2"/>
  <c r="G12" i="2"/>
  <c r="G46" i="2"/>
  <c r="G127" i="2"/>
  <c r="G82" i="2"/>
  <c r="G13" i="2"/>
  <c r="G104" i="2"/>
  <c r="G65" i="2"/>
  <c r="G21" i="2"/>
  <c r="G50" i="2"/>
  <c r="G7" i="2"/>
  <c r="G83" i="2"/>
  <c r="G28" i="2"/>
  <c r="G60" i="2"/>
  <c r="G70" i="2"/>
  <c r="G105" i="2"/>
  <c r="G113" i="2"/>
  <c r="G121" i="2"/>
  <c r="G118" i="2"/>
  <c r="G100" i="2"/>
  <c r="G19" i="2"/>
  <c r="G11" i="2"/>
  <c r="G30" i="2"/>
  <c r="G18" i="2"/>
  <c r="G69" i="2"/>
  <c r="G90" i="2"/>
  <c r="G55" i="2"/>
  <c r="G116" i="2"/>
  <c r="G67" i="2"/>
  <c r="G89" i="2"/>
  <c r="G98" i="2"/>
  <c r="G119" i="2"/>
  <c r="G9" i="2"/>
  <c r="G8" i="2"/>
  <c r="G15" i="2"/>
  <c r="G38" i="2"/>
  <c r="G17" i="2"/>
  <c r="G23" i="2"/>
  <c r="G39" i="2"/>
  <c r="G68" i="2"/>
  <c r="G33" i="2"/>
  <c r="G49" i="2"/>
  <c r="G71" i="2"/>
  <c r="G20" i="2"/>
  <c r="G36" i="2"/>
  <c r="G62" i="2"/>
  <c r="G81" i="2"/>
  <c r="G73" i="2"/>
  <c r="G87" i="2"/>
  <c r="G77" i="2"/>
  <c r="G101" i="2"/>
  <c r="G109" i="2"/>
  <c r="G117" i="2"/>
  <c r="G125" i="2"/>
  <c r="G78" i="2"/>
  <c r="G94" i="2"/>
  <c r="G126" i="2"/>
  <c r="G108" i="2"/>
  <c r="G124" i="2"/>
  <c r="G57" i="2"/>
  <c r="G106" i="2"/>
  <c r="G122" i="2"/>
  <c r="G96" i="2"/>
  <c r="G29" i="2"/>
  <c r="G63" i="2"/>
  <c r="G35" i="2"/>
  <c r="G42" i="2"/>
  <c r="G79" i="2"/>
  <c r="G131" i="2"/>
  <c r="D6" i="6" s="1"/>
  <c r="B10" i="6" s="1"/>
  <c r="L3" i="2" l="1"/>
  <c r="L2" i="2"/>
  <c r="N2" i="2" s="1"/>
  <c r="N10" i="6" s="1"/>
  <c r="M10" i="6"/>
  <c r="O2" i="2"/>
  <c r="P10" i="6" s="1"/>
  <c r="O3" i="2"/>
  <c r="K10" i="6" s="1"/>
  <c r="N3" i="2"/>
  <c r="J10" i="6" s="1"/>
  <c r="M3" i="2"/>
  <c r="J6" i="6" s="1"/>
  <c r="H10" i="6"/>
  <c r="G2" i="2"/>
  <c r="H2" i="2" s="1"/>
  <c r="D10" i="6" s="1"/>
  <c r="G3" i="2"/>
  <c r="H3" i="2" s="1"/>
  <c r="F10" i="6" s="1"/>
  <c r="M2" i="2" l="1"/>
  <c r="N6" i="6" s="1"/>
</calcChain>
</file>

<file path=xl/sharedStrings.xml><?xml version="1.0" encoding="utf-8"?>
<sst xmlns="http://schemas.openxmlformats.org/spreadsheetml/2006/main" count="26158" uniqueCount="16960">
  <si>
    <t>date</t>
  </si>
  <si>
    <t>Voer de json string in</t>
  </si>
  <si>
    <t>Tabel waarden</t>
  </si>
  <si>
    <t>symbol</t>
  </si>
  <si>
    <t>name</t>
  </si>
  <si>
    <t>isEnabled</t>
  </si>
  <si>
    <t>type</t>
  </si>
  <si>
    <t>iexId</t>
  </si>
  <si>
    <t>A</t>
  </si>
  <si>
    <t>AGILENT TECHNOLOGIES INC</t>
  </si>
  <si>
    <t>N/A</t>
  </si>
  <si>
    <t>AA</t>
  </si>
  <si>
    <t>ALCOA CORP</t>
  </si>
  <si>
    <t>AAAU</t>
  </si>
  <si>
    <t>PERTH MINT PHYSICAL GOLD ETF</t>
  </si>
  <si>
    <t>AACG</t>
  </si>
  <si>
    <t>ATA CREATIVITY GLOBAL - ADR</t>
  </si>
  <si>
    <t>AACQ</t>
  </si>
  <si>
    <t>ARTIUS ACQUISITION INC-CL A</t>
  </si>
  <si>
    <t>AACQU</t>
  </si>
  <si>
    <t>ARTIUS ACQUISITION INC</t>
  </si>
  <si>
    <t>AACQW</t>
  </si>
  <si>
    <t>AADR</t>
  </si>
  <si>
    <t>ADVISORSHARES DORSEY WRIGHT</t>
  </si>
  <si>
    <t>AAL</t>
  </si>
  <si>
    <t>AMERICAN AIRLINES GROUP INC</t>
  </si>
  <si>
    <t>AAMC</t>
  </si>
  <si>
    <t>ALTISOURCE ASSET MANAGEMENT</t>
  </si>
  <si>
    <t>AAME</t>
  </si>
  <si>
    <t>ATLANTIC AMERICAN CORP</t>
  </si>
  <si>
    <t>AAN</t>
  </si>
  <si>
    <t>AARON'S INC</t>
  </si>
  <si>
    <t>AAOI</t>
  </si>
  <si>
    <t>APPLIED OPTOELECTRONICS INC</t>
  </si>
  <si>
    <t>AAON</t>
  </si>
  <si>
    <t>AAON INC</t>
  </si>
  <si>
    <t>AAP</t>
  </si>
  <si>
    <t>ADVANCE AUTO PARTS INC</t>
  </si>
  <si>
    <t>AAPL</t>
  </si>
  <si>
    <t>APPLE INC</t>
  </si>
  <si>
    <t>AAT</t>
  </si>
  <si>
    <t>AMERICAN ASSETS TRUST INC</t>
  </si>
  <si>
    <t>AAU</t>
  </si>
  <si>
    <t>ALMADEN MINERALS LTD - B</t>
  </si>
  <si>
    <t>AAWW</t>
  </si>
  <si>
    <t>ATLAS AIR WORLDWIDE HOLDINGS</t>
  </si>
  <si>
    <t>AAXJ</t>
  </si>
  <si>
    <t>ISHARES MSCI ALL COUNTRY ASI</t>
  </si>
  <si>
    <t>AAXN</t>
  </si>
  <si>
    <t>AXON ENTERPRISE INC</t>
  </si>
  <si>
    <t>AB</t>
  </si>
  <si>
    <t>ALLIANCEBERNSTEIN HOLDING LP</t>
  </si>
  <si>
    <t>ABB</t>
  </si>
  <si>
    <t>ABB LTD-SPON ADR</t>
  </si>
  <si>
    <t>ABBV</t>
  </si>
  <si>
    <t>ABBVIE INC</t>
  </si>
  <si>
    <t>ABC</t>
  </si>
  <si>
    <t>AMERISOURCEBERGEN CORP</t>
  </si>
  <si>
    <t>ABCB</t>
  </si>
  <si>
    <t>AMERIS BANCORP</t>
  </si>
  <si>
    <t>ABEO</t>
  </si>
  <si>
    <t>ABEONA THERAPEUTICS INC</t>
  </si>
  <si>
    <t>ABEQ</t>
  </si>
  <si>
    <t>ABSOLUTE CORE STRATEGY ETF</t>
  </si>
  <si>
    <t>ABEV</t>
  </si>
  <si>
    <t>AMBEV SA-ADR</t>
  </si>
  <si>
    <t>ABG</t>
  </si>
  <si>
    <t>ASBURY AUTOMOTIVE GROUP</t>
  </si>
  <si>
    <t>ABIO</t>
  </si>
  <si>
    <t>ARCA BIOPHARMA INC</t>
  </si>
  <si>
    <t>ABM</t>
  </si>
  <si>
    <t>ABM INDUSTRIES INC</t>
  </si>
  <si>
    <t>ABMD</t>
  </si>
  <si>
    <t>ABIOMED INC</t>
  </si>
  <si>
    <t>ABR</t>
  </si>
  <si>
    <t>ARBOR REALTY TRUST INC</t>
  </si>
  <si>
    <t>ABR-A</t>
  </si>
  <si>
    <t>ABR-B</t>
  </si>
  <si>
    <t>ABR-C</t>
  </si>
  <si>
    <t>ABT</t>
  </si>
  <si>
    <t>ABBOTT LABORATORIES</t>
  </si>
  <si>
    <t>ABTX</t>
  </si>
  <si>
    <t>ALLEGIANCE BANCSHARES INC</t>
  </si>
  <si>
    <t>ABUS</t>
  </si>
  <si>
    <t>ARBUTUS BIOPHARMA CORP</t>
  </si>
  <si>
    <t>AC</t>
  </si>
  <si>
    <t>ASSOCIATED CAPITAL GROUP - A</t>
  </si>
  <si>
    <t>ACA</t>
  </si>
  <si>
    <t>ARCOSA INC</t>
  </si>
  <si>
    <t>ACAD</t>
  </si>
  <si>
    <t>ACADIA PHARMACEUTICALS INC</t>
  </si>
  <si>
    <t>ACAM</t>
  </si>
  <si>
    <t>ACAMAR PARTNERS ACQUISITI- A</t>
  </si>
  <si>
    <t>ACAMU</t>
  </si>
  <si>
    <t>ACAMAR PARTNERS ACQUISITION</t>
  </si>
  <si>
    <t>ACAMW</t>
  </si>
  <si>
    <t>ACB</t>
  </si>
  <si>
    <t>AURORA CANNABIS INC</t>
  </si>
  <si>
    <t>ACBI</t>
  </si>
  <si>
    <t>ATLANTIC CAPITAL BANCSHARES</t>
  </si>
  <si>
    <t>ACC</t>
  </si>
  <si>
    <t>AMERICAN CAMPUS COMMUNITIES</t>
  </si>
  <si>
    <t>ACCD</t>
  </si>
  <si>
    <t>ACCOLADE INC</t>
  </si>
  <si>
    <t>ACCO</t>
  </si>
  <si>
    <t>ACCO BRANDS CORP</t>
  </si>
  <si>
    <t>ACEL</t>
  </si>
  <si>
    <t>ACCEL ENTERTAINMENT INC</t>
  </si>
  <si>
    <t>ACER</t>
  </si>
  <si>
    <t>ACER THERAPEUTICS INC</t>
  </si>
  <si>
    <t>ACES</t>
  </si>
  <si>
    <t>ALPS CLEAN ENERGY ETF</t>
  </si>
  <si>
    <t>ACEVU</t>
  </si>
  <si>
    <t>ACE CONVERGENCE ACQUISITION</t>
  </si>
  <si>
    <t>ACGL</t>
  </si>
  <si>
    <t>ARCH CAPITAL GROUP LTD</t>
  </si>
  <si>
    <t>ACGLO</t>
  </si>
  <si>
    <t>ACGLP</t>
  </si>
  <si>
    <t>ACH</t>
  </si>
  <si>
    <t>ALUMINUM CORP OF CHINA-ADR</t>
  </si>
  <si>
    <t>ACHC</t>
  </si>
  <si>
    <t>ACADIA HEALTHCARE CO INC</t>
  </si>
  <si>
    <t>ACHV</t>
  </si>
  <si>
    <t>ACHIEVE LIFE SCIENCES INC</t>
  </si>
  <si>
    <t>ACI</t>
  </si>
  <si>
    <t>ALBERTSONS COS INC - CLASS A</t>
  </si>
  <si>
    <t>ACIA</t>
  </si>
  <si>
    <t>ACACIA COMMUNICATIONS INC</t>
  </si>
  <si>
    <t>ACIO</t>
  </si>
  <si>
    <t>APTUS COLLARED INC OPP ETF</t>
  </si>
  <si>
    <t>ACIU</t>
  </si>
  <si>
    <t>AC IMMUNE SA</t>
  </si>
  <si>
    <t>ACIW</t>
  </si>
  <si>
    <t>ACI WORLDWIDE INC</t>
  </si>
  <si>
    <t>ACLS</t>
  </si>
  <si>
    <t>AXCELIS TECHNOLOGIES INC</t>
  </si>
  <si>
    <t>ACM</t>
  </si>
  <si>
    <t>AECOM</t>
  </si>
  <si>
    <t>ACMR</t>
  </si>
  <si>
    <t>ACM RESEARCH INC-CLASS A</t>
  </si>
  <si>
    <t>ACN</t>
  </si>
  <si>
    <t>ACCENTURE PLC-CL A</t>
  </si>
  <si>
    <t>ACNB</t>
  </si>
  <si>
    <t>ACNB CORP</t>
  </si>
  <si>
    <t>ACND=</t>
  </si>
  <si>
    <t>ASCENDANT DIGITAL ACQUISITIO</t>
  </si>
  <si>
    <t>ACOR</t>
  </si>
  <si>
    <t>ACORDA THERAPEUTICS INC</t>
  </si>
  <si>
    <t>ACP</t>
  </si>
  <si>
    <t>ABERDEEN INCOME CREDIT STRAT</t>
  </si>
  <si>
    <t>ACRE</t>
  </si>
  <si>
    <t>ARES COMMERCIAL REAL ESTATE</t>
  </si>
  <si>
    <t>ACRS</t>
  </si>
  <si>
    <t>ACLARIS THERAPEUTICS INC</t>
  </si>
  <si>
    <t>ACRX</t>
  </si>
  <si>
    <t>ACELRX PHARMACEUTICALS INC</t>
  </si>
  <si>
    <t>ACSG</t>
  </si>
  <si>
    <t>XTRACKERS MSCI ACWI EX USA E</t>
  </si>
  <si>
    <t>ACSI</t>
  </si>
  <si>
    <t>AMERICAN CUSTOMER SATISFACTI</t>
  </si>
  <si>
    <t>ACST</t>
  </si>
  <si>
    <t>ACASTI PHARMA INC</t>
  </si>
  <si>
    <t>ACT</t>
  </si>
  <si>
    <t>ADVISORSHARES VICE ETF</t>
  </si>
  <si>
    <t>ACTG</t>
  </si>
  <si>
    <t>ACACIA RESEARCH CORP</t>
  </si>
  <si>
    <t>ACU</t>
  </si>
  <si>
    <t>ACME UNITED CORP</t>
  </si>
  <si>
    <t>ACV</t>
  </si>
  <si>
    <t>ALLIANZGI DIVERSIFIED INCOME</t>
  </si>
  <si>
    <t>ACWF</t>
  </si>
  <si>
    <t>ISHARES MSCI GLOBAL MULTIFAC</t>
  </si>
  <si>
    <t>ACWI</t>
  </si>
  <si>
    <t>ISHARES MSCI ACWI ETF</t>
  </si>
  <si>
    <t>ACWV</t>
  </si>
  <si>
    <t>ISHARES MSCI GLOBAL MIN VOL</t>
  </si>
  <si>
    <t>ACWX</t>
  </si>
  <si>
    <t>ISHARES MSCI ACWI EX US ETF</t>
  </si>
  <si>
    <t>ACY</t>
  </si>
  <si>
    <t>AEROCENTURY CORP</t>
  </si>
  <si>
    <t>ADAP</t>
  </si>
  <si>
    <t>ADAPTIMMUNE THERAPEUTICS-ADR</t>
  </si>
  <si>
    <t>ADBE</t>
  </si>
  <si>
    <t>ADOBE INC</t>
  </si>
  <si>
    <t>ADC</t>
  </si>
  <si>
    <t>AGREE REALTY CORP</t>
  </si>
  <si>
    <t>ADCT</t>
  </si>
  <si>
    <t>ADC THERAPEUTICS SA</t>
  </si>
  <si>
    <t>ADES</t>
  </si>
  <si>
    <t>ADVANCED EMISSIONS SOLUTIONS</t>
  </si>
  <si>
    <t>ADFI</t>
  </si>
  <si>
    <t>ANFIELD DYNAMIC FIXED INCOME</t>
  </si>
  <si>
    <t>ADI</t>
  </si>
  <si>
    <t>ANALOG DEVICES INC</t>
  </si>
  <si>
    <t>ADIL</t>
  </si>
  <si>
    <t>ADIAL PHARMACEUTICALS INC</t>
  </si>
  <si>
    <t>ADILW</t>
  </si>
  <si>
    <t>ADM</t>
  </si>
  <si>
    <t>ARCHER-DANIELS-MIDLAND CO</t>
  </si>
  <si>
    <t>ADMA</t>
  </si>
  <si>
    <t>ADMA BIOLOGICS INC</t>
  </si>
  <si>
    <t>ADME</t>
  </si>
  <si>
    <t>APTUS DRAWDOWN MANAGED EQUIT</t>
  </si>
  <si>
    <t>ADMP</t>
  </si>
  <si>
    <t>ADAMIS PHARMACEUTICALS CORP</t>
  </si>
  <si>
    <t>ADMS</t>
  </si>
  <si>
    <t>ADAMAS PHARMACEUTICALS INC</t>
  </si>
  <si>
    <t>ADNT</t>
  </si>
  <si>
    <t>ADIENT PLC</t>
  </si>
  <si>
    <t>ADP</t>
  </si>
  <si>
    <t>AUTOMATIC DATA PROCESSING</t>
  </si>
  <si>
    <t>ADPT</t>
  </si>
  <si>
    <t>ADAPTIVE BIOTECHNOLOGIES</t>
  </si>
  <si>
    <t>ADRE</t>
  </si>
  <si>
    <t>INVESCO BLDRS EMERGING MARKE</t>
  </si>
  <si>
    <t>ADRO</t>
  </si>
  <si>
    <t>ADURO BIOTECH INC</t>
  </si>
  <si>
    <t>ADS</t>
  </si>
  <si>
    <t>ALLIANCE DATA SYSTEMS CORP</t>
  </si>
  <si>
    <t>ADSK</t>
  </si>
  <si>
    <t>AUTODESK INC</t>
  </si>
  <si>
    <t>ADSW</t>
  </si>
  <si>
    <t>ADVANCED DISPOSAL SERVICES I</t>
  </si>
  <si>
    <t>ADT</t>
  </si>
  <si>
    <t>ADT INC</t>
  </si>
  <si>
    <t>ADTN</t>
  </si>
  <si>
    <t>ADTRAN INC</t>
  </si>
  <si>
    <t>ADTX</t>
  </si>
  <si>
    <t>ADITX THERAPEUTICS INC</t>
  </si>
  <si>
    <t>ADUS</t>
  </si>
  <si>
    <t>ADDUS HOMECARE CORP</t>
  </si>
  <si>
    <t>ADVM</t>
  </si>
  <si>
    <t>ADVERUM BIOTECHNOLOGIES INC</t>
  </si>
  <si>
    <t>ADX</t>
  </si>
  <si>
    <t>ADAMS DIVERSIFIED EQUITY</t>
  </si>
  <si>
    <t>ADXN</t>
  </si>
  <si>
    <t>ADDEX THERAPEUTICS LTD</t>
  </si>
  <si>
    <t>ADXS</t>
  </si>
  <si>
    <t>ADVAXIS INC</t>
  </si>
  <si>
    <t>AE</t>
  </si>
  <si>
    <t>ADAMS RESOURCES &amp; ENERGY INC</t>
  </si>
  <si>
    <t>AEB</t>
  </si>
  <si>
    <t>AEE</t>
  </si>
  <si>
    <t>AMEREN CORPORATION</t>
  </si>
  <si>
    <t>AEF</t>
  </si>
  <si>
    <t>ABERDEEN EM MRKT EQTY INC</t>
  </si>
  <si>
    <t>AEFC</t>
  </si>
  <si>
    <t>AEG</t>
  </si>
  <si>
    <t>AEGON N.V.-NY REG SHR</t>
  </si>
  <si>
    <t>AEGN</t>
  </si>
  <si>
    <t>AEGION CORP</t>
  </si>
  <si>
    <t>AEHR</t>
  </si>
  <si>
    <t>AEHR TEST SYSTEMS</t>
  </si>
  <si>
    <t>AEIS</t>
  </si>
  <si>
    <t>ADVANCED ENERGY INDUSTRIES</t>
  </si>
  <si>
    <t>AEL</t>
  </si>
  <si>
    <t>AMERICAN EQUITY INVT LIFE HL</t>
  </si>
  <si>
    <t>AEL-A</t>
  </si>
  <si>
    <t>AEL-B</t>
  </si>
  <si>
    <t>AEM</t>
  </si>
  <si>
    <t>AGNICO EAGLE MINES LTD</t>
  </si>
  <si>
    <t>AEMD</t>
  </si>
  <si>
    <t>AETHLON MEDICAL INC</t>
  </si>
  <si>
    <t>AEO</t>
  </si>
  <si>
    <t>AMERICAN EAGLE OUTFITTERS</t>
  </si>
  <si>
    <t>AEP</t>
  </si>
  <si>
    <t>AMERICAN ELECTRIC POWER</t>
  </si>
  <si>
    <t>AEP-B</t>
  </si>
  <si>
    <t>AEP-C</t>
  </si>
  <si>
    <t>AER</t>
  </si>
  <si>
    <t>AERCAP HOLDINGS NV</t>
  </si>
  <si>
    <t>AERI</t>
  </si>
  <si>
    <t>AERIE PHARMACEUTICALS INC</t>
  </si>
  <si>
    <t>AES</t>
  </si>
  <si>
    <t>AES CORP</t>
  </si>
  <si>
    <t>AESE</t>
  </si>
  <si>
    <t>ALLIED ESPORTS ENTERTAINMENT</t>
  </si>
  <si>
    <t>AESR</t>
  </si>
  <si>
    <t>ANFIELD US EQUITY SECTOR ROT</t>
  </si>
  <si>
    <t>AEY</t>
  </si>
  <si>
    <t>ADDVANTAGE TECHNOLOGIES GRP</t>
  </si>
  <si>
    <t>AEYE</t>
  </si>
  <si>
    <t>AUDIOEYE INC</t>
  </si>
  <si>
    <t>AEZS</t>
  </si>
  <si>
    <t>AETERNA ZENTARIS INC</t>
  </si>
  <si>
    <t>AFB</t>
  </si>
  <si>
    <t>ALLIANCE NATIONAL MUNI INC</t>
  </si>
  <si>
    <t>AFC</t>
  </si>
  <si>
    <t>AFG</t>
  </si>
  <si>
    <t>AMERICAN FINANCIAL GROUP INC</t>
  </si>
  <si>
    <t>AFGB</t>
  </si>
  <si>
    <t>AFGC</t>
  </si>
  <si>
    <t>AFGD</t>
  </si>
  <si>
    <t>AFGH</t>
  </si>
  <si>
    <t>AFI</t>
  </si>
  <si>
    <t>ARMSTRONG FLOORING INC</t>
  </si>
  <si>
    <t>AFIB</t>
  </si>
  <si>
    <t>ACUTUS MEDICAL INC</t>
  </si>
  <si>
    <t>AFIF</t>
  </si>
  <si>
    <t>ANFIELD UNIVERSAL FIXED INCO</t>
  </si>
  <si>
    <t>AFIN</t>
  </si>
  <si>
    <t>AMERICAN FINANCE TRUST INC</t>
  </si>
  <si>
    <t>AFINP</t>
  </si>
  <si>
    <t>AFK</t>
  </si>
  <si>
    <t>VANECK AFRICA INDEX</t>
  </si>
  <si>
    <t>AFL</t>
  </si>
  <si>
    <t>AFLAC INC</t>
  </si>
  <si>
    <t>AFLG</t>
  </si>
  <si>
    <t>FIRST TRUST ACTIVE FACTOR LA</t>
  </si>
  <si>
    <t>AFMC</t>
  </si>
  <si>
    <t>FIRST TRUST ACTIVE FACTOR MI</t>
  </si>
  <si>
    <t>AFMD</t>
  </si>
  <si>
    <t>AFFIMED NV</t>
  </si>
  <si>
    <t>AFSM</t>
  </si>
  <si>
    <t>FIRST TRUST ACTIVE FACTOR SM</t>
  </si>
  <si>
    <t>AFT</t>
  </si>
  <si>
    <t>APOLLO SENIOR FLOATING RATE</t>
  </si>
  <si>
    <t>AFTY</t>
  </si>
  <si>
    <t>PACER CSOP FTSE CHINA A50 ET</t>
  </si>
  <si>
    <t>AFYA</t>
  </si>
  <si>
    <t>AFYA LTD-CLASS A</t>
  </si>
  <si>
    <t>AG</t>
  </si>
  <si>
    <t>FIRST MAJESTIC SILVER CORP</t>
  </si>
  <si>
    <t>AGBA</t>
  </si>
  <si>
    <t>AGBA ACQUISITION LTD</t>
  </si>
  <si>
    <t>AGBAR</t>
  </si>
  <si>
    <t>AGBA ACQUISITION LTD-RIGHTS</t>
  </si>
  <si>
    <t>AGBAU</t>
  </si>
  <si>
    <t>AGBAW</t>
  </si>
  <si>
    <t>AGCO</t>
  </si>
  <si>
    <t>AGCO CORP</t>
  </si>
  <si>
    <t>AGD</t>
  </si>
  <si>
    <t>ABERDEEN GLBL DYN DIVID</t>
  </si>
  <si>
    <t>AGE</t>
  </si>
  <si>
    <t>AGEX THERAPEUTICS INC</t>
  </si>
  <si>
    <t>AGEN</t>
  </si>
  <si>
    <t>AGENUS INC</t>
  </si>
  <si>
    <t>AGFS</t>
  </si>
  <si>
    <t>AGROFRESH SOLUTIONS INC</t>
  </si>
  <si>
    <t>AGG</t>
  </si>
  <si>
    <t>ISHARES CORE U.S. AGGREGATE</t>
  </si>
  <si>
    <t>AGGP</t>
  </si>
  <si>
    <t>IQ ENHANCED CORE PLUS BOND U</t>
  </si>
  <si>
    <t>AGGY</t>
  </si>
  <si>
    <t>WISDOMTREE YIELD ENHANCED US</t>
  </si>
  <si>
    <t>AGI</t>
  </si>
  <si>
    <t>ALAMOS GOLD INC-CLASS A</t>
  </si>
  <si>
    <t>AGIO</t>
  </si>
  <si>
    <t>AGIOS PHARMACEUTICALS INC</t>
  </si>
  <si>
    <t>AGLE</t>
  </si>
  <si>
    <t>AEGLEA BIOTHERAPEUTICS INC</t>
  </si>
  <si>
    <t>AGM</t>
  </si>
  <si>
    <t>FEDERAL AGRIC MTG CORP-CL C</t>
  </si>
  <si>
    <t>AGM-A</t>
  </si>
  <si>
    <t>AGM-C</t>
  </si>
  <si>
    <t>AGM-D</t>
  </si>
  <si>
    <t>AGM-E</t>
  </si>
  <si>
    <t>AGM-F</t>
  </si>
  <si>
    <t>AGM.A</t>
  </si>
  <si>
    <t>FEDERAL AGRIC MTG CORP-CL A</t>
  </si>
  <si>
    <t>AGMH</t>
  </si>
  <si>
    <t>AGM GROUP HOLDINGS INC</t>
  </si>
  <si>
    <t>AGNC</t>
  </si>
  <si>
    <t>AGNC INVESTMENT CORP</t>
  </si>
  <si>
    <t>AGNCM</t>
  </si>
  <si>
    <t>AGNCN</t>
  </si>
  <si>
    <t>AGNCO</t>
  </si>
  <si>
    <t>AGNCP</t>
  </si>
  <si>
    <t>AGO</t>
  </si>
  <si>
    <t>ASSURED GUARANTY LTD</t>
  </si>
  <si>
    <t>AGO-B</t>
  </si>
  <si>
    <t>AGO-E</t>
  </si>
  <si>
    <t>AGO-F</t>
  </si>
  <si>
    <t>AGQ</t>
  </si>
  <si>
    <t>PROSHARES ULTRA SILVER</t>
  </si>
  <si>
    <t>AGR</t>
  </si>
  <si>
    <t>AVANGRID INC</t>
  </si>
  <si>
    <t>AGRO</t>
  </si>
  <si>
    <t>ADECOAGRO SA</t>
  </si>
  <si>
    <t>AGRX</t>
  </si>
  <si>
    <t>AGILE THERAPEUTICS INC</t>
  </si>
  <si>
    <t>AGS</t>
  </si>
  <si>
    <t>PLAYAGS INC</t>
  </si>
  <si>
    <t>AGT</t>
  </si>
  <si>
    <t>ISHARES ARGENTINA</t>
  </si>
  <si>
    <t>AGTC</t>
  </si>
  <si>
    <t>APPLIED GENETIC TECHNOLOGIES</t>
  </si>
  <si>
    <t>AGX</t>
  </si>
  <si>
    <t>ARGAN INC</t>
  </si>
  <si>
    <t>AGYS</t>
  </si>
  <si>
    <t>AGILYSYS INC</t>
  </si>
  <si>
    <t>AGZ</t>
  </si>
  <si>
    <t>ISHARES AGENCY BOND ETF</t>
  </si>
  <si>
    <t>AGZD</t>
  </si>
  <si>
    <t>WISDOMTREE TRUST WISDOMTREE</t>
  </si>
  <si>
    <t>AHC</t>
  </si>
  <si>
    <t>A H BELO CORP-A</t>
  </si>
  <si>
    <t>AHCO</t>
  </si>
  <si>
    <t>ADAPTHEALTH CORP</t>
  </si>
  <si>
    <t>AHH</t>
  </si>
  <si>
    <t>ARMADA HOFFLER PROPERTIES IN</t>
  </si>
  <si>
    <t>AHH-A</t>
  </si>
  <si>
    <t>AHL-C</t>
  </si>
  <si>
    <t>AHL-D</t>
  </si>
  <si>
    <t>AHL-E</t>
  </si>
  <si>
    <t>AHPI</t>
  </si>
  <si>
    <t>ALLIED HEALTHCARE PRODUCTS</t>
  </si>
  <si>
    <t>AHT</t>
  </si>
  <si>
    <t>ASHFORD HOSPITALITY TRUST</t>
  </si>
  <si>
    <t>AHT-D</t>
  </si>
  <si>
    <t>AHT-F</t>
  </si>
  <si>
    <t>AHT-G</t>
  </si>
  <si>
    <t>AHT-H</t>
  </si>
  <si>
    <t>AHT-I</t>
  </si>
  <si>
    <t>AI</t>
  </si>
  <si>
    <t>ARLINGTON ASSET INVESTMENT-A</t>
  </si>
  <si>
    <t>AI-B</t>
  </si>
  <si>
    <t>AI-C</t>
  </si>
  <si>
    <t>AIA</t>
  </si>
  <si>
    <t>ISHARES ASIA 50 ETF</t>
  </si>
  <si>
    <t>AIC</t>
  </si>
  <si>
    <t>AIEQ</t>
  </si>
  <si>
    <t>AI POWERED EQUITY ETF</t>
  </si>
  <si>
    <t>AIF</t>
  </si>
  <si>
    <t>APOLLO TACTICAL INCOME FUND</t>
  </si>
  <si>
    <t>AIG</t>
  </si>
  <si>
    <t>AMERICAN INTERNATIONAL GROUP</t>
  </si>
  <si>
    <t>AIG+</t>
  </si>
  <si>
    <t>AIG-A</t>
  </si>
  <si>
    <t>AIH</t>
  </si>
  <si>
    <t>AESTHETIC MEDICAL INTERN-ADR</t>
  </si>
  <si>
    <t>AIHS</t>
  </si>
  <si>
    <t>SENMIAO TECHNOLOGY LTD</t>
  </si>
  <si>
    <t>AIIQ</t>
  </si>
  <si>
    <t>AI POWERED INTERNATIONAL EQU</t>
  </si>
  <si>
    <t>AIKI</t>
  </si>
  <si>
    <t>AIKIDO PHARMA INC</t>
  </si>
  <si>
    <t>AIM</t>
  </si>
  <si>
    <t>AIM IMMUNOTECH INC</t>
  </si>
  <si>
    <t>AIMC</t>
  </si>
  <si>
    <t>ALTRA INDUSTRIAL MOTION CORP</t>
  </si>
  <si>
    <t>AIMT</t>
  </si>
  <si>
    <t>AIMMUNE THERAPEUTICS INC</t>
  </si>
  <si>
    <t>AIN</t>
  </si>
  <si>
    <t>ALBANY INTL CORP-CL A</t>
  </si>
  <si>
    <t>AINC</t>
  </si>
  <si>
    <t>ASHFORD INC</t>
  </si>
  <si>
    <t>AINV</t>
  </si>
  <si>
    <t>APOLLO INVESTMENT CORP</t>
  </si>
  <si>
    <t>AIO</t>
  </si>
  <si>
    <t>ALLIANZGI ARTIFICIAL INTEL</t>
  </si>
  <si>
    <t>AIQ</t>
  </si>
  <si>
    <t>GLOBAL X ART INTEL &amp; TECH</t>
  </si>
  <si>
    <t>AIR</t>
  </si>
  <si>
    <t>AAR CORP</t>
  </si>
  <si>
    <t>AIRG</t>
  </si>
  <si>
    <t>AIRGAIN INC</t>
  </si>
  <si>
    <t>AIRI</t>
  </si>
  <si>
    <t>AIR INDUSTRIES GROUP</t>
  </si>
  <si>
    <t>AIRR</t>
  </si>
  <si>
    <t>FIRST TRUST RBA AMERICAN IND</t>
  </si>
  <si>
    <t>AIRT</t>
  </si>
  <si>
    <t>AIR T INC</t>
  </si>
  <si>
    <t>AIRTP</t>
  </si>
  <si>
    <t>AIRTW</t>
  </si>
  <si>
    <t>AIT</t>
  </si>
  <si>
    <t>APPLIED INDUSTRIAL TECH INC</t>
  </si>
  <si>
    <t>AIV</t>
  </si>
  <si>
    <t>APARTMENT INVT &amp; MGMT CO -A</t>
  </si>
  <si>
    <t>AIW</t>
  </si>
  <si>
    <t>AIZ</t>
  </si>
  <si>
    <t>ASSURANT INC</t>
  </si>
  <si>
    <t>AIZP</t>
  </si>
  <si>
    <t>AJG</t>
  </si>
  <si>
    <t>ARTHUR J GALLAGHER &amp; CO</t>
  </si>
  <si>
    <t>AJRD</t>
  </si>
  <si>
    <t>AEROJET ROCKETDYNE HOLDINGS</t>
  </si>
  <si>
    <t>AJX</t>
  </si>
  <si>
    <t>GREAT AJAX CORP</t>
  </si>
  <si>
    <t>AJXA</t>
  </si>
  <si>
    <t>AKAM</t>
  </si>
  <si>
    <t>AKAMAI TECHNOLOGIES INC</t>
  </si>
  <si>
    <t>AKBA</t>
  </si>
  <si>
    <t>AKEBIA THERAPEUTICS INC</t>
  </si>
  <si>
    <t>AKCA</t>
  </si>
  <si>
    <t>AKCEA THERAPEUTICS INC</t>
  </si>
  <si>
    <t>AKER</t>
  </si>
  <si>
    <t>AKERS BIOSCIENCES INC</t>
  </si>
  <si>
    <t>AKO.A</t>
  </si>
  <si>
    <t>EMBOTELLADORA ANDINA-ADR A</t>
  </si>
  <si>
    <t>AKO.B</t>
  </si>
  <si>
    <t>EMBOTELLADORA ANDINA-ADR B</t>
  </si>
  <si>
    <t>AKR</t>
  </si>
  <si>
    <t>ACADIA REALTY TRUST</t>
  </si>
  <si>
    <t>AKRO</t>
  </si>
  <si>
    <t>AKERO THERAPEUTICS INC</t>
  </si>
  <si>
    <t>AKTS</t>
  </si>
  <si>
    <t>AKOUSTIS TECHNOLOGIES INC</t>
  </si>
  <si>
    <t>AKTX</t>
  </si>
  <si>
    <t>AKARI THERAPEUTICS PLC-ADR</t>
  </si>
  <si>
    <t>AKU</t>
  </si>
  <si>
    <t>AKUMIN INC</t>
  </si>
  <si>
    <t>AKUS</t>
  </si>
  <si>
    <t>AKOUOS INC</t>
  </si>
  <si>
    <t>AL</t>
  </si>
  <si>
    <t>AIR LEASE CORP</t>
  </si>
  <si>
    <t>AL-A</t>
  </si>
  <si>
    <t>ALAC</t>
  </si>
  <si>
    <t>ALBERTON ACQUISITION CORP</t>
  </si>
  <si>
    <t>ALACR</t>
  </si>
  <si>
    <t>ALBERTON ACQUISITION CO-RTS</t>
  </si>
  <si>
    <t>ALACU</t>
  </si>
  <si>
    <t>ALACW</t>
  </si>
  <si>
    <t>ALB</t>
  </si>
  <si>
    <t>ALBEMARLE CORP</t>
  </si>
  <si>
    <t>ALBO</t>
  </si>
  <si>
    <t>ALBIREO PHARMA INC</t>
  </si>
  <si>
    <t>ALC</t>
  </si>
  <si>
    <t>ALCON INC</t>
  </si>
  <si>
    <t>ALCO</t>
  </si>
  <si>
    <t>ALICO INC</t>
  </si>
  <si>
    <t>ALDX</t>
  </si>
  <si>
    <t>ALDEYRA THERAPEUTICS INC</t>
  </si>
  <si>
    <t>ALE</t>
  </si>
  <si>
    <t>ALLETE INC</t>
  </si>
  <si>
    <t>ALEC</t>
  </si>
  <si>
    <t>ALECTOR INC</t>
  </si>
  <si>
    <t>ALEX</t>
  </si>
  <si>
    <t>ALEXANDER &amp; BALDWIN INC</t>
  </si>
  <si>
    <t>ALFA</t>
  </si>
  <si>
    <t>ALPHACLONE ALTERNATIVE ALPHA</t>
  </si>
  <si>
    <t>ALG</t>
  </si>
  <si>
    <t>ALAMO GROUP INC</t>
  </si>
  <si>
    <t>ALGN</t>
  </si>
  <si>
    <t>ALIGN TECHNOLOGY INC</t>
  </si>
  <si>
    <t>ALGT</t>
  </si>
  <si>
    <t>ALLEGIANT TRAVEL CO</t>
  </si>
  <si>
    <t>ALIM</t>
  </si>
  <si>
    <t>ALIMERA SCIENCES INC</t>
  </si>
  <si>
    <t>ALIN-A</t>
  </si>
  <si>
    <t>ALIN-B</t>
  </si>
  <si>
    <t>ALIN-E</t>
  </si>
  <si>
    <t>ALJJ</t>
  </si>
  <si>
    <t>ALJ REGIONAL HOLDINGS INC</t>
  </si>
  <si>
    <t>ALK</t>
  </si>
  <si>
    <t>ALASKA AIR GROUP INC</t>
  </si>
  <si>
    <t>ALKS</t>
  </si>
  <si>
    <t>AAA</t>
  </si>
  <si>
    <t>ALKERMES PLC</t>
  </si>
  <si>
    <t>ALL</t>
  </si>
  <si>
    <t>ALLSTATE CORP</t>
  </si>
  <si>
    <t>ALL-B</t>
  </si>
  <si>
    <t>ALL-G</t>
  </si>
  <si>
    <t>ALL-H</t>
  </si>
  <si>
    <t>ALL-I</t>
  </si>
  <si>
    <t>ALLE</t>
  </si>
  <si>
    <t>ALLEGION PLC</t>
  </si>
  <si>
    <t>ALLK</t>
  </si>
  <si>
    <t>ALLAKOS INC</t>
  </si>
  <si>
    <t>ALLO</t>
  </si>
  <si>
    <t>ALLOGENE THERAPEUTICS INC</t>
  </si>
  <si>
    <t>ALLT</t>
  </si>
  <si>
    <t>ALLOT LTD</t>
  </si>
  <si>
    <t>ALLY</t>
  </si>
  <si>
    <t>ALLY FINANCIAL INC</t>
  </si>
  <si>
    <t>ALLY-A</t>
  </si>
  <si>
    <t>ALNA</t>
  </si>
  <si>
    <t>ALLENA PHARMACEUTICALS INC</t>
  </si>
  <si>
    <t>ALNY</t>
  </si>
  <si>
    <t>ALNYLAM PHARMACEUTICALS INC</t>
  </si>
  <si>
    <t>ALOT</t>
  </si>
  <si>
    <t>ASTRONOVA INC</t>
  </si>
  <si>
    <t>ALP-Q</t>
  </si>
  <si>
    <t>ALPN</t>
  </si>
  <si>
    <t>ALPINE IMMUNE SCIENCES INC</t>
  </si>
  <si>
    <t>ALRM</t>
  </si>
  <si>
    <t>ALARM.COM HOLDINGS INC</t>
  </si>
  <si>
    <t>ALRN</t>
  </si>
  <si>
    <t>AILERON THERAPEUTICS INC</t>
  </si>
  <si>
    <t>ALRS</t>
  </si>
  <si>
    <t>ALERUS FINANCIAL CORP</t>
  </si>
  <si>
    <t>ALSK</t>
  </si>
  <si>
    <t>ALASKA COMM SYSTEMS GROUP</t>
  </si>
  <si>
    <t>ALSN</t>
  </si>
  <si>
    <t>ALLISON TRANSMISSION HOLDING</t>
  </si>
  <si>
    <t>ALT</t>
  </si>
  <si>
    <t>ALTIMMUNE INC</t>
  </si>
  <si>
    <t>ALTA</t>
  </si>
  <si>
    <t>ALTABANCORP</t>
  </si>
  <si>
    <t>ALTG</t>
  </si>
  <si>
    <t>ALTA EQUIPMENT GROUP INC</t>
  </si>
  <si>
    <t>ALTG+</t>
  </si>
  <si>
    <t>ALTL</t>
  </si>
  <si>
    <t>PACER LUNT LARGE CAP ALTERNA</t>
  </si>
  <si>
    <t>ALTM</t>
  </si>
  <si>
    <t>ALTUS MIDSTREAM CO -A</t>
  </si>
  <si>
    <t>ALTR</t>
  </si>
  <si>
    <t>ALTAIR ENGINEERING INC - A</t>
  </si>
  <si>
    <t>ALTS</t>
  </si>
  <si>
    <t>PRSHR MRNGSTR ALT SOL ETF</t>
  </si>
  <si>
    <t>ALTY</t>
  </si>
  <si>
    <t>GLOBAL X SUPERDIVIDEND ALTER</t>
  </si>
  <si>
    <t>ALUS</t>
  </si>
  <si>
    <t>ALUSSA ENERGY ACQUISITION -A</t>
  </si>
  <si>
    <t>ALUS+</t>
  </si>
  <si>
    <t>ALUS=</t>
  </si>
  <si>
    <t>ALUSSA ENERGY ACQUISITION CO</t>
  </si>
  <si>
    <t>ALV</t>
  </si>
  <si>
    <t>AUTOLIV INC</t>
  </si>
  <si>
    <t>ALVR</t>
  </si>
  <si>
    <t>ALLOVIR INC</t>
  </si>
  <si>
    <t>ALX</t>
  </si>
  <si>
    <t>ALEXANDER'S INC</t>
  </si>
  <si>
    <t>ALXN</t>
  </si>
  <si>
    <t>ALEXION PHARMACEUTICALS INC</t>
  </si>
  <si>
    <t>ALXO</t>
  </si>
  <si>
    <t>ALX ONCOLOGY HOLDINGS INC</t>
  </si>
  <si>
    <t>ALYA</t>
  </si>
  <si>
    <t>ALITHYA GROUP INC-CLASS A</t>
  </si>
  <si>
    <t>AM</t>
  </si>
  <si>
    <t>ANTERO MIDSTREAM CORP</t>
  </si>
  <si>
    <t>AMAG</t>
  </si>
  <si>
    <t>AMAG PHARMACEUTICALS INC</t>
  </si>
  <si>
    <t>AMAL</t>
  </si>
  <si>
    <t>AMALGAMATED BK OF NEW YORK-A</t>
  </si>
  <si>
    <t>AMAT</t>
  </si>
  <si>
    <t>APPLIED MATERIALS INC</t>
  </si>
  <si>
    <t>AMBA</t>
  </si>
  <si>
    <t>AMBARELLA INC</t>
  </si>
  <si>
    <t>AMBC</t>
  </si>
  <si>
    <t>AMBAC FINANCIAL GROUP INC</t>
  </si>
  <si>
    <t>AMBC+</t>
  </si>
  <si>
    <t>AMBO</t>
  </si>
  <si>
    <t>AMBOW EDUCATION HOLDING-ADR</t>
  </si>
  <si>
    <t>AMC</t>
  </si>
  <si>
    <t>AMC ENTERTAINMENT HLDS-CL A</t>
  </si>
  <si>
    <t>AMCA</t>
  </si>
  <si>
    <t>ISHARES RUSSELL 1000 US REV</t>
  </si>
  <si>
    <t>AMCI</t>
  </si>
  <si>
    <t>AMCI ACQUISITION CORP-CL A</t>
  </si>
  <si>
    <t>AMCIU</t>
  </si>
  <si>
    <t>AMCI ACQUISITION CORP</t>
  </si>
  <si>
    <t>AMCIW</t>
  </si>
  <si>
    <t>AMCR</t>
  </si>
  <si>
    <t>AMCOR PLC</t>
  </si>
  <si>
    <t>AMCX</t>
  </si>
  <si>
    <t>AMC NETWORKS INC-A</t>
  </si>
  <si>
    <t>AMD</t>
  </si>
  <si>
    <t>ADVANCED MICRO DEVICES</t>
  </si>
  <si>
    <t>AME</t>
  </si>
  <si>
    <t>AMETEK INC</t>
  </si>
  <si>
    <t>AMED</t>
  </si>
  <si>
    <t>AMEDISYS INC</t>
  </si>
  <si>
    <t>AMEH</t>
  </si>
  <si>
    <t>APOLLO MEDICAL HOLDINGS INC</t>
  </si>
  <si>
    <t>AMG</t>
  </si>
  <si>
    <t>AFFILIATED MANAGERS GROUP</t>
  </si>
  <si>
    <t>AMGN</t>
  </si>
  <si>
    <t>AMGEN INC</t>
  </si>
  <si>
    <t>AMH</t>
  </si>
  <si>
    <t>AMERICAN HOMES 4 RENT- A</t>
  </si>
  <si>
    <t>AMH-D</t>
  </si>
  <si>
    <t>AMH-E</t>
  </si>
  <si>
    <t>AMH-F</t>
  </si>
  <si>
    <t>AMH-G</t>
  </si>
  <si>
    <t>AMH-H</t>
  </si>
  <si>
    <t>AMHC</t>
  </si>
  <si>
    <t>AMPLITUDE HEALTHCARE ACQ-A</t>
  </si>
  <si>
    <t>AMHCU</t>
  </si>
  <si>
    <t>AMPLITUDE HEALTHCARE ACQUISI</t>
  </si>
  <si>
    <t>AMHCW</t>
  </si>
  <si>
    <t>AMJ</t>
  </si>
  <si>
    <t>JPMORGAN ALERIAN MLP INDEX</t>
  </si>
  <si>
    <t>AMK</t>
  </si>
  <si>
    <t>ASSETMARK FINANCIAL HOLDINGS</t>
  </si>
  <si>
    <t>AMKR</t>
  </si>
  <si>
    <t>AMKOR TECHNOLOGY INC</t>
  </si>
  <si>
    <t>AMLP</t>
  </si>
  <si>
    <t>ALERIAN MLP ETF</t>
  </si>
  <si>
    <t>AMN</t>
  </si>
  <si>
    <t>AMN HEALTHCARE SERVICES INC</t>
  </si>
  <si>
    <t>AMNA</t>
  </si>
  <si>
    <t>ETRACS ALERIAN MIDSTREAM ENE</t>
  </si>
  <si>
    <t>AMNB</t>
  </si>
  <si>
    <t>AMER NATL BNKSHS/DANVILLE VA</t>
  </si>
  <si>
    <t>AMND</t>
  </si>
  <si>
    <t>ETRACS ALERIAN MIDST H/DV EN</t>
  </si>
  <si>
    <t>AMOM</t>
  </si>
  <si>
    <t>QRAFT AI-ENH US LRG CAP MTM</t>
  </si>
  <si>
    <t>AMOT</t>
  </si>
  <si>
    <t>ALLIED MOTION TECHNOLOGIES</t>
  </si>
  <si>
    <t>AMOV</t>
  </si>
  <si>
    <t>AMERICA MOVIL-ADR SERIES A</t>
  </si>
  <si>
    <t>AMP</t>
  </si>
  <si>
    <t>AMERIPRISE FINANCIAL INC</t>
  </si>
  <si>
    <t>AMPE</t>
  </si>
  <si>
    <t>AMPIO PHARMACEUTICALS INC</t>
  </si>
  <si>
    <t>AMPH</t>
  </si>
  <si>
    <t>AMPHASTAR PHARMACEUTICALS IN</t>
  </si>
  <si>
    <t>AMPY</t>
  </si>
  <si>
    <t>AMPLIFY ENERGY CORP</t>
  </si>
  <si>
    <t>AMRB</t>
  </si>
  <si>
    <t>AMERICAN RIVER BANKSHRS (CA)</t>
  </si>
  <si>
    <t>AMRC</t>
  </si>
  <si>
    <t>AMERESCO INC-CL A</t>
  </si>
  <si>
    <t>AMRH</t>
  </si>
  <si>
    <t>AMERI HOLDINGS INC</t>
  </si>
  <si>
    <t>AMRHW</t>
  </si>
  <si>
    <t>AMRK</t>
  </si>
  <si>
    <t>A-MARK PRECIOUS METALS INC</t>
  </si>
  <si>
    <t>AMRN</t>
  </si>
  <si>
    <t>AMARIN CORP PLC -ADR</t>
  </si>
  <si>
    <t>AMRS</t>
  </si>
  <si>
    <t>AMYRIS INC</t>
  </si>
  <si>
    <t>AMRX</t>
  </si>
  <si>
    <t>AMNEAL PHARMACEUTICALS INC</t>
  </si>
  <si>
    <t>AMS</t>
  </si>
  <si>
    <t>AMERICAN SHARED HOSPITAL SER</t>
  </si>
  <si>
    <t>AMSC</t>
  </si>
  <si>
    <t>AMERICAN SUPERCONDUCTOR CORP</t>
  </si>
  <si>
    <t>AMSF</t>
  </si>
  <si>
    <t>AMERISAFE INC</t>
  </si>
  <si>
    <t>AMSWA</t>
  </si>
  <si>
    <t>AMERICAN SOFTWARE INC-CL A</t>
  </si>
  <si>
    <t>AMT</t>
  </si>
  <si>
    <t>AMERICAN TOWER CORP</t>
  </si>
  <si>
    <t>AMTB</t>
  </si>
  <si>
    <t>AMERANT BANCORP INC</t>
  </si>
  <si>
    <t>AMTBB</t>
  </si>
  <si>
    <t>AMERANT BANCORP INC - B</t>
  </si>
  <si>
    <t>AMTD</t>
  </si>
  <si>
    <t>TD AMERITRADE HOLDING CORP</t>
  </si>
  <si>
    <t>AMTI</t>
  </si>
  <si>
    <t>APPLIED MOLECULAR TRANSPORT</t>
  </si>
  <si>
    <t>AMTX</t>
  </si>
  <si>
    <t>AEMETIS INC</t>
  </si>
  <si>
    <t>AMU</t>
  </si>
  <si>
    <t>ETRACS ALERIAN MLP ETN</t>
  </si>
  <si>
    <t>AMUB</t>
  </si>
  <si>
    <t>ETRACS ALERIAN MLP IND SER B</t>
  </si>
  <si>
    <t>AMWD</t>
  </si>
  <si>
    <t>AMERICAN WOODMARK CORP</t>
  </si>
  <si>
    <t>AMX</t>
  </si>
  <si>
    <t>AMERICA MOVIL-SPN ADR CL L</t>
  </si>
  <si>
    <t>AMYT</t>
  </si>
  <si>
    <t>AMRYT PHARMA LTD - SPNR ADR</t>
  </si>
  <si>
    <t>AMZA</t>
  </si>
  <si>
    <t>INFRACAP MLP ETF</t>
  </si>
  <si>
    <t>AMZN</t>
  </si>
  <si>
    <t>AMAZON.COM INC</t>
  </si>
  <si>
    <t>AN</t>
  </si>
  <si>
    <t>AUTONATION INC</t>
  </si>
  <si>
    <t>ANAB</t>
  </si>
  <si>
    <t>ANAPTYSBIO INC</t>
  </si>
  <si>
    <t>ANAT</t>
  </si>
  <si>
    <t>AMERICAN NATIONAL GROUP INC</t>
  </si>
  <si>
    <t>ANCN</t>
  </si>
  <si>
    <t>ANCHIANO THERAPEUTICS - ADR</t>
  </si>
  <si>
    <t>ANDA</t>
  </si>
  <si>
    <t>ANDINA ACQUISITION CORP III</t>
  </si>
  <si>
    <t>ANDAR</t>
  </si>
  <si>
    <t>ANDINA ACQUISITION III-RTS</t>
  </si>
  <si>
    <t>ANDAU</t>
  </si>
  <si>
    <t>ANDAW</t>
  </si>
  <si>
    <t>ANDE</t>
  </si>
  <si>
    <t>ANDERSONS INC/THE</t>
  </si>
  <si>
    <t>ANET</t>
  </si>
  <si>
    <t>ARISTA NETWORKS INC</t>
  </si>
  <si>
    <t>ANF</t>
  </si>
  <si>
    <t>ABERCROMBIE &amp; FITCH CO-CL A</t>
  </si>
  <si>
    <t>ANGI</t>
  </si>
  <si>
    <t>ANGI HOMESERVICES INC- A</t>
  </si>
  <si>
    <t>ANGL</t>
  </si>
  <si>
    <t>VANECK FALLEN ANGEL HIGH YLD</t>
  </si>
  <si>
    <t>ANGO</t>
  </si>
  <si>
    <t>ANGIODYNAMICS INC</t>
  </si>
  <si>
    <t>ANH</t>
  </si>
  <si>
    <t>ANWORTH MORTGAGE ASSET CORP</t>
  </si>
  <si>
    <t>ANH-A</t>
  </si>
  <si>
    <t>ANH-B</t>
  </si>
  <si>
    <t>ANH-C</t>
  </si>
  <si>
    <t>ANIK</t>
  </si>
  <si>
    <t>ANIKA THERAPEUTICS INC</t>
  </si>
  <si>
    <t>ANIP</t>
  </si>
  <si>
    <t>ANI PHARMACEUTICALS INC</t>
  </si>
  <si>
    <t>ANIX</t>
  </si>
  <si>
    <t>ANIXA BIOSCIENCES INC</t>
  </si>
  <si>
    <t>ANNX</t>
  </si>
  <si>
    <t>ANNEXON INC</t>
  </si>
  <si>
    <t>ANPC</t>
  </si>
  <si>
    <t>ANPAC BIO-MEDICAL SCIENC-ADR</t>
  </si>
  <si>
    <t>ANSS</t>
  </si>
  <si>
    <t>ANSYS INC</t>
  </si>
  <si>
    <t>ANTE</t>
  </si>
  <si>
    <t>AIRNET TECHNOLOGY INC-ADR</t>
  </si>
  <si>
    <t>ANTM</t>
  </si>
  <si>
    <t>ANTHEM INC</t>
  </si>
  <si>
    <t>ANVS</t>
  </si>
  <si>
    <t>ANNOVIS BIO</t>
  </si>
  <si>
    <t>ANY</t>
  </si>
  <si>
    <t>SPHERE 3D CORP</t>
  </si>
  <si>
    <t>AOA</t>
  </si>
  <si>
    <t>ISHARES CORE AGGRESSIVE ALLO</t>
  </si>
  <si>
    <t>AOD</t>
  </si>
  <si>
    <t>ABERDEEN TTL DYN DIVID</t>
  </si>
  <si>
    <t>AOK</t>
  </si>
  <si>
    <t>ISHARES CORE CONSERVATIVE AL</t>
  </si>
  <si>
    <t>AOM</t>
  </si>
  <si>
    <t>ISHARES CORE MODERATE ALLOCA</t>
  </si>
  <si>
    <t>AON</t>
  </si>
  <si>
    <t>AON PLC-CLASS A</t>
  </si>
  <si>
    <t>AONE=</t>
  </si>
  <si>
    <t>ONE</t>
  </si>
  <si>
    <t>AOR</t>
  </si>
  <si>
    <t>ISHARES CORE GROWTH ALLOCATI</t>
  </si>
  <si>
    <t>AOS</t>
  </si>
  <si>
    <t>SMITH (A.O.) CORP</t>
  </si>
  <si>
    <t>AOSL</t>
  </si>
  <si>
    <t>ALPHA &amp; OMEGA SEMICONDUCTOR</t>
  </si>
  <si>
    <t>AOUT</t>
  </si>
  <si>
    <t>AMERICAN OUTDOOR BRANDS INC</t>
  </si>
  <si>
    <t>AP</t>
  </si>
  <si>
    <t>AMPCO-PITTSBURGH CORP</t>
  </si>
  <si>
    <t>APA</t>
  </si>
  <si>
    <t>APACHE CORP</t>
  </si>
  <si>
    <t>APAM</t>
  </si>
  <si>
    <t>ARTISAN PARTNERS ASSET MA -A</t>
  </si>
  <si>
    <t>APD</t>
  </si>
  <si>
    <t>AIR PRODUCTS &amp; CHEMICALS INC</t>
  </si>
  <si>
    <t>APDN</t>
  </si>
  <si>
    <t>APPLIED DNA SCIENCES INC</t>
  </si>
  <si>
    <t>APEI</t>
  </si>
  <si>
    <t>AMERICAN PUBLIC EDUCATION</t>
  </si>
  <si>
    <t>APEN</t>
  </si>
  <si>
    <t>APOLLO ENDOSURGERY INC</t>
  </si>
  <si>
    <t>APEX</t>
  </si>
  <si>
    <t>APEX GLOBAL BRANDS INC</t>
  </si>
  <si>
    <t>APG</t>
  </si>
  <si>
    <t>API GROUP CORP</t>
  </si>
  <si>
    <t>APH</t>
  </si>
  <si>
    <t>AMPHENOL CORP-CL A</t>
  </si>
  <si>
    <t>APHA</t>
  </si>
  <si>
    <t>APHRIA INC</t>
  </si>
  <si>
    <t>API</t>
  </si>
  <si>
    <t>AGORA INC-ADR</t>
  </si>
  <si>
    <t>APLE</t>
  </si>
  <si>
    <t>APPLE HOSPITALITY REIT INC</t>
  </si>
  <si>
    <t>APLS</t>
  </si>
  <si>
    <t>APELLIS PHARMACEUTICALS INC</t>
  </si>
  <si>
    <t>APLT</t>
  </si>
  <si>
    <t>APPLIED THERAPEUTICS INC</t>
  </si>
  <si>
    <t>APM</t>
  </si>
  <si>
    <t>APTORUM GROUP LTD-CLASS A</t>
  </si>
  <si>
    <t>APO</t>
  </si>
  <si>
    <t>APOLLO GLOBAL MANAGEMENT INC</t>
  </si>
  <si>
    <t>APO-A</t>
  </si>
  <si>
    <t>APO-B</t>
  </si>
  <si>
    <t>APOG</t>
  </si>
  <si>
    <t>APOGEE ENTERPRISES INC</t>
  </si>
  <si>
    <t>APOP</t>
  </si>
  <si>
    <t>CELLECT BIOTECHNOLOGY LT-ADR</t>
  </si>
  <si>
    <t>APOPW</t>
  </si>
  <si>
    <t>APPF</t>
  </si>
  <si>
    <t>APPFOLIO INC - A</t>
  </si>
  <si>
    <t>APPN</t>
  </si>
  <si>
    <t>APPIAN CORP</t>
  </si>
  <si>
    <t>APPS</t>
  </si>
  <si>
    <t>DIGITAL TURBINE INC</t>
  </si>
  <si>
    <t>APRE</t>
  </si>
  <si>
    <t>APREA THERAPEUTICS INC</t>
  </si>
  <si>
    <t>APRN</t>
  </si>
  <si>
    <t>BLUE APRON HOLDINGS INC-A</t>
  </si>
  <si>
    <t>APT</t>
  </si>
  <si>
    <t>ALPHA PRO TECH LTD</t>
  </si>
  <si>
    <t>APTO</t>
  </si>
  <si>
    <t>APTOSE BIOSCIENCES INC</t>
  </si>
  <si>
    <t>APTS</t>
  </si>
  <si>
    <t>PREFERRED APARTMENT COMMUN-A</t>
  </si>
  <si>
    <t>APTV</t>
  </si>
  <si>
    <t>APTIV PLC</t>
  </si>
  <si>
    <t>APTV-A</t>
  </si>
  <si>
    <t>APTX</t>
  </si>
  <si>
    <t>APTINYX INC</t>
  </si>
  <si>
    <t>APVO</t>
  </si>
  <si>
    <t>APTEVO THERAPEUTICS INC</t>
  </si>
  <si>
    <t>APWC</t>
  </si>
  <si>
    <t>ASIA PACIFIC WIRE &amp; CABLE</t>
  </si>
  <si>
    <t>APXT</t>
  </si>
  <si>
    <t>APEX TECHNOLOGY ACQUI-CL A</t>
  </si>
  <si>
    <t>APXTU</t>
  </si>
  <si>
    <t>APEX TECHNOLOGY ACQUISITION</t>
  </si>
  <si>
    <t>APXTW</t>
  </si>
  <si>
    <t>APYX</t>
  </si>
  <si>
    <t>APYX MEDICAL CORP</t>
  </si>
  <si>
    <t>AQB</t>
  </si>
  <si>
    <t>AQUABOUNTY TECHNOLOGIES</t>
  </si>
  <si>
    <t>AQMS</t>
  </si>
  <si>
    <t>AQUA METALS INC</t>
  </si>
  <si>
    <t>AQN</t>
  </si>
  <si>
    <t>ALGONQUIN POWER &amp; UTILITIES</t>
  </si>
  <si>
    <t>AQNA</t>
  </si>
  <si>
    <t>AQNB</t>
  </si>
  <si>
    <t>AQST</t>
  </si>
  <si>
    <t>AQUESTIVE THERAPEUTICS INC</t>
  </si>
  <si>
    <t>AQUA</t>
  </si>
  <si>
    <t>EVOQUA WATER TECHNOLOGIES CO</t>
  </si>
  <si>
    <t>AR</t>
  </si>
  <si>
    <t>ANTERO RESOURCES CORP</t>
  </si>
  <si>
    <t>ARA</t>
  </si>
  <si>
    <t>AMERICAN RENAL ASSOCIATES HO</t>
  </si>
  <si>
    <t>ARAV</t>
  </si>
  <si>
    <t>ARAVIVE INC</t>
  </si>
  <si>
    <t>ARAY</t>
  </si>
  <si>
    <t>ACCURAY INC</t>
  </si>
  <si>
    <t>ARB</t>
  </si>
  <si>
    <t>ALTSHARES MERGER ARBITRAGE</t>
  </si>
  <si>
    <t>ARC</t>
  </si>
  <si>
    <t>ARC DOCUMENT SOLUTIONS INC</t>
  </si>
  <si>
    <t>ARCB</t>
  </si>
  <si>
    <t>ARCBEST CORP</t>
  </si>
  <si>
    <t>ARCC</t>
  </si>
  <si>
    <t>ARES CAPITAL CORP</t>
  </si>
  <si>
    <t>ARCE</t>
  </si>
  <si>
    <t>ARCO PLATFORM LTD - CLASS A</t>
  </si>
  <si>
    <t>ARCH</t>
  </si>
  <si>
    <t>ARCH RESOURCES INC</t>
  </si>
  <si>
    <t>ARCM</t>
  </si>
  <si>
    <t>ARROW RESERVE CAP MANAG ETF</t>
  </si>
  <si>
    <t>ARCO</t>
  </si>
  <si>
    <t>ARCOS DORADOS HOLDINGS INC-A</t>
  </si>
  <si>
    <t>ARCT</t>
  </si>
  <si>
    <t>ARCTURUS THERAPEUTICS HOLDIN</t>
  </si>
  <si>
    <t>ARD</t>
  </si>
  <si>
    <t>ARDAGH GROUP SA</t>
  </si>
  <si>
    <t>ARDC</t>
  </si>
  <si>
    <t>ARES DYNAMIC CREDIT ALLOCATI</t>
  </si>
  <si>
    <t>ARDS</t>
  </si>
  <si>
    <t>ARIDIS PHARMACEUTICALS INC</t>
  </si>
  <si>
    <t>ARDX</t>
  </si>
  <si>
    <t>ARDELYX INC</t>
  </si>
  <si>
    <t>ARE</t>
  </si>
  <si>
    <t>ALEXANDRIA REAL ESTATE EQUIT</t>
  </si>
  <si>
    <t>AREC</t>
  </si>
  <si>
    <t>AMERICAN RESOURCES CORP</t>
  </si>
  <si>
    <t>ARES</t>
  </si>
  <si>
    <t>ARES MANAGEMENT CORP - A</t>
  </si>
  <si>
    <t>ARES-A</t>
  </si>
  <si>
    <t>ARGD</t>
  </si>
  <si>
    <t>ARGO</t>
  </si>
  <si>
    <t>ARGO GROUP INTERNATIONAL</t>
  </si>
  <si>
    <t>ARGO-A</t>
  </si>
  <si>
    <t>ARGT</t>
  </si>
  <si>
    <t>GLOBAL X MSCI ARGENTINA ETF</t>
  </si>
  <si>
    <t>ARGX</t>
  </si>
  <si>
    <t>ARGENX SE - ADR</t>
  </si>
  <si>
    <t>ARI</t>
  </si>
  <si>
    <t>APOLLO COMMERCIAL REAL ESTAT</t>
  </si>
  <si>
    <t>ARKF</t>
  </si>
  <si>
    <t>ARK FINTECH INNOVATION ETF</t>
  </si>
  <si>
    <t>ARKG</t>
  </si>
  <si>
    <t>ARK GENOMIC REVOLUTION ETF</t>
  </si>
  <si>
    <t>ARKK</t>
  </si>
  <si>
    <t>ARK INNOVATION ETF</t>
  </si>
  <si>
    <t>ARKQ</t>
  </si>
  <si>
    <t>ARK AUTONOMOUS TECH &amp; ROBOT</t>
  </si>
  <si>
    <t>ARKR</t>
  </si>
  <si>
    <t>ARK RESTAURANTS CORP</t>
  </si>
  <si>
    <t>ARKW</t>
  </si>
  <si>
    <t>ARK NEXT GENERATION INTERNET</t>
  </si>
  <si>
    <t>ARL</t>
  </si>
  <si>
    <t>AMERICAN REALTY INVESTORS IN</t>
  </si>
  <si>
    <t>ARLO</t>
  </si>
  <si>
    <t>ARLO TECHNOLOGIES INC</t>
  </si>
  <si>
    <t>ARLP</t>
  </si>
  <si>
    <t>ALLIANCE RESOURCE PARTNERS</t>
  </si>
  <si>
    <t>ARMK</t>
  </si>
  <si>
    <t>ARAMARK</t>
  </si>
  <si>
    <t>ARMP</t>
  </si>
  <si>
    <t>ARMATA PHARMACEUTICALS INC</t>
  </si>
  <si>
    <t>ARMR</t>
  </si>
  <si>
    <t>ARMOR US EQUITY INDEX ETF</t>
  </si>
  <si>
    <t>ARNA</t>
  </si>
  <si>
    <t>ARENA PHARMACEUTICALS INC</t>
  </si>
  <si>
    <t>ARNC</t>
  </si>
  <si>
    <t>ARCONIC CORP</t>
  </si>
  <si>
    <t>AROC</t>
  </si>
  <si>
    <t>ARCHROCK INC</t>
  </si>
  <si>
    <t>AROW</t>
  </si>
  <si>
    <t>ARROW FINANCIAL CORP</t>
  </si>
  <si>
    <t>ARPO</t>
  </si>
  <si>
    <t>AERPIO PHARMACEUTICALS INC</t>
  </si>
  <si>
    <t>ARQT</t>
  </si>
  <si>
    <t>ARCUTIS BIOTHERAPEUTICS INC</t>
  </si>
  <si>
    <t>ARR</t>
  </si>
  <si>
    <t>ARMOUR RESIDENTIAL REIT INC</t>
  </si>
  <si>
    <t>ARR-C</t>
  </si>
  <si>
    <t>ARTL</t>
  </si>
  <si>
    <t>ARTELO BIOSCIENCES INC</t>
  </si>
  <si>
    <t>ARTLW</t>
  </si>
  <si>
    <t>ARTNA</t>
  </si>
  <si>
    <t>ARTESIAN RESOURCES CORP-CL A</t>
  </si>
  <si>
    <t>ARTW</t>
  </si>
  <si>
    <t>ART'S-WAY MANUFACTURING CO</t>
  </si>
  <si>
    <t>ARVN</t>
  </si>
  <si>
    <t>ARVINAS INC</t>
  </si>
  <si>
    <t>ARW</t>
  </si>
  <si>
    <t>ARROW ELECTRONICS INC</t>
  </si>
  <si>
    <t>ARWR</t>
  </si>
  <si>
    <t>ARROWHEAD PHARMACEUTICALS IN</t>
  </si>
  <si>
    <t>ARYA</t>
  </si>
  <si>
    <t>ARYA SCIENCES ACQUISI-CLASSA</t>
  </si>
  <si>
    <t>ARYB</t>
  </si>
  <si>
    <t>ARYA SCIENCES ACQUISITION-A</t>
  </si>
  <si>
    <t>ARYBU</t>
  </si>
  <si>
    <t>ARYA SCIENCES ACQUISITION CO</t>
  </si>
  <si>
    <t>ARYBW</t>
  </si>
  <si>
    <t>ASA</t>
  </si>
  <si>
    <t>ASA GOLD AND PRECIOUS METALS</t>
  </si>
  <si>
    <t>ASB</t>
  </si>
  <si>
    <t>ASSOCIATED BANC-CORP</t>
  </si>
  <si>
    <t>ASB-C</t>
  </si>
  <si>
    <t>ASB-D</t>
  </si>
  <si>
    <t>ASB-E</t>
  </si>
  <si>
    <t>ASB-F</t>
  </si>
  <si>
    <t>ASC</t>
  </si>
  <si>
    <t>ARDMORE SHIPPING CORP</t>
  </si>
  <si>
    <t>ASEA</t>
  </si>
  <si>
    <t>GLOBAL X FTSE SOUTHEAST ASIA</t>
  </si>
  <si>
    <t>ASET</t>
  </si>
  <si>
    <t>FLEXSHARES REAL ASSETS FUND</t>
  </si>
  <si>
    <t>ASFI</t>
  </si>
  <si>
    <t>ASTA FUNDING INC</t>
  </si>
  <si>
    <t>ASG</t>
  </si>
  <si>
    <t>LIBERTY ALL-STAR GROWTH FD</t>
  </si>
  <si>
    <t>ASGI</t>
  </si>
  <si>
    <t>ABERDEEN STNDRD GLBL INFRA</t>
  </si>
  <si>
    <t>ASGN</t>
  </si>
  <si>
    <t>ASGN INC</t>
  </si>
  <si>
    <t>ASH</t>
  </si>
  <si>
    <t>ASHLAND GLOBAL HOLDINGS INC</t>
  </si>
  <si>
    <t>ASHR</t>
  </si>
  <si>
    <t>XTRACKERS HARVEST CSI 300 CH</t>
  </si>
  <si>
    <t>ASHS</t>
  </si>
  <si>
    <t>XTRACKERS HARVEST CSI 500 CH</t>
  </si>
  <si>
    <t>ASHX</t>
  </si>
  <si>
    <t>XTRACKERS MSCI CHINA A INCLU</t>
  </si>
  <si>
    <t>ASIX</t>
  </si>
  <si>
    <t>ADVANSIX INC</t>
  </si>
  <si>
    <t>ASLN</t>
  </si>
  <si>
    <t>ASLAN PHARMACEUTICALS LT-ADR</t>
  </si>
  <si>
    <t>ASM</t>
  </si>
  <si>
    <t>AVINO SILVER &amp; GOLD MINES</t>
  </si>
  <si>
    <t>ASMB</t>
  </si>
  <si>
    <t>ASSEMBLY BIOSCIENCES INC</t>
  </si>
  <si>
    <t>ASML</t>
  </si>
  <si>
    <t>ASML HOLDING NV-NY REG SHS</t>
  </si>
  <si>
    <t>ASND</t>
  </si>
  <si>
    <t>ASCENDIS PHARMA A/S - ADR</t>
  </si>
  <si>
    <t>ASPN</t>
  </si>
  <si>
    <t>ASPEN AEROGELS INC</t>
  </si>
  <si>
    <t>ASPS</t>
  </si>
  <si>
    <t>ALTISOURCE PORTFOLIO SOL</t>
  </si>
  <si>
    <t>ASPU</t>
  </si>
  <si>
    <t>ASPEN GROUP INC</t>
  </si>
  <si>
    <t>ASR</t>
  </si>
  <si>
    <t>GRUPO AEROPORTUARIO SUR-ADR</t>
  </si>
  <si>
    <t>ASRT</t>
  </si>
  <si>
    <t>ASSERTIO HOLDINGS INC</t>
  </si>
  <si>
    <t>ASRV</t>
  </si>
  <si>
    <t>AMERISERV FINANCIAL INC</t>
  </si>
  <si>
    <t>ASRVP</t>
  </si>
  <si>
    <t>ASTC</t>
  </si>
  <si>
    <t>ASTROTECH CORP</t>
  </si>
  <si>
    <t>ASTE</t>
  </si>
  <si>
    <t>ASTEC INDUSTRIES INC</t>
  </si>
  <si>
    <t>ASUR</t>
  </si>
  <si>
    <t>ASURE SOFTWARE INC</t>
  </si>
  <si>
    <t>ASX</t>
  </si>
  <si>
    <t>ASE TECHNOLOGY HOLDING -ADR</t>
  </si>
  <si>
    <t>ASYS</t>
  </si>
  <si>
    <t>AMTECH SYSTEMS INC</t>
  </si>
  <si>
    <t>AT</t>
  </si>
  <si>
    <t>ATLANTIC POWER CORP</t>
  </si>
  <si>
    <t>ATAX</t>
  </si>
  <si>
    <t>AMERICA FIRST MULTIFAMILY IN</t>
  </si>
  <si>
    <t>ATCO</t>
  </si>
  <si>
    <t>ATLAS CORP</t>
  </si>
  <si>
    <t>ATCO-D</t>
  </si>
  <si>
    <t>ATCO-E</t>
  </si>
  <si>
    <t>ATCO-G</t>
  </si>
  <si>
    <t>ATCO-H</t>
  </si>
  <si>
    <t>ATCO-I</t>
  </si>
  <si>
    <t>ATCX</t>
  </si>
  <si>
    <t>ATLAS TECHNICAL CONSULTANTS</t>
  </si>
  <si>
    <t>ATCXW</t>
  </si>
  <si>
    <t>ATEC</t>
  </si>
  <si>
    <t>ALPHATEC HOLDINGS INC</t>
  </si>
  <si>
    <t>ATEN</t>
  </si>
  <si>
    <t>A10 NETWORKS INC</t>
  </si>
  <si>
    <t>ATEX</t>
  </si>
  <si>
    <t>ANTERIX INC</t>
  </si>
  <si>
    <t>ATGE</t>
  </si>
  <si>
    <t>ADTALEM GLOBAL EDUCATION INC</t>
  </si>
  <si>
    <t>ATH</t>
  </si>
  <si>
    <t>ATHENE HOLDING LTD-CLASS A</t>
  </si>
  <si>
    <t>ATH-A</t>
  </si>
  <si>
    <t>ATH-B</t>
  </si>
  <si>
    <t>ATH-C</t>
  </si>
  <si>
    <t>ATHE</t>
  </si>
  <si>
    <t>ALTERITY THERAPEUTICS-ADR</t>
  </si>
  <si>
    <t>ATHM</t>
  </si>
  <si>
    <t>AUTOHOME INC-ADR</t>
  </si>
  <si>
    <t>ATHX</t>
  </si>
  <si>
    <t>ATHERSYS INC</t>
  </si>
  <si>
    <t>ATI</t>
  </si>
  <si>
    <t>ALLEGHENY TECHNOLOGIES INC</t>
  </si>
  <si>
    <t>ATIF</t>
  </si>
  <si>
    <t>ATIF HOLDINGS LTD</t>
  </si>
  <si>
    <t>ATKR</t>
  </si>
  <si>
    <t>ATKORE INTERNATIONAL GROUP I</t>
  </si>
  <si>
    <t>ATLC</t>
  </si>
  <si>
    <t>ATLANTICUS HOLDINGS CORP</t>
  </si>
  <si>
    <t>ATLO</t>
  </si>
  <si>
    <t>AMES NATIONAL CORP</t>
  </si>
  <si>
    <t>ATMP</t>
  </si>
  <si>
    <t>IPATH SELECT MLP ETN</t>
  </si>
  <si>
    <t>ATNI</t>
  </si>
  <si>
    <t>ATN INTERNATIONAL INC</t>
  </si>
  <si>
    <t>ATNM</t>
  </si>
  <si>
    <t>ACTINIUM PHARMACEUTICALS INC</t>
  </si>
  <si>
    <t>ATNX</t>
  </si>
  <si>
    <t>ATHENEX INC</t>
  </si>
  <si>
    <t>ATO</t>
  </si>
  <si>
    <t>ATMOS ENERGY CORP</t>
  </si>
  <si>
    <t>ATOM</t>
  </si>
  <si>
    <t>ATOMERA INC</t>
  </si>
  <si>
    <t>ATOS</t>
  </si>
  <si>
    <t>ATOSSA THERAPEUTICS INC</t>
  </si>
  <si>
    <t>ATR</t>
  </si>
  <si>
    <t>APTARGROUP INC</t>
  </si>
  <si>
    <t>ATRA</t>
  </si>
  <si>
    <t>ATARA BIOTHERAPEUTICS INC</t>
  </si>
  <si>
    <t>ATRC</t>
  </si>
  <si>
    <t>ATRICURE INC</t>
  </si>
  <si>
    <t>ATRI</t>
  </si>
  <si>
    <t>ATRION CORPORATION</t>
  </si>
  <si>
    <t>ATRO</t>
  </si>
  <si>
    <t>ASTRONICS CORP</t>
  </si>
  <si>
    <t>ATRS</t>
  </si>
  <si>
    <t>ANTARES PHARMA INC</t>
  </si>
  <si>
    <t>ATSG</t>
  </si>
  <si>
    <t>AIR TRANSPORT SERVICES GROUP</t>
  </si>
  <si>
    <t>ATTO</t>
  </si>
  <si>
    <t>ATENTO SA</t>
  </si>
  <si>
    <t>ATUS</t>
  </si>
  <si>
    <t>ALTICE USA INC- A</t>
  </si>
  <si>
    <t>ATV</t>
  </si>
  <si>
    <t>ACORN INTERNATIONAL INC-ADR</t>
  </si>
  <si>
    <t>ATVI</t>
  </si>
  <si>
    <t>ACTIVISION BLIZZARD INC</t>
  </si>
  <si>
    <t>ATXI</t>
  </si>
  <si>
    <t>AVENUE THERAPEUTICS INC</t>
  </si>
  <si>
    <t>AU</t>
  </si>
  <si>
    <t>ANGLOGOLD ASHANTI-SPON ADR</t>
  </si>
  <si>
    <t>AUB</t>
  </si>
  <si>
    <t>ATLANTIC UNION BANKSHARES CO</t>
  </si>
  <si>
    <t>AUBAP</t>
  </si>
  <si>
    <t>AUBN</t>
  </si>
  <si>
    <t>AUBURN NATL BANCORPORATION</t>
  </si>
  <si>
    <t>AUDC</t>
  </si>
  <si>
    <t>AUDIOCODES LTD</t>
  </si>
  <si>
    <t>AUG</t>
  </si>
  <si>
    <t>AURYN RESOURCES INC</t>
  </si>
  <si>
    <t>AUGZ</t>
  </si>
  <si>
    <t>TRUESHARES STRUC OUT AUG ETF</t>
  </si>
  <si>
    <t>AUMN</t>
  </si>
  <si>
    <t>GOLDEN MINERALS CO</t>
  </si>
  <si>
    <t>AUPH</t>
  </si>
  <si>
    <t>AURINIA PHARMACEUTICALS INC</t>
  </si>
  <si>
    <t>AUSF</t>
  </si>
  <si>
    <t>GLOBAL X ADAPTIVE US FACTOR</t>
  </si>
  <si>
    <t>AUTL</t>
  </si>
  <si>
    <t>AUTOLUS THERAPEUTICS PLC</t>
  </si>
  <si>
    <t>AUTO</t>
  </si>
  <si>
    <t>AUTOWEB INC</t>
  </si>
  <si>
    <t>AUVI</t>
  </si>
  <si>
    <t>APPLIED UV INC</t>
  </si>
  <si>
    <t>AUY</t>
  </si>
  <si>
    <t>YAMANA GOLD INC</t>
  </si>
  <si>
    <t>AVA</t>
  </si>
  <si>
    <t>AVISTA CORP</t>
  </si>
  <si>
    <t>AVAL</t>
  </si>
  <si>
    <t>GRUPO AVAL ACCIONES Y VALORE</t>
  </si>
  <si>
    <t>AVAV</t>
  </si>
  <si>
    <t>AEROVIRONMENT INC</t>
  </si>
  <si>
    <t>AVB</t>
  </si>
  <si>
    <t>AVALONBAY COMMUNITIES INC</t>
  </si>
  <si>
    <t>AVCO</t>
  </si>
  <si>
    <t>AVALON GLOBOCARE CORP</t>
  </si>
  <si>
    <t>AVCT</t>
  </si>
  <si>
    <t>AMERICAN VIRTUAL CLOUD TECHN</t>
  </si>
  <si>
    <t>AVCTW</t>
  </si>
  <si>
    <t>AVD</t>
  </si>
  <si>
    <t>AMERICAN VANGUARD CORP</t>
  </si>
  <si>
    <t>AVDE</t>
  </si>
  <si>
    <t>AVANTIS INTERNATIONAL EQUITY</t>
  </si>
  <si>
    <t>AVDL</t>
  </si>
  <si>
    <t>AVADEL PHARMACEUTICALS-ADR</t>
  </si>
  <si>
    <t>AVDV</t>
  </si>
  <si>
    <t>AVANTIS INTL S/C VALUE ETF</t>
  </si>
  <si>
    <t>AVEM</t>
  </si>
  <si>
    <t>AVANTIS EMERGING MARKETS EQ</t>
  </si>
  <si>
    <t>AVEO</t>
  </si>
  <si>
    <t>AVEO PHARMACEUTICALS INC</t>
  </si>
  <si>
    <t>AVGO</t>
  </si>
  <si>
    <t>BROADCOM INC</t>
  </si>
  <si>
    <t>AVGOP</t>
  </si>
  <si>
    <t>AVGR</t>
  </si>
  <si>
    <t>AVINGER INC</t>
  </si>
  <si>
    <t>AVID</t>
  </si>
  <si>
    <t>AVID TECHNOLOGY INC</t>
  </si>
  <si>
    <t>AVK</t>
  </si>
  <si>
    <t>ADVENT CONVERT &amp; INCOME</t>
  </si>
  <si>
    <t>AVLR</t>
  </si>
  <si>
    <t>AVALARA INC</t>
  </si>
  <si>
    <t>AVNS</t>
  </si>
  <si>
    <t>AVANOS MEDICAL INC</t>
  </si>
  <si>
    <t>AVNT</t>
  </si>
  <si>
    <t>AVIENT CORP</t>
  </si>
  <si>
    <t>AVNW</t>
  </si>
  <si>
    <t>AVIAT NETWORKS INC</t>
  </si>
  <si>
    <t>AVRO</t>
  </si>
  <si>
    <t>AVROBIO INC</t>
  </si>
  <si>
    <t>AVT</t>
  </si>
  <si>
    <t>AVNET INC</t>
  </si>
  <si>
    <t>AVTR</t>
  </si>
  <si>
    <t>AVANTOR INC</t>
  </si>
  <si>
    <t>AVTR-A</t>
  </si>
  <si>
    <t>AVUS</t>
  </si>
  <si>
    <t>AVANTIS U.S. EQUITY ETF</t>
  </si>
  <si>
    <t>AVUV</t>
  </si>
  <si>
    <t>AVANTIS US SMALL CAP VALUE</t>
  </si>
  <si>
    <t>AVXL</t>
  </si>
  <si>
    <t>ANAVEX LIFE SCIENCES CORP</t>
  </si>
  <si>
    <t>AVY</t>
  </si>
  <si>
    <t>AVERY DENNISON CORP</t>
  </si>
  <si>
    <t>AVYA</t>
  </si>
  <si>
    <t>AVAYA HOLDINGS CORP</t>
  </si>
  <si>
    <t>AWAY</t>
  </si>
  <si>
    <t>ETFMG TRAVEL TECH ETF</t>
  </si>
  <si>
    <t>AWF</t>
  </si>
  <si>
    <t>ALLIANCEBERNSTEIN GL HI INC</t>
  </si>
  <si>
    <t>AWH</t>
  </si>
  <si>
    <t>ASPIRA WOMEN'S HEALTH INC</t>
  </si>
  <si>
    <t>AWI</t>
  </si>
  <si>
    <t>ARMSTRONG WORLD INDUSTRIES</t>
  </si>
  <si>
    <t>AWK</t>
  </si>
  <si>
    <t>AMERICAN WATER WORKS CO INC</t>
  </si>
  <si>
    <t>AWP</t>
  </si>
  <si>
    <t>ABERDEEN GLBL PREM PROP</t>
  </si>
  <si>
    <t>AWR</t>
  </si>
  <si>
    <t>AMERICAN STATES WATER CO</t>
  </si>
  <si>
    <t>AWRE</t>
  </si>
  <si>
    <t>AWARE INC/MASS</t>
  </si>
  <si>
    <t>AWTM</t>
  </si>
  <si>
    <t>AWARE ULTRA SHORT DURATION</t>
  </si>
  <si>
    <t>AWX</t>
  </si>
  <si>
    <t>AVALON HOLDINGS CORP-A</t>
  </si>
  <si>
    <t>AX</t>
  </si>
  <si>
    <t>AXOS FINANCIAL INC</t>
  </si>
  <si>
    <t>AXAS</t>
  </si>
  <si>
    <t>ABRAXAS PETROLEUM CORP</t>
  </si>
  <si>
    <t>AXDX</t>
  </si>
  <si>
    <t>ACCELERATE DIAGNOSTICS INC</t>
  </si>
  <si>
    <t>AXGN</t>
  </si>
  <si>
    <t>AXOGEN INC</t>
  </si>
  <si>
    <t>AXGT</t>
  </si>
  <si>
    <t>AXOVANT GENE THERAPIES LTD</t>
  </si>
  <si>
    <t>AXL</t>
  </si>
  <si>
    <t>AMERICAN AXLE &amp; MFG HOLDINGS</t>
  </si>
  <si>
    <t>AXLA</t>
  </si>
  <si>
    <t>AXCELLA HEALTH INC</t>
  </si>
  <si>
    <t>AXNX</t>
  </si>
  <si>
    <t>AXONICS MODULATION TECHNOLOG</t>
  </si>
  <si>
    <t>AXO</t>
  </si>
  <si>
    <t>AXP</t>
  </si>
  <si>
    <t>AMERICAN EXPRESS CO</t>
  </si>
  <si>
    <t>AXR</t>
  </si>
  <si>
    <t>AMREP CORP</t>
  </si>
  <si>
    <t>AXS</t>
  </si>
  <si>
    <t>AXIS CAPITAL HOLDINGS LTD</t>
  </si>
  <si>
    <t>AXS-E</t>
  </si>
  <si>
    <t>AXSM</t>
  </si>
  <si>
    <t>AXSOME THERAPEUTICS INC</t>
  </si>
  <si>
    <t>AXTA</t>
  </si>
  <si>
    <t>AXALTA COATING SYSTEMS LTD</t>
  </si>
  <si>
    <t>AXTI</t>
  </si>
  <si>
    <t>AXT INC</t>
  </si>
  <si>
    <t>AXU</t>
  </si>
  <si>
    <t>ALEXCO RESOURCE CORP</t>
  </si>
  <si>
    <t>AY</t>
  </si>
  <si>
    <t>ATLANTICA SUSTAINABLE INFRAS</t>
  </si>
  <si>
    <t>AYI</t>
  </si>
  <si>
    <t>ACUITY BRANDS INC</t>
  </si>
  <si>
    <t>AYLA</t>
  </si>
  <si>
    <t>AYALA PHARMACEUTICALS INC</t>
  </si>
  <si>
    <t>AYRO</t>
  </si>
  <si>
    <t>AYRO INC</t>
  </si>
  <si>
    <t>AYTU</t>
  </si>
  <si>
    <t>AYTU BIOSCIENCE INC</t>
  </si>
  <si>
    <t>AYX</t>
  </si>
  <si>
    <t>ALTERYX INC - CLASS A</t>
  </si>
  <si>
    <t>AZAA</t>
  </si>
  <si>
    <t>ALLIANZIM US LG CAP BUFFER10</t>
  </si>
  <si>
    <t>AZAL</t>
  </si>
  <si>
    <t>ALLIANZIM US LRG CAP BU10 JU</t>
  </si>
  <si>
    <t>AZBA</t>
  </si>
  <si>
    <t>ALLIANZIM US LG CAP BUFFER20</t>
  </si>
  <si>
    <t>AZBL</t>
  </si>
  <si>
    <t>ALLIANZIM US LRG CAP BU 20 J</t>
  </si>
  <si>
    <t>AZEK</t>
  </si>
  <si>
    <t>AZEK CO INC/THE</t>
  </si>
  <si>
    <t>AZN</t>
  </si>
  <si>
    <t>ASTRAZENECA PLC-SPONS ADR</t>
  </si>
  <si>
    <t>AZO</t>
  </si>
  <si>
    <t>AUTOZONE INC</t>
  </si>
  <si>
    <t>AZPN</t>
  </si>
  <si>
    <t>ASPEN TECHNOLOGY INC</t>
  </si>
  <si>
    <t>AZRE</t>
  </si>
  <si>
    <t>AZURE POWER GLOBAL LTD</t>
  </si>
  <si>
    <t>AZRX</t>
  </si>
  <si>
    <t>AZURRX BIOPHARMA INC</t>
  </si>
  <si>
    <t>AZUL</t>
  </si>
  <si>
    <t>AZUL SA-ADR</t>
  </si>
  <si>
    <t>AZZ</t>
  </si>
  <si>
    <t>AZZ INC</t>
  </si>
  <si>
    <t>B</t>
  </si>
  <si>
    <t>BARNES GROUP INC</t>
  </si>
  <si>
    <t>BA</t>
  </si>
  <si>
    <t>BOEING CO/THE</t>
  </si>
  <si>
    <t>BAB</t>
  </si>
  <si>
    <t>INVESCO TAXABLE MUNICIPAL BO</t>
  </si>
  <si>
    <t>BABA</t>
  </si>
  <si>
    <t>ALIBABA GROUP HOLDING-SP ADR</t>
  </si>
  <si>
    <t>BAC</t>
  </si>
  <si>
    <t>BANK OF AMERICA CORP</t>
  </si>
  <si>
    <t>BAC-A</t>
  </si>
  <si>
    <t>BAC-B</t>
  </si>
  <si>
    <t>BAC-C</t>
  </si>
  <si>
    <t>BAC-E</t>
  </si>
  <si>
    <t>BAC-K</t>
  </si>
  <si>
    <t>BAC-L</t>
  </si>
  <si>
    <t>BAC-M</t>
  </si>
  <si>
    <t>BAC-N</t>
  </si>
  <si>
    <t>BAF</t>
  </si>
  <si>
    <t>BLACKROCK MUNICIPAL INCOME I</t>
  </si>
  <si>
    <t>BAH</t>
  </si>
  <si>
    <t>BOOZ ALLEN HAMILTON HOLDINGS</t>
  </si>
  <si>
    <t>BAK</t>
  </si>
  <si>
    <t>BRASKEM SA-SPON ADR</t>
  </si>
  <si>
    <t>BAL</t>
  </si>
  <si>
    <t>IPATHR SERIES B BLOOMBERG CO</t>
  </si>
  <si>
    <t>BAM</t>
  </si>
  <si>
    <t>BROOKFIELD ASSET MANAGE-CL A</t>
  </si>
  <si>
    <t>BANC</t>
  </si>
  <si>
    <t>BANC OF CALIFORNIA INC</t>
  </si>
  <si>
    <t>BANC-D</t>
  </si>
  <si>
    <t>BANC-E</t>
  </si>
  <si>
    <t>BAND</t>
  </si>
  <si>
    <t>BANDWIDTH INC-CLASS A</t>
  </si>
  <si>
    <t>BANF</t>
  </si>
  <si>
    <t>BANCFIRST CORP</t>
  </si>
  <si>
    <t>BANFP</t>
  </si>
  <si>
    <t>BANR</t>
  </si>
  <si>
    <t>BANNER CORPORATION</t>
  </si>
  <si>
    <t>BANX</t>
  </si>
  <si>
    <t>STONECASTLE FINANCIAL CORP</t>
  </si>
  <si>
    <t>BAP</t>
  </si>
  <si>
    <t>CREDICORP LTD</t>
  </si>
  <si>
    <t>BAPR</t>
  </si>
  <si>
    <t>INNOVATOR S&amp;P 500 BUFFER ETF</t>
  </si>
  <si>
    <t>BAR</t>
  </si>
  <si>
    <t>GRANITESHARES GOLD TRUST</t>
  </si>
  <si>
    <t>BASI</t>
  </si>
  <si>
    <t>BIOANALYTICAL SYSTEMS INC</t>
  </si>
  <si>
    <t>BATL</t>
  </si>
  <si>
    <t>BATTALION OIL CORP</t>
  </si>
  <si>
    <t>BATRA</t>
  </si>
  <si>
    <t>LIBERTY MEDIA CORP-BRAVES A</t>
  </si>
  <si>
    <t>BATRK</t>
  </si>
  <si>
    <t>LIBERTY MEDIA CORP-BRAVES C</t>
  </si>
  <si>
    <t>BATT</t>
  </si>
  <si>
    <t>AMPLIFY ADVANCED BATTERY MET</t>
  </si>
  <si>
    <t>BAUG</t>
  </si>
  <si>
    <t>INNOVATOR S&amp;P 500 BUFFER AUG</t>
  </si>
  <si>
    <t>BAX</t>
  </si>
  <si>
    <t>BAXTER INTERNATIONAL INC</t>
  </si>
  <si>
    <t>BB</t>
  </si>
  <si>
    <t>BLACKBERRY LTD</t>
  </si>
  <si>
    <t>BBAR</t>
  </si>
  <si>
    <t>BBVA ARGENTINA SA-ADR</t>
  </si>
  <si>
    <t>BBAX</t>
  </si>
  <si>
    <t>JPM BTABLDRS DEV ASIA X-JPN</t>
  </si>
  <si>
    <t>BBBY</t>
  </si>
  <si>
    <t>BED BATH &amp; BEYOND INC</t>
  </si>
  <si>
    <t>BBC</t>
  </si>
  <si>
    <t>VIRTUS LIFESCI BIOTECH CLINI</t>
  </si>
  <si>
    <t>BBCA</t>
  </si>
  <si>
    <t>JPMORGAN BETABUILDERS CANADA</t>
  </si>
  <si>
    <t>BBCP</t>
  </si>
  <si>
    <t>CONCRETE PUMPING HOLDINGS IN</t>
  </si>
  <si>
    <t>BBD</t>
  </si>
  <si>
    <t>BANCO BRADESCO-ADR</t>
  </si>
  <si>
    <t>BBDC</t>
  </si>
  <si>
    <t>BARINGS BDC INC</t>
  </si>
  <si>
    <t>BBDO</t>
  </si>
  <si>
    <t>BBEU</t>
  </si>
  <si>
    <t>JPMORGAN BETABUILDERS EUROPE</t>
  </si>
  <si>
    <t>BBF</t>
  </si>
  <si>
    <t>BLACKROCK MUNICIPAL INCOME</t>
  </si>
  <si>
    <t>BBGI</t>
  </si>
  <si>
    <t>BEASLEY BROADCAST GRP INC -A</t>
  </si>
  <si>
    <t>BBH</t>
  </si>
  <si>
    <t>VANECK BIOTECH ETF</t>
  </si>
  <si>
    <t>BBI</t>
  </si>
  <si>
    <t>BRICKELL BIOTECH INC</t>
  </si>
  <si>
    <t>BBIN</t>
  </si>
  <si>
    <t>JPM BETABUILDERS INTL EQTY</t>
  </si>
  <si>
    <t>BBIO</t>
  </si>
  <si>
    <t>BRIDGEBIO PHARMA INC</t>
  </si>
  <si>
    <t>BBJP</t>
  </si>
  <si>
    <t>JPMORGAN BETABUILDERS JAPAN</t>
  </si>
  <si>
    <t>BBK</t>
  </si>
  <si>
    <t>BLACKROCK MUNI BOND TRUST</t>
  </si>
  <si>
    <t>BBL</t>
  </si>
  <si>
    <t>BHP GROUP PLC-ADR</t>
  </si>
  <si>
    <t>BBMC</t>
  </si>
  <si>
    <t>JPM BETABUILDERS US MID CAP</t>
  </si>
  <si>
    <t>BBN</t>
  </si>
  <si>
    <t>BLACKROCK TAXABLE MUNICIPAL</t>
  </si>
  <si>
    <t>BBP</t>
  </si>
  <si>
    <t>VIRTUS LIFESCI BIOTECH PRODU</t>
  </si>
  <si>
    <t>BBQ</t>
  </si>
  <si>
    <t>BBQ HOLDINGS INC</t>
  </si>
  <si>
    <t>BBRE</t>
  </si>
  <si>
    <t>JPM BETABLDRS MSCI US REIT</t>
  </si>
  <si>
    <t>BBSA</t>
  </si>
  <si>
    <t>JPMORGAN BETABUILDERS 1-5 YR</t>
  </si>
  <si>
    <t>BBSI</t>
  </si>
  <si>
    <t>BARRETT BUSINESS SVCS INC</t>
  </si>
  <si>
    <t>BBU</t>
  </si>
  <si>
    <t>BROOKFIELD BUSINESS PT-UNIT</t>
  </si>
  <si>
    <t>BBUS</t>
  </si>
  <si>
    <t>JPMORGAN BETABUILDERS US EQU</t>
  </si>
  <si>
    <t>BBVA</t>
  </si>
  <si>
    <t>BANCO BILBAO VIZCAYA-SP ADR</t>
  </si>
  <si>
    <t>BBW</t>
  </si>
  <si>
    <t>BUILD-A-BEAR WORKSHOP INC</t>
  </si>
  <si>
    <t>BBX</t>
  </si>
  <si>
    <t>BBX CAPITAL CORP</t>
  </si>
  <si>
    <t>BBY</t>
  </si>
  <si>
    <t>BEST BUY CO INC</t>
  </si>
  <si>
    <t>BC</t>
  </si>
  <si>
    <t>BRUNSWICK CORP</t>
  </si>
  <si>
    <t>BC-A</t>
  </si>
  <si>
    <t>BC-B</t>
  </si>
  <si>
    <t>BC-C</t>
  </si>
  <si>
    <t>BCACU</t>
  </si>
  <si>
    <t>BROOKLINE CAPITAL ACQUISITIO</t>
  </si>
  <si>
    <t>BCBP</t>
  </si>
  <si>
    <t>BCB BANCORP INC</t>
  </si>
  <si>
    <t>BCC</t>
  </si>
  <si>
    <t>BOISE CASCADE CO</t>
  </si>
  <si>
    <t>BCD</t>
  </si>
  <si>
    <t>ABERDEEN STANDARD BLOOMBERG</t>
  </si>
  <si>
    <t>BCDA</t>
  </si>
  <si>
    <t>BIOCARDIA INC</t>
  </si>
  <si>
    <t>BCDAW</t>
  </si>
  <si>
    <t>BCE</t>
  </si>
  <si>
    <t>BCE INC</t>
  </si>
  <si>
    <t>BCEI</t>
  </si>
  <si>
    <t>BONANZA CREEK ENERGY INC</t>
  </si>
  <si>
    <t>BCEL</t>
  </si>
  <si>
    <t>ATRECA INC - A</t>
  </si>
  <si>
    <t>BCH</t>
  </si>
  <si>
    <t>BANCO DE CHILE-ADR</t>
  </si>
  <si>
    <t>BCI</t>
  </si>
  <si>
    <t>BCLI</t>
  </si>
  <si>
    <t>BRAINSTORM CELL THERAPEUTICS</t>
  </si>
  <si>
    <t>BCM</t>
  </si>
  <si>
    <t>IPATH PURE BETA BROAD CMDTY</t>
  </si>
  <si>
    <t>BCML</t>
  </si>
  <si>
    <t>BAYCOM CORP</t>
  </si>
  <si>
    <t>BCO</t>
  </si>
  <si>
    <t>BRINK'S CO/THE</t>
  </si>
  <si>
    <t>BCOR</t>
  </si>
  <si>
    <t>BLUCORA INC</t>
  </si>
  <si>
    <t>BCOV</t>
  </si>
  <si>
    <t>BRIGHTCOVE</t>
  </si>
  <si>
    <t>BCOW</t>
  </si>
  <si>
    <t>1895 BANCORP OF WISCONSIN IN</t>
  </si>
  <si>
    <t>BCPC</t>
  </si>
  <si>
    <t>BALCHEM CORP</t>
  </si>
  <si>
    <t>BCRX</t>
  </si>
  <si>
    <t>BIOCRYST PHARMACEUTICALS INC</t>
  </si>
  <si>
    <t>BCS</t>
  </si>
  <si>
    <t>BARCLAYS PLC-SPONS ADR</t>
  </si>
  <si>
    <t>BCSF</t>
  </si>
  <si>
    <t>BAIN CAPITAL SPECIALTY FINAN</t>
  </si>
  <si>
    <t>BCTG</t>
  </si>
  <si>
    <t>BCTG ACQUISITION CORP</t>
  </si>
  <si>
    <t>BCV</t>
  </si>
  <si>
    <t>BANCROFT FUND LTD</t>
  </si>
  <si>
    <t>BCV-A</t>
  </si>
  <si>
    <t>BCX</t>
  </si>
  <si>
    <t>BLACKROCK RESOURCES &amp; COMMOD</t>
  </si>
  <si>
    <t>BCYC</t>
  </si>
  <si>
    <t>BICYCLE THERAPEUTICS LTD-ADR</t>
  </si>
  <si>
    <t>BDC</t>
  </si>
  <si>
    <t>BELDEN INC</t>
  </si>
  <si>
    <t>BDCS</t>
  </si>
  <si>
    <t>ETRACS WELLS FARGO BDCI ETN</t>
  </si>
  <si>
    <t>BDCX</t>
  </si>
  <si>
    <t>ETRACS 150% WELLS FARGO BDC</t>
  </si>
  <si>
    <t>BDCY</t>
  </si>
  <si>
    <t>ETRACS 2XM-L WELLS FARGO BDC</t>
  </si>
  <si>
    <t>BDCZ</t>
  </si>
  <si>
    <t>ETRACS WELL FARGO BDC SER B</t>
  </si>
  <si>
    <t>BDEC</t>
  </si>
  <si>
    <t>INNOVATOR S&amp;P 500 BUFFER-DEC</t>
  </si>
  <si>
    <t>BDGE</t>
  </si>
  <si>
    <t>BRIDGE BANCORP INC</t>
  </si>
  <si>
    <t>BDJ</t>
  </si>
  <si>
    <t>BLACKROCK ENHANCED EQTY DVD</t>
  </si>
  <si>
    <t>BDL</t>
  </si>
  <si>
    <t>FLANIGAN'S ENTERPRISES INC</t>
  </si>
  <si>
    <t>BDN</t>
  </si>
  <si>
    <t>BRANDYWINE REALTY TRUST</t>
  </si>
  <si>
    <t>BDR</t>
  </si>
  <si>
    <t>BLONDER TONGUE LABORATORIES</t>
  </si>
  <si>
    <t>BDRY</t>
  </si>
  <si>
    <t>BREAKWAVE DRY BULK SHIPPING</t>
  </si>
  <si>
    <t>BDSI</t>
  </si>
  <si>
    <t>BIODELIVERY SCIENCES INTL</t>
  </si>
  <si>
    <t>BDTX</t>
  </si>
  <si>
    <t>BLACK DIAMOND THERAPEUTICS I</t>
  </si>
  <si>
    <t>BDX</t>
  </si>
  <si>
    <t>BECTON DICKINSON AND CO</t>
  </si>
  <si>
    <t>BDXB</t>
  </si>
  <si>
    <t>BE</t>
  </si>
  <si>
    <t>BLOOM ENERGY CORP- A</t>
  </si>
  <si>
    <t>BEAM</t>
  </si>
  <si>
    <t>BEAM THERAPEUTICS INC</t>
  </si>
  <si>
    <t>BEAT</t>
  </si>
  <si>
    <t>BIOTELEMETRY INC</t>
  </si>
  <si>
    <t>BECN</t>
  </si>
  <si>
    <t>BEACON ROOFING SUPPLY INC</t>
  </si>
  <si>
    <t>BEDU</t>
  </si>
  <si>
    <t>BRIGHT SCHOLAR EDUCATION-ADR</t>
  </si>
  <si>
    <t>BEKE</t>
  </si>
  <si>
    <t>KE HOLDINGS INC</t>
  </si>
  <si>
    <t>BELFA</t>
  </si>
  <si>
    <t>BEL FUSE INC-CL A</t>
  </si>
  <si>
    <t>BELFB</t>
  </si>
  <si>
    <t>BEL FUSE INC-CL B</t>
  </si>
  <si>
    <t>BEN</t>
  </si>
  <si>
    <t>FRANKLIN RESOURCES INC</t>
  </si>
  <si>
    <t>BEP</t>
  </si>
  <si>
    <t>BROOKFIELD RENEWABLE PARTNER</t>
  </si>
  <si>
    <t>BEP-A</t>
  </si>
  <si>
    <t>BEPC</t>
  </si>
  <si>
    <t>BROOKFIELD RENEWABLE COR-A</t>
  </si>
  <si>
    <t>BERY</t>
  </si>
  <si>
    <t>BERRY GLOBAL GROUP INC</t>
  </si>
  <si>
    <t>BEST</t>
  </si>
  <si>
    <t>BEST INC - ADR</t>
  </si>
  <si>
    <t>BETZ</t>
  </si>
  <si>
    <t>ROUNDHILL SPORTS BET &amp; IGAM</t>
  </si>
  <si>
    <t>BF.A</t>
  </si>
  <si>
    <t>BROWN-FORMAN CORP-CLASS A</t>
  </si>
  <si>
    <t>BF.B</t>
  </si>
  <si>
    <t>BROWN-FORMAN CORP-CLASS B</t>
  </si>
  <si>
    <t>BFAM</t>
  </si>
  <si>
    <t>BRIGHT HORIZONS FAMILY SOLUT</t>
  </si>
  <si>
    <t>BFC</t>
  </si>
  <si>
    <t>BANK FIRST CORP</t>
  </si>
  <si>
    <t>BFEB</t>
  </si>
  <si>
    <t>INNOVATOR SP 500 BUFFER-FEB</t>
  </si>
  <si>
    <t>BFIN</t>
  </si>
  <si>
    <t>BANKFINANCIAL CORP</t>
  </si>
  <si>
    <t>BFIT</t>
  </si>
  <si>
    <t>GLOBAL X HEALTH &amp; WELLNESS</t>
  </si>
  <si>
    <t>BFK</t>
  </si>
  <si>
    <t>BLACKROCK MUNICIPAL INC TRST</t>
  </si>
  <si>
    <t>BFO</t>
  </si>
  <si>
    <t>BLACKROCK FL MUNI 2020 TERM</t>
  </si>
  <si>
    <t>BFOR</t>
  </si>
  <si>
    <t>BARRON'S 400 ETF</t>
  </si>
  <si>
    <t>BFRA</t>
  </si>
  <si>
    <t>BIOFRONTERA AG</t>
  </si>
  <si>
    <t>BFS</t>
  </si>
  <si>
    <t>SAUL CENTERS INC</t>
  </si>
  <si>
    <t>BFS-D</t>
  </si>
  <si>
    <t>BFS-E</t>
  </si>
  <si>
    <t>BFST</t>
  </si>
  <si>
    <t>BUSINESS FIRST BANCSHARES</t>
  </si>
  <si>
    <t>BFT=</t>
  </si>
  <si>
    <t>FOLEY TRASIMENE ACQUISITION</t>
  </si>
  <si>
    <t>BFY</t>
  </si>
  <si>
    <t>BLACKROCK NEW YORK MUN II</t>
  </si>
  <si>
    <t>BFZ</t>
  </si>
  <si>
    <t>BLACKROCK CALIFOR MUNI IN TR</t>
  </si>
  <si>
    <t>BG</t>
  </si>
  <si>
    <t>BUNGE LTD</t>
  </si>
  <si>
    <t>BGB</t>
  </si>
  <si>
    <t>BLACKSTONE/GSO STRATEGIC C</t>
  </si>
  <si>
    <t>BGCP</t>
  </si>
  <si>
    <t>BGC PARTNERS INC-CL A</t>
  </si>
  <si>
    <t>BGFV</t>
  </si>
  <si>
    <t>BIG 5 SPORTING GOODS CORP</t>
  </si>
  <si>
    <t>BGH</t>
  </si>
  <si>
    <t>BARINGS GL SH DUR HI YLD</t>
  </si>
  <si>
    <t>BGI</t>
  </si>
  <si>
    <t>BIRKS GROUP INC</t>
  </si>
  <si>
    <t>BGIO</t>
  </si>
  <si>
    <t>BLACKROCK 2022 GLOBAL INCOME</t>
  </si>
  <si>
    <t>BGNE</t>
  </si>
  <si>
    <t>BEIGENE LTD-ADR</t>
  </si>
  <si>
    <t>BGR</t>
  </si>
  <si>
    <t>BLACKROCK ENRGY &amp; RES</t>
  </si>
  <si>
    <t>BGRN</t>
  </si>
  <si>
    <t>ISHARES GLOBAL GREEN BOND ET</t>
  </si>
  <si>
    <t>BGS</t>
  </si>
  <si>
    <t>B&amp;G FOODS INC</t>
  </si>
  <si>
    <t>BGSF</t>
  </si>
  <si>
    <t>BG STAFFING INC</t>
  </si>
  <si>
    <t>BGT</t>
  </si>
  <si>
    <t>BLACKROCK FLT RT INC</t>
  </si>
  <si>
    <t>BGX</t>
  </si>
  <si>
    <t>BLACKSTONE/GSO LONG-SHORT CR</t>
  </si>
  <si>
    <t>BGY</t>
  </si>
  <si>
    <t>BLACKROCK ENHANCED INTERNATI</t>
  </si>
  <si>
    <t>BH</t>
  </si>
  <si>
    <t>BIGLARI HOLDINGS INC-B</t>
  </si>
  <si>
    <t>BH.A</t>
  </si>
  <si>
    <t>BIGLARI HOLDINGS INC-A</t>
  </si>
  <si>
    <t>BHAT</t>
  </si>
  <si>
    <t>BLUE HAT INTERACTIVE ENTERTA</t>
  </si>
  <si>
    <t>BHB</t>
  </si>
  <si>
    <t>BAR HARBOR BANKSHARES</t>
  </si>
  <si>
    <t>BHC</t>
  </si>
  <si>
    <t>BAUSCH HEALTH COS INC</t>
  </si>
  <si>
    <t>BHE</t>
  </si>
  <si>
    <t>BENCHMARK ELECTRONICS INC</t>
  </si>
  <si>
    <t>BHF</t>
  </si>
  <si>
    <t>BRIGHTHOUSE FINANCIAL INC</t>
  </si>
  <si>
    <t>BHFAL</t>
  </si>
  <si>
    <t>BHFAO</t>
  </si>
  <si>
    <t>BHFAP</t>
  </si>
  <si>
    <t>BHK</t>
  </si>
  <si>
    <t>BLACKROCK CORE BOND TRUST</t>
  </si>
  <si>
    <t>BHLB</t>
  </si>
  <si>
    <t>BERKSHIRE HILLS BANCORP INC</t>
  </si>
  <si>
    <t>BHP</t>
  </si>
  <si>
    <t>BHP GROUP LTD-SPON ADR</t>
  </si>
  <si>
    <t>BHR</t>
  </si>
  <si>
    <t>BRAEMAR HOTELS &amp; RESORTS INC</t>
  </si>
  <si>
    <t>BHR-B</t>
  </si>
  <si>
    <t>BHR-D</t>
  </si>
  <si>
    <t>BHTG</t>
  </si>
  <si>
    <t>BIOHITECH GLOBAL INC</t>
  </si>
  <si>
    <t>BHV</t>
  </si>
  <si>
    <t>BLACKROCK VIRGINIA MUNI BOND</t>
  </si>
  <si>
    <t>BHVN</t>
  </si>
  <si>
    <t>BIOHAVEN PHARMACEUTICAL HOLD</t>
  </si>
  <si>
    <t>BIB</t>
  </si>
  <si>
    <t>PROSHARES ULTRA NASD BIOTECH</t>
  </si>
  <si>
    <t>BIBL</t>
  </si>
  <si>
    <t>INSPIRE 100 ETF</t>
  </si>
  <si>
    <t>BICK</t>
  </si>
  <si>
    <t>FIRST TRUST BICK INDEX FUND</t>
  </si>
  <si>
    <t>BIDU</t>
  </si>
  <si>
    <t>BAIDU INC - SPON ADR</t>
  </si>
  <si>
    <t>BIF</t>
  </si>
  <si>
    <t>BOULDER GROWTH &amp; INCOME FUND</t>
  </si>
  <si>
    <t>BIG</t>
  </si>
  <si>
    <t>BIG LOTS INC</t>
  </si>
  <si>
    <t>BIGC</t>
  </si>
  <si>
    <t>BIGCOMMERCE HOLDINGS-SER 1</t>
  </si>
  <si>
    <t>BIIB</t>
  </si>
  <si>
    <t>BIOGEN INC</t>
  </si>
  <si>
    <t>BIL</t>
  </si>
  <si>
    <t>SPDR BBG BARC 1-3 MONTH TBIL</t>
  </si>
  <si>
    <t>BILI</t>
  </si>
  <si>
    <t>BILIBILI INC-SPONSORED ADR</t>
  </si>
  <si>
    <t>BILL</t>
  </si>
  <si>
    <t>BILL.COM HOLDINGS INC</t>
  </si>
  <si>
    <t>BIMI</t>
  </si>
  <si>
    <t>BOQI INTERNATIONAL MEDICAL I</t>
  </si>
  <si>
    <t>BIO</t>
  </si>
  <si>
    <t>BIO-RAD LABORATORIES-A</t>
  </si>
  <si>
    <t>BIO.B</t>
  </si>
  <si>
    <t>BIO-RAD LABORATORIES -CL B</t>
  </si>
  <si>
    <t>BIOC</t>
  </si>
  <si>
    <t>BIOCEPT INC</t>
  </si>
  <si>
    <t>BIOL</t>
  </si>
  <si>
    <t>BIOLASE INC</t>
  </si>
  <si>
    <t>BIOX</t>
  </si>
  <si>
    <t>BIOCERES CROP SOLUTIONS CORP</t>
  </si>
  <si>
    <t>BIP</t>
  </si>
  <si>
    <t>BROOKFIELD INFRASTRUCTURE PA</t>
  </si>
  <si>
    <t>BIPC</t>
  </si>
  <si>
    <t>BROOKFIELD INFRASTRUCTURE-A</t>
  </si>
  <si>
    <t>BIS</t>
  </si>
  <si>
    <t>PROSHARES ULTRASHORT NAS BIO</t>
  </si>
  <si>
    <t>BIT</t>
  </si>
  <si>
    <t>BLACKROCK MULTI-SECTOR INCOM</t>
  </si>
  <si>
    <t>BITA</t>
  </si>
  <si>
    <t>BITAUTO HOLDINGS LTD-ADR</t>
  </si>
  <si>
    <t>BIV</t>
  </si>
  <si>
    <t>VANGUARD INTERMEDIATE-TERM B</t>
  </si>
  <si>
    <t>BIZD</t>
  </si>
  <si>
    <t>VANECK BDC INCOME</t>
  </si>
  <si>
    <t>BJ</t>
  </si>
  <si>
    <t>BJ'S WHOLESALE CLUB HOLDINGS</t>
  </si>
  <si>
    <t>BJAN</t>
  </si>
  <si>
    <t>INNOVATOR S&amp;P 500 BUFFER-JAN</t>
  </si>
  <si>
    <t>BJK</t>
  </si>
  <si>
    <t>VANECK GAMING ETF</t>
  </si>
  <si>
    <t>BJRI</t>
  </si>
  <si>
    <t>BJ'S RESTAURANTS INC</t>
  </si>
  <si>
    <t>BJUL</t>
  </si>
  <si>
    <t>INNOVATOR S&amp;P 500 BUFFER-JLY</t>
  </si>
  <si>
    <t>BJUN</t>
  </si>
  <si>
    <t>INNOVATOR S&amp;P 500 BUFFER JUN</t>
  </si>
  <si>
    <t>BK</t>
  </si>
  <si>
    <t>BANK OF NEW YORK MELLON CORP</t>
  </si>
  <si>
    <t>BK-C</t>
  </si>
  <si>
    <t>BKAG</t>
  </si>
  <si>
    <t>BNY MELLON CORE BOND ETF</t>
  </si>
  <si>
    <t>BKCC</t>
  </si>
  <si>
    <t>BLACKROCK CAPITAL INVESTMENT</t>
  </si>
  <si>
    <t>BKD</t>
  </si>
  <si>
    <t>BROOKDALE SENIOR LIVING INC</t>
  </si>
  <si>
    <t>BKE</t>
  </si>
  <si>
    <t>BUCKLE INC/THE</t>
  </si>
  <si>
    <t>BKEM</t>
  </si>
  <si>
    <t>BNY MELLON EMERGING MARKETS</t>
  </si>
  <si>
    <t>BKEP</t>
  </si>
  <si>
    <t>BLUEKNIGHT ENERGY PARTNERS L</t>
  </si>
  <si>
    <t>BKEPP</t>
  </si>
  <si>
    <t>BKF</t>
  </si>
  <si>
    <t>ISHARES MSCI BRIC ETF</t>
  </si>
  <si>
    <t>BKH</t>
  </si>
  <si>
    <t>BLACK HILLS CORP</t>
  </si>
  <si>
    <t>BKHY</t>
  </si>
  <si>
    <t>BNY MELLON HIGH YIELD BETA E</t>
  </si>
  <si>
    <t>BKI</t>
  </si>
  <si>
    <t>BLACK KNIGHT INC</t>
  </si>
  <si>
    <t>BKIE</t>
  </si>
  <si>
    <t>BNY MELLON INTERNATIONAL EQU</t>
  </si>
  <si>
    <t>BKK</t>
  </si>
  <si>
    <t>BLACKROCK MUNI 2020 TERM TR</t>
  </si>
  <si>
    <t>BKLC</t>
  </si>
  <si>
    <t>BNY MELLON US LARGE CAP CORE</t>
  </si>
  <si>
    <t>BKLN</t>
  </si>
  <si>
    <t>INVESCO SENIOR LOAN ETF</t>
  </si>
  <si>
    <t>BKMC</t>
  </si>
  <si>
    <t>BNY MELLON US MID CAP CORE E</t>
  </si>
  <si>
    <t>BKN</t>
  </si>
  <si>
    <t>BLACKROCK INVT QUALITY MUNI</t>
  </si>
  <si>
    <t>BKNG</t>
  </si>
  <si>
    <t>BOOKING HOLDINGS INC</t>
  </si>
  <si>
    <t>BKR</t>
  </si>
  <si>
    <t>BAKER HUGHES CO</t>
  </si>
  <si>
    <t>BKSB</t>
  </si>
  <si>
    <t>BNY MELLON SHORT DURATION CO</t>
  </si>
  <si>
    <t>BKSC</t>
  </si>
  <si>
    <t>BANK OF SOUTH CAROLINA CORP</t>
  </si>
  <si>
    <t>BKSE</t>
  </si>
  <si>
    <t>BNY MELLON US SMALL CAP CORE</t>
  </si>
  <si>
    <t>BKT</t>
  </si>
  <si>
    <t>BLACKROCK INCOME TRUST</t>
  </si>
  <si>
    <t>BKTI</t>
  </si>
  <si>
    <t>BK TECHNOLOGIES CORP</t>
  </si>
  <si>
    <t>BKU</t>
  </si>
  <si>
    <t>BANKUNITED INC</t>
  </si>
  <si>
    <t>BKYI</t>
  </si>
  <si>
    <t>BIO-KEY INTERNATIONAL INC</t>
  </si>
  <si>
    <t>BL</t>
  </si>
  <si>
    <t>BLACKLINE INC</t>
  </si>
  <si>
    <t>BLBD</t>
  </si>
  <si>
    <t>BLUE BIRD CORP</t>
  </si>
  <si>
    <t>BLCM</t>
  </si>
  <si>
    <t>BELLICUM PHARMACEUTICALS INC</t>
  </si>
  <si>
    <t>BLCN</t>
  </si>
  <si>
    <t>REALITY SHRS NASDAQ NEXGEN</t>
  </si>
  <si>
    <t>BLCT</t>
  </si>
  <si>
    <t>BLUECITY HOLDINGS LTD-ADR</t>
  </si>
  <si>
    <t>BLD</t>
  </si>
  <si>
    <t>TOPBUILD CORP</t>
  </si>
  <si>
    <t>BLDP</t>
  </si>
  <si>
    <t>BALLARD POWER SYSTEMS INC</t>
  </si>
  <si>
    <t>BLDR</t>
  </si>
  <si>
    <t>BUILDERS FIRSTSOURCE INC</t>
  </si>
  <si>
    <t>BLE</t>
  </si>
  <si>
    <t>BLACKROCK MUN INC TRUST II</t>
  </si>
  <si>
    <t>BLES</t>
  </si>
  <si>
    <t>INSPIRE GLOBAL HOPE ETF</t>
  </si>
  <si>
    <t>BLFS</t>
  </si>
  <si>
    <t>BIOLIFE SOLUTIONS INC</t>
  </si>
  <si>
    <t>BLHY</t>
  </si>
  <si>
    <t>VIRTUS NEWFLEET DYNAMIC CRED</t>
  </si>
  <si>
    <t>BLI</t>
  </si>
  <si>
    <t>BERKELEY LIGHTS INC</t>
  </si>
  <si>
    <t>BLIN</t>
  </si>
  <si>
    <t>BRIDGELINE DIGITAL INC</t>
  </si>
  <si>
    <t>BLK</t>
  </si>
  <si>
    <t>BLACKROCK INC</t>
  </si>
  <si>
    <t>BLKB</t>
  </si>
  <si>
    <t>BLACKBAUD INC</t>
  </si>
  <si>
    <t>BLL</t>
  </si>
  <si>
    <t>BALL CORP</t>
  </si>
  <si>
    <t>BLMN</t>
  </si>
  <si>
    <t>BLOOMIN' BRANDS INC</t>
  </si>
  <si>
    <t>BLNK</t>
  </si>
  <si>
    <t>BLINK CHARGING CO</t>
  </si>
  <si>
    <t>BLNKW</t>
  </si>
  <si>
    <t>BLOK</t>
  </si>
  <si>
    <t>AMPLIFY TRANSFOR DATA SHARIN</t>
  </si>
  <si>
    <t>BLPH</t>
  </si>
  <si>
    <t>BELLEROPHON THERAPEUTICS INC</t>
  </si>
  <si>
    <t>BLRX</t>
  </si>
  <si>
    <t>BIOLINERX LTD-SPONS ADR</t>
  </si>
  <si>
    <t>BLU</t>
  </si>
  <si>
    <t>BELLUS HEALTH INC</t>
  </si>
  <si>
    <t>BLUE</t>
  </si>
  <si>
    <t>BLUEBIRD BIO INC</t>
  </si>
  <si>
    <t>BLV</t>
  </si>
  <si>
    <t>VANGUARD LONG-TERM BOND ETF</t>
  </si>
  <si>
    <t>BLW</t>
  </si>
  <si>
    <t>BLACKROCK LTD DURATION INC</t>
  </si>
  <si>
    <t>BLX</t>
  </si>
  <si>
    <t>BANCO LATINOAMERICANO COME-E</t>
  </si>
  <si>
    <t>BMA</t>
  </si>
  <si>
    <t>BANCO MACRO SA-ADR</t>
  </si>
  <si>
    <t>BMAR</t>
  </si>
  <si>
    <t>BMAY</t>
  </si>
  <si>
    <t>INNOVATOR S&amp;P 500 BUFFER MAY</t>
  </si>
  <si>
    <t>BMCH</t>
  </si>
  <si>
    <t>BMC STOCK HOLDINGS INC</t>
  </si>
  <si>
    <t>BME</t>
  </si>
  <si>
    <t>BLACKROCK HEALTH SCIENCES</t>
  </si>
  <si>
    <t>BMEZ</t>
  </si>
  <si>
    <t>BLACKROCK HEALTH SCI TR II</t>
  </si>
  <si>
    <t>BMI</t>
  </si>
  <si>
    <t>BADGER METER INC</t>
  </si>
  <si>
    <t>BML-G</t>
  </si>
  <si>
    <t>BML-H</t>
  </si>
  <si>
    <t>BML-J</t>
  </si>
  <si>
    <t>BML-L</t>
  </si>
  <si>
    <t>BMLP</t>
  </si>
  <si>
    <t>DORSEY WRIGHT MLP INDEX ETNS</t>
  </si>
  <si>
    <t>BMO</t>
  </si>
  <si>
    <t>BANK OF MONTREAL</t>
  </si>
  <si>
    <t>BMRA</t>
  </si>
  <si>
    <t>BIOMERICA INC</t>
  </si>
  <si>
    <t>BMRC</t>
  </si>
  <si>
    <t>BANK OF MARIN BANCORP/CA</t>
  </si>
  <si>
    <t>BMRG</t>
  </si>
  <si>
    <t>B. RILEY PRINCIPAL MERGER-A</t>
  </si>
  <si>
    <t>BMRG+</t>
  </si>
  <si>
    <t>BMRG=</t>
  </si>
  <si>
    <t>B RILEY PRINCIPAL MERGER CO</t>
  </si>
  <si>
    <t>BMRN</t>
  </si>
  <si>
    <t>BIOMARIN PHARMACEUTICAL INC</t>
  </si>
  <si>
    <t>BMTC</t>
  </si>
  <si>
    <t>BRYN MAWR BANK CORP</t>
  </si>
  <si>
    <t>BMY</t>
  </si>
  <si>
    <t>BRISTOL-MYERS SQUIBB CO</t>
  </si>
  <si>
    <t>BMY^</t>
  </si>
  <si>
    <t>BRISTOL-MYERS SQUIBB-CVR</t>
  </si>
  <si>
    <t>BND</t>
  </si>
  <si>
    <t>VANGUARD TOTAL BOND MARKET</t>
  </si>
  <si>
    <t>BNDC</t>
  </si>
  <si>
    <t>FLEXSHARES CORE SELECT BOND</t>
  </si>
  <si>
    <t>BNDW</t>
  </si>
  <si>
    <t>VANGUARD TOTAL WORLD BOND ET</t>
  </si>
  <si>
    <t>BNDX</t>
  </si>
  <si>
    <t>VANGUARD TOTAL INTL BOND ETF</t>
  </si>
  <si>
    <t>BNED</t>
  </si>
  <si>
    <t>BARNES &amp; NOBLE EDUCATION INC</t>
  </si>
  <si>
    <t>BNFT</t>
  </si>
  <si>
    <t>BENEFITFOCUS INC</t>
  </si>
  <si>
    <t>BNGO</t>
  </si>
  <si>
    <t>BIONANO GENOMICS INC</t>
  </si>
  <si>
    <t>BNGOW</t>
  </si>
  <si>
    <t>BNKD</t>
  </si>
  <si>
    <t>MICROSECTORS US BIG BANK -3X</t>
  </si>
  <si>
    <t>BNKO</t>
  </si>
  <si>
    <t>MICROSECTORS US BIG BANK 2X</t>
  </si>
  <si>
    <t>BNKU</t>
  </si>
  <si>
    <t>MICROSECTORS US BIG BANKS 3X</t>
  </si>
  <si>
    <t>BNKZ</t>
  </si>
  <si>
    <t>MICROSECTORS US BIG BANK -2X</t>
  </si>
  <si>
    <t>BNO</t>
  </si>
  <si>
    <t>UNITED STATES BRENT OIL FUND</t>
  </si>
  <si>
    <t>BNOV</t>
  </si>
  <si>
    <t>INNOVATOR S&amp;P 500 BUFFER-NOV</t>
  </si>
  <si>
    <t>BNR</t>
  </si>
  <si>
    <t>BURNING ROCK BIOTECH LTD-ADR</t>
  </si>
  <si>
    <t>BNS</t>
  </si>
  <si>
    <t>BANK OF NOVA SCOTIA</t>
  </si>
  <si>
    <t>BNSO</t>
  </si>
  <si>
    <t>BONSO ELECTRONICS INTL INC</t>
  </si>
  <si>
    <t>BNTC</t>
  </si>
  <si>
    <t>BENITEC BIOPHARMA INC</t>
  </si>
  <si>
    <t>BNTX</t>
  </si>
  <si>
    <t>BIONTECH SE-ADR</t>
  </si>
  <si>
    <t>BNY</t>
  </si>
  <si>
    <t>BLACKROCK NEW YORK MUNI INC</t>
  </si>
  <si>
    <t>BOCH</t>
  </si>
  <si>
    <t>BANK OF COMMERCE HOLDINGS</t>
  </si>
  <si>
    <t>BOCT</t>
  </si>
  <si>
    <t>INNOVATOR S&amp;P 500 BUFFER OCT</t>
  </si>
  <si>
    <t>BOE</t>
  </si>
  <si>
    <t>BLACKROCK ENHANCED GLOBAL DI</t>
  </si>
  <si>
    <t>BOH</t>
  </si>
  <si>
    <t>BANK OF HAWAII CORP</t>
  </si>
  <si>
    <t>BOIL</t>
  </si>
  <si>
    <t>PROSHARES ULTRA BLOOMBERG NA</t>
  </si>
  <si>
    <t>BOKF</t>
  </si>
  <si>
    <t>BOK FINANCIAL CORPORATION</t>
  </si>
  <si>
    <t>BOKFL</t>
  </si>
  <si>
    <t>BOMN</t>
  </si>
  <si>
    <t>BOSTON OMAHA CORP-CL A</t>
  </si>
  <si>
    <t>BOND</t>
  </si>
  <si>
    <t>PIMCO ACTIVE BOND EXCHANGE-T</t>
  </si>
  <si>
    <t>BOOM</t>
  </si>
  <si>
    <t>DMC GLOBAL INC</t>
  </si>
  <si>
    <t>BOOT</t>
  </si>
  <si>
    <t>BOOT BARN HOLDINGS INC</t>
  </si>
  <si>
    <t>BORR</t>
  </si>
  <si>
    <t>BORR DRILLING LTD</t>
  </si>
  <si>
    <t>BOSC</t>
  </si>
  <si>
    <t>BOS BETTER ON-LINE SOLUTIONS</t>
  </si>
  <si>
    <t>BOSS</t>
  </si>
  <si>
    <t>GLOBAL X FOUNDER-RUN COMPANI</t>
  </si>
  <si>
    <t>BOTJ</t>
  </si>
  <si>
    <t>BANK OF THE JAMES FINANCIAL</t>
  </si>
  <si>
    <t>BOTZ</t>
  </si>
  <si>
    <t>GLOBAL X ROBOTICS &amp; ARTIFICI</t>
  </si>
  <si>
    <t>BOUT</t>
  </si>
  <si>
    <t>INNOVATOR IBD BREAKOUT OPPS</t>
  </si>
  <si>
    <t>BOWXU</t>
  </si>
  <si>
    <t>BOWX ACQUISITION CORP</t>
  </si>
  <si>
    <t>BOX</t>
  </si>
  <si>
    <t>BOX INC - CLASS A</t>
  </si>
  <si>
    <t>BOXL</t>
  </si>
  <si>
    <t>BOXLIGHT CORP - CLASS A</t>
  </si>
  <si>
    <t>BP</t>
  </si>
  <si>
    <t>BP PLC-SPONS ADR</t>
  </si>
  <si>
    <t>BPFH</t>
  </si>
  <si>
    <t>BOSTON PRIVATE FINL HOLDING</t>
  </si>
  <si>
    <t>BPMC</t>
  </si>
  <si>
    <t>BLUEPRINT MEDICINES CORP</t>
  </si>
  <si>
    <t>BPMP</t>
  </si>
  <si>
    <t>BP MIDSTREAM PARTNERS LP</t>
  </si>
  <si>
    <t>BPOP</t>
  </si>
  <si>
    <t>POPULAR INC</t>
  </si>
  <si>
    <t>BPOPM</t>
  </si>
  <si>
    <t>BPOPN</t>
  </si>
  <si>
    <t>BPRN</t>
  </si>
  <si>
    <t>THE BANK OF PRINCETON</t>
  </si>
  <si>
    <t>BPT</t>
  </si>
  <si>
    <t>BP PRUDHOE BAY ROYALTY TRUST</t>
  </si>
  <si>
    <t>BPTH</t>
  </si>
  <si>
    <t>BIO-PATH HOLDINGS INC</t>
  </si>
  <si>
    <t>BPY</t>
  </si>
  <si>
    <t>BROOKFIELD PROPERTY PARTNERS</t>
  </si>
  <si>
    <t>BPYPN</t>
  </si>
  <si>
    <t>BPYPO</t>
  </si>
  <si>
    <t>BPYPP</t>
  </si>
  <si>
    <t>BPYU</t>
  </si>
  <si>
    <t>BROOKFIELD PROPERTY REIT I-A</t>
  </si>
  <si>
    <t>BPYUP</t>
  </si>
  <si>
    <t>BQH</t>
  </si>
  <si>
    <t>BLACKROCK NEW YORK MUNI BOND</t>
  </si>
  <si>
    <t>BR</t>
  </si>
  <si>
    <t>BROADRIDGE FINANCIAL SOLUTIO</t>
  </si>
  <si>
    <t>BRBR</t>
  </si>
  <si>
    <t>BELLRING BRANDS INC-CLASS A</t>
  </si>
  <si>
    <t>BRBS</t>
  </si>
  <si>
    <t>BLUE RIDGE BANKSHARES INC</t>
  </si>
  <si>
    <t>BRC</t>
  </si>
  <si>
    <t>BRADY CORPORATION - CL A</t>
  </si>
  <si>
    <t>BREW</t>
  </si>
  <si>
    <t>CRAFT BREW ALLIANCE INC</t>
  </si>
  <si>
    <t>BRF</t>
  </si>
  <si>
    <t>VANECK BRAZIL SMALL-CAP</t>
  </si>
  <si>
    <t>BRFS</t>
  </si>
  <si>
    <t>BRF SA-ADR</t>
  </si>
  <si>
    <t>BRG</t>
  </si>
  <si>
    <t>BLUEROCK RESIDENTIAL GROWTH</t>
  </si>
  <si>
    <t>BRG-A</t>
  </si>
  <si>
    <t>BRG-C</t>
  </si>
  <si>
    <t>BRG-D</t>
  </si>
  <si>
    <t>BRID</t>
  </si>
  <si>
    <t>BRIDGFORD FOODS CORP</t>
  </si>
  <si>
    <t>BRK.A</t>
  </si>
  <si>
    <t>BERKSHIRE HATHAWAY INC-CL A</t>
  </si>
  <si>
    <t>BRK.B</t>
  </si>
  <si>
    <t>BERKSHIRE HATHAWAY INC-CL B</t>
  </si>
  <si>
    <t>BRKL</t>
  </si>
  <si>
    <t>BROOKLINE BANCORP INC</t>
  </si>
  <si>
    <t>BRKR</t>
  </si>
  <si>
    <t>BRUKER CORP</t>
  </si>
  <si>
    <t>BRKS</t>
  </si>
  <si>
    <t>BROOKS AUTOMATION INC</t>
  </si>
  <si>
    <t>BRLI</t>
  </si>
  <si>
    <t>BRILLIANT ACQUISITION CORP</t>
  </si>
  <si>
    <t>BRLIR</t>
  </si>
  <si>
    <t>BRILLIANT ACQUISITION - RTS</t>
  </si>
  <si>
    <t>BRLIU</t>
  </si>
  <si>
    <t>BRLIW</t>
  </si>
  <si>
    <t>BRMK</t>
  </si>
  <si>
    <t>BROADMARK REALTY CAPITAL INC</t>
  </si>
  <si>
    <t>BRMK+</t>
  </si>
  <si>
    <t>BRN</t>
  </si>
  <si>
    <t>BARNWELL INDUSTRIES INC</t>
  </si>
  <si>
    <t>BRO</t>
  </si>
  <si>
    <t>BROWN &amp; BROWN INC</t>
  </si>
  <si>
    <t>BROG</t>
  </si>
  <si>
    <t>BROOGE ENERGY LTD</t>
  </si>
  <si>
    <t>BROGW</t>
  </si>
  <si>
    <t>BRP</t>
  </si>
  <si>
    <t>BRP GROUP INC-A</t>
  </si>
  <si>
    <t>BRPA</t>
  </si>
  <si>
    <t>BIG ROCK PARTNERS ACQUISITIO</t>
  </si>
  <si>
    <t>BRPAR</t>
  </si>
  <si>
    <t>BIG ROCK PARTNERS ACQUIS-RTS</t>
  </si>
  <si>
    <t>BRPAU</t>
  </si>
  <si>
    <t>BRPAW</t>
  </si>
  <si>
    <t>BRQS</t>
  </si>
  <si>
    <t>BORQS TECHNOLOGIES INC</t>
  </si>
  <si>
    <t>BRT</t>
  </si>
  <si>
    <t>BRT APARTMENTS CORP</t>
  </si>
  <si>
    <t>BRX</t>
  </si>
  <si>
    <t>BRIXMOR PROPERTY GROUP INC</t>
  </si>
  <si>
    <t>BRY</t>
  </si>
  <si>
    <t>BERRY CORP</t>
  </si>
  <si>
    <t>BRZU</t>
  </si>
  <si>
    <t>DIREXION DAILY MSCI BRAZIL B</t>
  </si>
  <si>
    <t>BSA</t>
  </si>
  <si>
    <t>BSAC</t>
  </si>
  <si>
    <t>BANCO SANTANDER-CHILE-ADR</t>
  </si>
  <si>
    <t>BSAE</t>
  </si>
  <si>
    <t>INVESCO 2021 USD EM MKT DEBT</t>
  </si>
  <si>
    <t>BSBE</t>
  </si>
  <si>
    <t>INVESCO 2022 USD EM MKT DEBT</t>
  </si>
  <si>
    <t>BSBK</t>
  </si>
  <si>
    <t>BOGOTA FINANCIAL CORP</t>
  </si>
  <si>
    <t>BSBR</t>
  </si>
  <si>
    <t>BANCO SANTANDER BRASIL-ADS</t>
  </si>
  <si>
    <t>BSCE</t>
  </si>
  <si>
    <t>INVESCO 2023 USD EM MKT DEBT</t>
  </si>
  <si>
    <t>BSCK</t>
  </si>
  <si>
    <t>INVESCO BULLETSHARES 2020 CO</t>
  </si>
  <si>
    <t>BSCL</t>
  </si>
  <si>
    <t>INVESCO BULLETSHARES 2021 CO</t>
  </si>
  <si>
    <t>BSCM</t>
  </si>
  <si>
    <t>INVESCO BULLETSHARES 2022 CO</t>
  </si>
  <si>
    <t>BSCN</t>
  </si>
  <si>
    <t>INVESCO BULLETSHARES 2023 CO</t>
  </si>
  <si>
    <t>BSCO</t>
  </si>
  <si>
    <t>INVESCO BULLETSHARES 2024 CO</t>
  </si>
  <si>
    <t>BSCP</t>
  </si>
  <si>
    <t>INVESCO BULLETSHARES 2025 CO</t>
  </si>
  <si>
    <t>BSCQ</t>
  </si>
  <si>
    <t>INVESCO BULLETSHARES 2026 CO</t>
  </si>
  <si>
    <t>BSCR</t>
  </si>
  <si>
    <t>INVESCO BULLETSHARES 2027 CO</t>
  </si>
  <si>
    <t>BSCS</t>
  </si>
  <si>
    <t>INVESCO BULLETSHARES 2028</t>
  </si>
  <si>
    <t>BSCT</t>
  </si>
  <si>
    <t>INVESCO BULLETSHARES 2029 CO</t>
  </si>
  <si>
    <t>BSD</t>
  </si>
  <si>
    <t>BLACKROCK STRATEGIC MUNICIPL</t>
  </si>
  <si>
    <t>BSDE</t>
  </si>
  <si>
    <t>INVESCO 2024 USD EM MKT DEBT</t>
  </si>
  <si>
    <t>BSE</t>
  </si>
  <si>
    <t>BLACKROCK NEW YORK MUNICIPAL</t>
  </si>
  <si>
    <t>BSEP</t>
  </si>
  <si>
    <t>INNOVATOR S&amp;P 500 BUFFER SEP</t>
  </si>
  <si>
    <t>BSET</t>
  </si>
  <si>
    <t>BASSETT FURNITURE INDS</t>
  </si>
  <si>
    <t>BSGM</t>
  </si>
  <si>
    <t>BIOSIG TECHNOLOGIES INC</t>
  </si>
  <si>
    <t>BSIG</t>
  </si>
  <si>
    <t>BRIGHTSPHERE INVESTMENT GROU</t>
  </si>
  <si>
    <t>BSJK</t>
  </si>
  <si>
    <t>INVESCO BULLETSHARES 2020 HI</t>
  </si>
  <si>
    <t>BSJL</t>
  </si>
  <si>
    <t>INVESCO BULLETSHARES 2021 HI</t>
  </si>
  <si>
    <t>BSJM</t>
  </si>
  <si>
    <t>INVESCO BULLETSHARES 2022 HI</t>
  </si>
  <si>
    <t>BSJN</t>
  </si>
  <si>
    <t>INVESCO BULLETSHARES 2023 HI</t>
  </si>
  <si>
    <t>BSJO</t>
  </si>
  <si>
    <t>INVESCO BULLETSHARES 2024 HI</t>
  </si>
  <si>
    <t>BSJP</t>
  </si>
  <si>
    <t>INVESCO BULLETSHARES 2025 HI</t>
  </si>
  <si>
    <t>BSJQ</t>
  </si>
  <si>
    <t>INVESCO BULLETSHARES 2026 HI</t>
  </si>
  <si>
    <t>BSJR</t>
  </si>
  <si>
    <t>INVESCO BULLETSHARES 2027 HI</t>
  </si>
  <si>
    <t>BSL</t>
  </si>
  <si>
    <t>BLACKSTONE/GSO SENIOR FLOAT</t>
  </si>
  <si>
    <t>BSM</t>
  </si>
  <si>
    <t>BLACK STONE MINERALS LP</t>
  </si>
  <si>
    <t>BSML</t>
  </si>
  <si>
    <t>INVESCO BULLETSHARES 2021 MU</t>
  </si>
  <si>
    <t>BSMM</t>
  </si>
  <si>
    <t>INVESCO BULLETSHARES 2022 MU</t>
  </si>
  <si>
    <t>BSMN</t>
  </si>
  <si>
    <t>INVESCO BULLETSHARES 2023 MU</t>
  </si>
  <si>
    <t>BSMO</t>
  </si>
  <si>
    <t>INVESCO BULLETSHARES 2024 MU</t>
  </si>
  <si>
    <t>BSMP</t>
  </si>
  <si>
    <t>INVESCO BULLETSHARES 2025 MU</t>
  </si>
  <si>
    <t>BSMQ</t>
  </si>
  <si>
    <t>INVESCO BULLETSHARES 2026 MU</t>
  </si>
  <si>
    <t>BSMR</t>
  </si>
  <si>
    <t>INVESCO BULLETSHARES 2027 MU</t>
  </si>
  <si>
    <t>BSMS</t>
  </si>
  <si>
    <t>INVESCO BULLETSHARES 2028 MU</t>
  </si>
  <si>
    <t>BSMT</t>
  </si>
  <si>
    <t>INVESCO BULLETSHARES 2029 MU</t>
  </si>
  <si>
    <t>BSMX</t>
  </si>
  <si>
    <t>BANCO SANTANDER MEXICO -ADR</t>
  </si>
  <si>
    <t>BSQR</t>
  </si>
  <si>
    <t>BSQUARE CORP</t>
  </si>
  <si>
    <t>BSRR</t>
  </si>
  <si>
    <t>SIERRA BANCORP</t>
  </si>
  <si>
    <t>BST</t>
  </si>
  <si>
    <t>BLACKROCK SCIENCE &amp; TECH TR</t>
  </si>
  <si>
    <t>BSTC</t>
  </si>
  <si>
    <t>BIOSPECIFICS TECHNOLOGIES</t>
  </si>
  <si>
    <t>BSTZ</t>
  </si>
  <si>
    <t>BLACKROCK SCIENCE &amp; TECH II</t>
  </si>
  <si>
    <t>BSV</t>
  </si>
  <si>
    <t>VANGUARD SHORT-TERM BOND ETF</t>
  </si>
  <si>
    <t>BSVN</t>
  </si>
  <si>
    <t>BANK7 CORP</t>
  </si>
  <si>
    <t>BSX</t>
  </si>
  <si>
    <t>BOSTON SCIENTIFIC CORP</t>
  </si>
  <si>
    <t>BSX-A</t>
  </si>
  <si>
    <t>BTA</t>
  </si>
  <si>
    <t>BLACKROCK LNG-TM MUN ADV TST</t>
  </si>
  <si>
    <t>BTAI</t>
  </si>
  <si>
    <t>BIOXCEL THERAPEUTICS INC</t>
  </si>
  <si>
    <t>BTAL</t>
  </si>
  <si>
    <t>AGFIQ US MARKET NEUTRAL ANTI</t>
  </si>
  <si>
    <t>BTAQU</t>
  </si>
  <si>
    <t>BURGUNDY TECHNOLOGY ACQUISIT</t>
  </si>
  <si>
    <t>BTBT</t>
  </si>
  <si>
    <t>GOLDEN BULL LTD</t>
  </si>
  <si>
    <t>BTE</t>
  </si>
  <si>
    <t>BAYTEX ENERGY CORP</t>
  </si>
  <si>
    <t>BTEC</t>
  </si>
  <si>
    <t>PRINCIPAL HEALTHCARE INNOV</t>
  </si>
  <si>
    <t>BTG</t>
  </si>
  <si>
    <t>B2GOLD CORP</t>
  </si>
  <si>
    <t>BTI</t>
  </si>
  <si>
    <t>BRITISH AMERICAN TOB-SP ADR</t>
  </si>
  <si>
    <t>BTN</t>
  </si>
  <si>
    <t>BALLANTYNE STRONG INC</t>
  </si>
  <si>
    <t>BTO</t>
  </si>
  <si>
    <t>JOHN HANCOCK FINANCIAL OPPOR</t>
  </si>
  <si>
    <t>BTT</t>
  </si>
  <si>
    <t>BLACKROCK MUNICIPAL 2030 TAR</t>
  </si>
  <si>
    <t>BTU</t>
  </si>
  <si>
    <t>PEABODY ENERGY CORP</t>
  </si>
  <si>
    <t>BTYS</t>
  </si>
  <si>
    <t>IPATH SERIES B US TREASURY</t>
  </si>
  <si>
    <t>BTZ</t>
  </si>
  <si>
    <t>BLACKROCK CREDIT ALLOCATION</t>
  </si>
  <si>
    <t>BUD</t>
  </si>
  <si>
    <t>ANHEUSER-BUSCH INBEV-SPN ADR</t>
  </si>
  <si>
    <t>BUFF</t>
  </si>
  <si>
    <t>INNOVATOR LADDERED FUND OF S</t>
  </si>
  <si>
    <t>BUFR</t>
  </si>
  <si>
    <t>FT CBOE VEST FUND OF BUFFER</t>
  </si>
  <si>
    <t>BUG</t>
  </si>
  <si>
    <t>GLOBAL X CYBERSECURITY ETF</t>
  </si>
  <si>
    <t>BUI</t>
  </si>
  <si>
    <t>BLCKRCK UTIL INFRA &amp; PWR OPP</t>
  </si>
  <si>
    <t>BUL</t>
  </si>
  <si>
    <t>PACER US CASH COWS GROWTH</t>
  </si>
  <si>
    <t>BURL</t>
  </si>
  <si>
    <t>BURLINGTON STORES INC</t>
  </si>
  <si>
    <t>BUSE</t>
  </si>
  <si>
    <t>FIRST BUSEY CORP</t>
  </si>
  <si>
    <t>BUY</t>
  </si>
  <si>
    <t>USCF SUMMERHAVEN SHPEI IN FD</t>
  </si>
  <si>
    <t>BUYZ</t>
  </si>
  <si>
    <t>FRANKLIN DISRUPTIVE COMMERCE</t>
  </si>
  <si>
    <t>BV</t>
  </si>
  <si>
    <t>BRIGHTVIEW HOLDINGS INC</t>
  </si>
  <si>
    <t>BVN</t>
  </si>
  <si>
    <t>CIA DE MINAS BUENAVENTUR-ADR</t>
  </si>
  <si>
    <t>BVXV</t>
  </si>
  <si>
    <t>BIONDVAX PHARMACEUTICALS-ADR</t>
  </si>
  <si>
    <t>BW</t>
  </si>
  <si>
    <t>BABCOCK &amp; WILCOX ENTERPR</t>
  </si>
  <si>
    <t>BWA</t>
  </si>
  <si>
    <t>BORGWARNER INC</t>
  </si>
  <si>
    <t>BWAY</t>
  </si>
  <si>
    <t>BRAINSWAY LTD-ADR</t>
  </si>
  <si>
    <t>BWB</t>
  </si>
  <si>
    <t>BRIDGEWATER BANCSHARES INC</t>
  </si>
  <si>
    <t>BWEN</t>
  </si>
  <si>
    <t>BROADWIND INC</t>
  </si>
  <si>
    <t>BWFG</t>
  </si>
  <si>
    <t>BANKWELL FINANCIAL GROUP INC</t>
  </si>
  <si>
    <t>BWG</t>
  </si>
  <si>
    <t>BRANDYWINEGLOBAL GLOBAL INCO</t>
  </si>
  <si>
    <t>BWL.A</t>
  </si>
  <si>
    <t>BOWL AMERICA INC-CLASS A</t>
  </si>
  <si>
    <t>BWMX</t>
  </si>
  <si>
    <t>BETTERWARE DE MEXICO SAPI DE</t>
  </si>
  <si>
    <t>BWX</t>
  </si>
  <si>
    <t>SPDR BBG BARC INTL TREASURY</t>
  </si>
  <si>
    <t>BWXT</t>
  </si>
  <si>
    <t>BWX TECHNOLOGIES INC</t>
  </si>
  <si>
    <t>BWZ</t>
  </si>
  <si>
    <t>SPDR BBG BARC ST INTL TREAS</t>
  </si>
  <si>
    <t>BX</t>
  </si>
  <si>
    <t>BLACKSTONE GROUP INC/THE-A</t>
  </si>
  <si>
    <t>BXC</t>
  </si>
  <si>
    <t>BLUELINX HOLDINGS INC</t>
  </si>
  <si>
    <t>BXG</t>
  </si>
  <si>
    <t>BLUEGREEN VACATIONS CORP</t>
  </si>
  <si>
    <t>BXMT</t>
  </si>
  <si>
    <t>BLACKSTONE MORTGAGE TRU-CL A</t>
  </si>
  <si>
    <t>BXMX</t>
  </si>
  <si>
    <t>NUVEEN S&amp;P500 BUY-WRT INC FD</t>
  </si>
  <si>
    <t>BXP</t>
  </si>
  <si>
    <t>BOSTON PROPERTIES INC</t>
  </si>
  <si>
    <t>BXP-B</t>
  </si>
  <si>
    <t>BXRX</t>
  </si>
  <si>
    <t>BAUDAX BIO INC</t>
  </si>
  <si>
    <t>BXS</t>
  </si>
  <si>
    <t>BANCORPSOUTH BANK</t>
  </si>
  <si>
    <t>BXS-A</t>
  </si>
  <si>
    <t>BY</t>
  </si>
  <si>
    <t>BYLINE BANCORP INC</t>
  </si>
  <si>
    <t>BYD</t>
  </si>
  <si>
    <t>BOYD GAMING CORP</t>
  </si>
  <si>
    <t>BYFC</t>
  </si>
  <si>
    <t>BROADWAY FINANCIAL CORP/DE</t>
  </si>
  <si>
    <t>BYLD</t>
  </si>
  <si>
    <t>ISHARES YIELD OPTIMIZED BOND</t>
  </si>
  <si>
    <t>BYM</t>
  </si>
  <si>
    <t>BLACKROCK MUNICIPAL INCOME Q</t>
  </si>
  <si>
    <t>BYND</t>
  </si>
  <si>
    <t>BEYOND MEAT INC</t>
  </si>
  <si>
    <t>BYSI</t>
  </si>
  <si>
    <t>BEYONDSPRING INC</t>
  </si>
  <si>
    <t>BZH</t>
  </si>
  <si>
    <t>BEAZER HOMES USA INC</t>
  </si>
  <si>
    <t>BZM</t>
  </si>
  <si>
    <t>BLACKROCK MARYLAND MUNI BOND</t>
  </si>
  <si>
    <t>BZQ</t>
  </si>
  <si>
    <t>PROSHARES ULTRASHORT MSCI BR</t>
  </si>
  <si>
    <t>BZUN</t>
  </si>
  <si>
    <t>BAOZUN INC-SPN ADR</t>
  </si>
  <si>
    <t>C</t>
  </si>
  <si>
    <t>CITIGROUP INC</t>
  </si>
  <si>
    <t>C-J</t>
  </si>
  <si>
    <t>C-K</t>
  </si>
  <si>
    <t>C-N</t>
  </si>
  <si>
    <t>C-S</t>
  </si>
  <si>
    <t>CAAP</t>
  </si>
  <si>
    <t>CORP AMERICA AIRPORTS SA</t>
  </si>
  <si>
    <t>CAAS</t>
  </si>
  <si>
    <t>CHINA AUTOMOTIVE SYSTEMS INC</t>
  </si>
  <si>
    <t>CABA</t>
  </si>
  <si>
    <t>CABALETTA BIO INC</t>
  </si>
  <si>
    <t>CABO</t>
  </si>
  <si>
    <t>CABLE ONE INC</t>
  </si>
  <si>
    <t>CAC</t>
  </si>
  <si>
    <t>CAMDEN NATIONAL CORP</t>
  </si>
  <si>
    <t>CACC</t>
  </si>
  <si>
    <t>CREDIT ACCEPTANCE CORP</t>
  </si>
  <si>
    <t>CACG</t>
  </si>
  <si>
    <t>CLEARBRIDGE ALLCAP GRWTH ETF</t>
  </si>
  <si>
    <t>CACI</t>
  </si>
  <si>
    <t>CACI INTERNATIONAL INC -CL A</t>
  </si>
  <si>
    <t>CADE</t>
  </si>
  <si>
    <t>CADENCE BANCORP</t>
  </si>
  <si>
    <t>CAE</t>
  </si>
  <si>
    <t>CAE INC</t>
  </si>
  <si>
    <t>CAF</t>
  </si>
  <si>
    <t>MORGAN STANLEY CHINA A SHARE</t>
  </si>
  <si>
    <t>CAG</t>
  </si>
  <si>
    <t>CONAGRA BRANDS INC</t>
  </si>
  <si>
    <t>CAH</t>
  </si>
  <si>
    <t>CARDINAL HEALTH INC</t>
  </si>
  <si>
    <t>CAI</t>
  </si>
  <si>
    <t>CAI INTERNATIONAL INC</t>
  </si>
  <si>
    <t>CAI-A</t>
  </si>
  <si>
    <t>CAI-B</t>
  </si>
  <si>
    <t>CAJ</t>
  </si>
  <si>
    <t>CANON INC-SPONS ADR</t>
  </si>
  <si>
    <t>CAKE</t>
  </si>
  <si>
    <t>CHEESECAKE FACTORY INC/THE</t>
  </si>
  <si>
    <t>CAL</t>
  </si>
  <si>
    <t>CALERES INC</t>
  </si>
  <si>
    <t>CALA</t>
  </si>
  <si>
    <t>CALITHERA BIOSCIENCES INC</t>
  </si>
  <si>
    <t>CALB</t>
  </si>
  <si>
    <t>CALIFORNIA BANCORP INC</t>
  </si>
  <si>
    <t>CALF</t>
  </si>
  <si>
    <t>PACER US SMALL CAP CASH COWS</t>
  </si>
  <si>
    <t>CALM</t>
  </si>
  <si>
    <t>CAL-MAINE FOODS INC</t>
  </si>
  <si>
    <t>CALT</t>
  </si>
  <si>
    <t>CALLIDITAS THERAPEUTICS-ADR</t>
  </si>
  <si>
    <t>CALX</t>
  </si>
  <si>
    <t>CALIX INC</t>
  </si>
  <si>
    <t>CAMP</t>
  </si>
  <si>
    <t>CALAMP CORP</t>
  </si>
  <si>
    <t>CAMT</t>
  </si>
  <si>
    <t>CAMTEK LTD</t>
  </si>
  <si>
    <t>CAN</t>
  </si>
  <si>
    <t>CANAAN INC</t>
  </si>
  <si>
    <t>CANE</t>
  </si>
  <si>
    <t>TEUCRIUM SUGAR FUND</t>
  </si>
  <si>
    <t>CANF</t>
  </si>
  <si>
    <t>CAN FITE BIOPHARMA LTD-ADR</t>
  </si>
  <si>
    <t>CANG</t>
  </si>
  <si>
    <t>CANGO INC/KY - ADR</t>
  </si>
  <si>
    <t>CAPAU</t>
  </si>
  <si>
    <t>HIGHCAPE CAPITAL ACQUISITION</t>
  </si>
  <si>
    <t>CAPE</t>
  </si>
  <si>
    <t>IPATH SHILLER CAPE ETN</t>
  </si>
  <si>
    <t>CAPL</t>
  </si>
  <si>
    <t>CROSSAMERICA PARTNERS LP</t>
  </si>
  <si>
    <t>CAPR</t>
  </si>
  <si>
    <t>CAPRICOR THERAPEUTICS INC</t>
  </si>
  <si>
    <t>CAR</t>
  </si>
  <si>
    <t>AVIS BUDGET GROUP INC</t>
  </si>
  <si>
    <t>CARA</t>
  </si>
  <si>
    <t>CARA THERAPEUTICS INC</t>
  </si>
  <si>
    <t>CARE</t>
  </si>
  <si>
    <t>CARTER BANK &amp; TRUST</t>
  </si>
  <si>
    <t>CARG</t>
  </si>
  <si>
    <t>CARGURUS INC</t>
  </si>
  <si>
    <t>CARR</t>
  </si>
  <si>
    <t>CARRIER GLOBAL CORP</t>
  </si>
  <si>
    <t>CARS</t>
  </si>
  <si>
    <t>CARS.COM INC</t>
  </si>
  <si>
    <t>CARV</t>
  </si>
  <si>
    <t>CARVER BANCORP INC</t>
  </si>
  <si>
    <t>CARZ</t>
  </si>
  <si>
    <t>FIRST TRUST NASDAQ GLOBAL AU</t>
  </si>
  <si>
    <t>CASA</t>
  </si>
  <si>
    <t>CASA SYSTEMS INC</t>
  </si>
  <si>
    <t>CASH</t>
  </si>
  <si>
    <t>META FINANCIAL GROUP INC</t>
  </si>
  <si>
    <t>CASI</t>
  </si>
  <si>
    <t>CASI PHARMACEUTICALS INC</t>
  </si>
  <si>
    <t>CASS</t>
  </si>
  <si>
    <t>CASS INFORMATION SYSTEMS INC</t>
  </si>
  <si>
    <t>CASY</t>
  </si>
  <si>
    <t>CASEY'S GENERAL STORES INC</t>
  </si>
  <si>
    <t>CAT</t>
  </si>
  <si>
    <t>CATERPILLAR INC</t>
  </si>
  <si>
    <t>CATB</t>
  </si>
  <si>
    <t>CATABASIS PHARMACEUTICALS IN</t>
  </si>
  <si>
    <t>CATC</t>
  </si>
  <si>
    <t>CAMBRIDGE BANCORP</t>
  </si>
  <si>
    <t>CATH</t>
  </si>
  <si>
    <t>GLOBAL X S&amp;P 500 CA VAL ETF</t>
  </si>
  <si>
    <t>CATM</t>
  </si>
  <si>
    <t>CARDTRONICS PLC - A</t>
  </si>
  <si>
    <t>CATO</t>
  </si>
  <si>
    <t>CATO CORP-CLASS A</t>
  </si>
  <si>
    <t>CATY</t>
  </si>
  <si>
    <t>CATHAY GENERAL BANCORP</t>
  </si>
  <si>
    <t>CB</t>
  </si>
  <si>
    <t>CHUBB LTD</t>
  </si>
  <si>
    <t>CBAN</t>
  </si>
  <si>
    <t>COLONY BANKCORP</t>
  </si>
  <si>
    <t>CBAT</t>
  </si>
  <si>
    <t>CBAK ENERGY TECHNOLOGY INC</t>
  </si>
  <si>
    <t>CBAY</t>
  </si>
  <si>
    <t>CYMABAY THERAPEUTICS INC</t>
  </si>
  <si>
    <t>CBB</t>
  </si>
  <si>
    <t>CINCINNATI BELL INC</t>
  </si>
  <si>
    <t>CBB-B</t>
  </si>
  <si>
    <t>CBD</t>
  </si>
  <si>
    <t>CIA BRASILEIRA DE DIS- ADR</t>
  </si>
  <si>
    <t>CBFV</t>
  </si>
  <si>
    <t>CB FINANCIAL SERVICES INC</t>
  </si>
  <si>
    <t>CBH</t>
  </si>
  <si>
    <t>ALLIANZGI CONVERTIBLE &amp; INCO</t>
  </si>
  <si>
    <t>CBIO</t>
  </si>
  <si>
    <t>CATALYST BIOSCIENCES INC</t>
  </si>
  <si>
    <t>CBL</t>
  </si>
  <si>
    <t>CBL &amp; ASSOCIATES PROPERTIES</t>
  </si>
  <si>
    <t>CBL-D</t>
  </si>
  <si>
    <t>CBL-E</t>
  </si>
  <si>
    <t>CBLI</t>
  </si>
  <si>
    <t>CLEVELAND BIOLABS INC</t>
  </si>
  <si>
    <t>CBMB</t>
  </si>
  <si>
    <t>CBM BANCORP INC</t>
  </si>
  <si>
    <t>CBMG</t>
  </si>
  <si>
    <t>CELLULAR BIOMEDICINE GROUP I</t>
  </si>
  <si>
    <t>CBNK</t>
  </si>
  <si>
    <t>CAPITAL BANCORP INC/MD</t>
  </si>
  <si>
    <t>CBO</t>
  </si>
  <si>
    <t>CBOE</t>
  </si>
  <si>
    <t>CBOE GLOBAL MARKETS INC</t>
  </si>
  <si>
    <t>CBON</t>
  </si>
  <si>
    <t>VANECK CAMC CHINA BOND</t>
  </si>
  <si>
    <t>CBPO</t>
  </si>
  <si>
    <t>CHINA BIOLOGIC PRODUCTS HOLD</t>
  </si>
  <si>
    <t>CBRE</t>
  </si>
  <si>
    <t>CBRE GROUP INC - A</t>
  </si>
  <si>
    <t>CBRL</t>
  </si>
  <si>
    <t>CRACKER BARREL OLD COUNTRY</t>
  </si>
  <si>
    <t>CBSH</t>
  </si>
  <si>
    <t>COMMERCE BANCSHARES INC</t>
  </si>
  <si>
    <t>CBT</t>
  </si>
  <si>
    <t>CABOT CORP</t>
  </si>
  <si>
    <t>CBTX</t>
  </si>
  <si>
    <t>CBTX INC</t>
  </si>
  <si>
    <t>CBU</t>
  </si>
  <si>
    <t>COMMUNITY BANK SYSTEM INC</t>
  </si>
  <si>
    <t>CBX</t>
  </si>
  <si>
    <t>CBZ</t>
  </si>
  <si>
    <t>CBIZ INC</t>
  </si>
  <si>
    <t>CC</t>
  </si>
  <si>
    <t>CHEMOURS CO/THE</t>
  </si>
  <si>
    <t>CCAC</t>
  </si>
  <si>
    <t>CITIC CAPITAL ACQUISITION-A</t>
  </si>
  <si>
    <t>CCAC+</t>
  </si>
  <si>
    <t>CCAC=</t>
  </si>
  <si>
    <t>CITIC CAPITAL ACQUISITION</t>
  </si>
  <si>
    <t>CCAP</t>
  </si>
  <si>
    <t>CRESCENT CAPITAL BDC INC</t>
  </si>
  <si>
    <t>CCB</t>
  </si>
  <si>
    <t>COASTAL FINANCIAL CORP/WA</t>
  </si>
  <si>
    <t>CCBG</t>
  </si>
  <si>
    <t>CAPITAL CITY BANK GROUP INC</t>
  </si>
  <si>
    <t>CCC</t>
  </si>
  <si>
    <t>CLARIVATE PLC</t>
  </si>
  <si>
    <t>CCCL</t>
  </si>
  <si>
    <t>CHINA CERAMICS CO LTD</t>
  </si>
  <si>
    <t>CCD</t>
  </si>
  <si>
    <t>CALAMOS DYNAMIC CONVERTIBLE</t>
  </si>
  <si>
    <t>CCEP</t>
  </si>
  <si>
    <t>COCA-COLA EUROPEAN PARTNERS</t>
  </si>
  <si>
    <t>CCF</t>
  </si>
  <si>
    <t>CHASE CORP</t>
  </si>
  <si>
    <t>CCI</t>
  </si>
  <si>
    <t>CROWN CASTLE INTL CORP</t>
  </si>
  <si>
    <t>CCIV=</t>
  </si>
  <si>
    <t>CHURCHILL CAPITAL CORP IV</t>
  </si>
  <si>
    <t>CCJ</t>
  </si>
  <si>
    <t>CAMECO CORP</t>
  </si>
  <si>
    <t>CCK</t>
  </si>
  <si>
    <t>CROWN HOLDINGS INC</t>
  </si>
  <si>
    <t>CCL</t>
  </si>
  <si>
    <t>CARNIVAL CORP</t>
  </si>
  <si>
    <t>CCLP</t>
  </si>
  <si>
    <t>CSI COMPRESSCO LP</t>
  </si>
  <si>
    <t>CCM</t>
  </si>
  <si>
    <t>CONCORD MEDICAL - SPON ADR</t>
  </si>
  <si>
    <t>CCMP</t>
  </si>
  <si>
    <t>CABOT MICROELECTRONICS CORP</t>
  </si>
  <si>
    <t>CCNC</t>
  </si>
  <si>
    <t>CODE CHAIN NEW CONTINENT LTD</t>
  </si>
  <si>
    <t>CCNE</t>
  </si>
  <si>
    <t>CNB FINANCIAL CORP/PA</t>
  </si>
  <si>
    <t>CCNEP</t>
  </si>
  <si>
    <t>CCO</t>
  </si>
  <si>
    <t>CLEAR CHANNEL OUTDOOR HOLDIN</t>
  </si>
  <si>
    <t>CCOI</t>
  </si>
  <si>
    <t>COGENT COMMUNICATIONS HOLDIN</t>
  </si>
  <si>
    <t>CCON</t>
  </si>
  <si>
    <t>DIREXION CONNECTED CONSUMER</t>
  </si>
  <si>
    <t>CCOR</t>
  </si>
  <si>
    <t>CORE ALTERNATIVE ETF</t>
  </si>
  <si>
    <t>CCR</t>
  </si>
  <si>
    <t>CONSOL COAL RESOURCES LP</t>
  </si>
  <si>
    <t>CCRC</t>
  </si>
  <si>
    <t>CHINA CUSTOMER RELATIONS CEN</t>
  </si>
  <si>
    <t>CCRN</t>
  </si>
  <si>
    <t>CROSS COUNTRY HEALTHCARE INC</t>
  </si>
  <si>
    <t>CCRV</t>
  </si>
  <si>
    <t>ISHARES COMM CURVE CARRY STR</t>
  </si>
  <si>
    <t>CCS</t>
  </si>
  <si>
    <t>CENTURY COMMUNITIES INC</t>
  </si>
  <si>
    <t>CCU</t>
  </si>
  <si>
    <t>CIA CERVECERIAS UNI-SPON ADR</t>
  </si>
  <si>
    <t>CCX</t>
  </si>
  <si>
    <t>CHURCHILL CAPITAL CORP II-A</t>
  </si>
  <si>
    <t>CCX+</t>
  </si>
  <si>
    <t>CCX=</t>
  </si>
  <si>
    <t>CHURCHILL CAPITAL CORP II</t>
  </si>
  <si>
    <t>CCXI</t>
  </si>
  <si>
    <t>CHEMOCENTRYX INC</t>
  </si>
  <si>
    <t>CCXX</t>
  </si>
  <si>
    <t>CHURCHILL CAPITAL CORP III-A</t>
  </si>
  <si>
    <t>CCXX+</t>
  </si>
  <si>
    <t>CCXX=</t>
  </si>
  <si>
    <t>CHURCHILL CAPITAL CORP III</t>
  </si>
  <si>
    <t>CCZ</t>
  </si>
  <si>
    <t>CDAY</t>
  </si>
  <si>
    <t>CERIDIAN HCM HOLDING INC</t>
  </si>
  <si>
    <t>CDC</t>
  </si>
  <si>
    <t>VICTORYSHARES US EQ INCOME E</t>
  </si>
  <si>
    <t>CDE</t>
  </si>
  <si>
    <t>COEUR MINING INC</t>
  </si>
  <si>
    <t>CDEV</t>
  </si>
  <si>
    <t>CENTENNIAL RESOURCE DEVELO-A</t>
  </si>
  <si>
    <t>CDK</t>
  </si>
  <si>
    <t>CDK GLOBAL INC</t>
  </si>
  <si>
    <t>CDL</t>
  </si>
  <si>
    <t>VICTORYSHARES US LARGE CAP H</t>
  </si>
  <si>
    <t>CDLX</t>
  </si>
  <si>
    <t>CARDLYTICS INC</t>
  </si>
  <si>
    <t>CDMO</t>
  </si>
  <si>
    <t>AVID BIOSERVICES INC</t>
  </si>
  <si>
    <t>CDMOP</t>
  </si>
  <si>
    <t>CDNA</t>
  </si>
  <si>
    <t>CAREDX INC</t>
  </si>
  <si>
    <t>CDNS</t>
  </si>
  <si>
    <t>CADENCE DESIGN SYS INC</t>
  </si>
  <si>
    <t>CDOR</t>
  </si>
  <si>
    <t>CONDOR HOSPITALITY TRUST INC</t>
  </si>
  <si>
    <t>CDR</t>
  </si>
  <si>
    <t>CEDAR REALTY TRUST INC</t>
  </si>
  <si>
    <t>CDR-B</t>
  </si>
  <si>
    <t>CDR-C</t>
  </si>
  <si>
    <t>CDTX</t>
  </si>
  <si>
    <t>CIDARA THERAPEUTICS INC</t>
  </si>
  <si>
    <t>CDW</t>
  </si>
  <si>
    <t>CDW CORP/DE</t>
  </si>
  <si>
    <t>CDXC</t>
  </si>
  <si>
    <t>CHROMADEX CORP</t>
  </si>
  <si>
    <t>CDXS</t>
  </si>
  <si>
    <t>CODEXIS INC</t>
  </si>
  <si>
    <t>CDZI</t>
  </si>
  <si>
    <t>CADIZ INC</t>
  </si>
  <si>
    <t>CE</t>
  </si>
  <si>
    <t>CELANESE CORP</t>
  </si>
  <si>
    <t>CEA</t>
  </si>
  <si>
    <t>CHINA EASTERN AIRLINES-ADS</t>
  </si>
  <si>
    <t>CECE</t>
  </si>
  <si>
    <t>CECO ENVIRONMENTAL CORP</t>
  </si>
  <si>
    <t>CEE</t>
  </si>
  <si>
    <t>CENTRAL AND EASTERN EUROPE F</t>
  </si>
  <si>
    <t>CEF</t>
  </si>
  <si>
    <t>SPROTT PHYSICAL GOLD AND SIL</t>
  </si>
  <si>
    <t>CEFA</t>
  </si>
  <si>
    <t>GLOBAL X S&amp;P CATH VAL DEVEL</t>
  </si>
  <si>
    <t>CEFD</t>
  </si>
  <si>
    <t>ETRACS 150% CL END FUND ETN</t>
  </si>
  <si>
    <t>CEFS</t>
  </si>
  <si>
    <t>SABA CLOSED END FUNDS ETF</t>
  </si>
  <si>
    <t>CEI</t>
  </si>
  <si>
    <t>CAMBER ENERGY INC</t>
  </si>
  <si>
    <t>CEIX</t>
  </si>
  <si>
    <t>CONSOL ENERGY INC</t>
  </si>
  <si>
    <t>CEL</t>
  </si>
  <si>
    <t>CELLCOM ISRAEL LTD</t>
  </si>
  <si>
    <t>CELC</t>
  </si>
  <si>
    <t>CELCUITY INC</t>
  </si>
  <si>
    <t>CELG^</t>
  </si>
  <si>
    <t>BRISTOL MYERS - CELGENE CVR</t>
  </si>
  <si>
    <t>CELH</t>
  </si>
  <si>
    <t>CELSIUS HOLDINGS INC</t>
  </si>
  <si>
    <t>CELP</t>
  </si>
  <si>
    <t>CYPRESS ENVIRONMENTAL PARTNE</t>
  </si>
  <si>
    <t>CEM</t>
  </si>
  <si>
    <t>CLEARBRIDGE MLP &amp; MIDSTREAM</t>
  </si>
  <si>
    <t>CEMB</t>
  </si>
  <si>
    <t>ISHARES JP MORGAN EM CORPORA</t>
  </si>
  <si>
    <t>CEMI</t>
  </si>
  <si>
    <t>CHEMBIO DIAGNOSTICS INC</t>
  </si>
  <si>
    <t>CEN</t>
  </si>
  <si>
    <t>CENTER COAST BROOKFIELD MLP</t>
  </si>
  <si>
    <t>CENT</t>
  </si>
  <si>
    <t>CENTRAL GARDEN &amp; PET CO</t>
  </si>
  <si>
    <t>CENTA</t>
  </si>
  <si>
    <t>CENTRAL GARDEN AND PET CO-A</t>
  </si>
  <si>
    <t>CENX</t>
  </si>
  <si>
    <t>CENTURY ALUMINUM COMPANY</t>
  </si>
  <si>
    <t>CEO</t>
  </si>
  <si>
    <t>CNOOC LTD-SPON ADR</t>
  </si>
  <si>
    <t>CEPU</t>
  </si>
  <si>
    <t>CENTRAL PUERTO-SPONSORED ADR</t>
  </si>
  <si>
    <t>CEQP</t>
  </si>
  <si>
    <t>CRESTWOOD EQUITY PARTNERS LP</t>
  </si>
  <si>
    <t>CEQP-</t>
  </si>
  <si>
    <t>CERC</t>
  </si>
  <si>
    <t>CERECOR INC</t>
  </si>
  <si>
    <t>CERN</t>
  </si>
  <si>
    <t>CERNER CORP</t>
  </si>
  <si>
    <t>CERS</t>
  </si>
  <si>
    <t>CERUS CORP</t>
  </si>
  <si>
    <t>CET</t>
  </si>
  <si>
    <t>CENTRAL SECURITIES CORP</t>
  </si>
  <si>
    <t>CETV</t>
  </si>
  <si>
    <t>CENTRAL EUROPEAN MEDIA ENT-A</t>
  </si>
  <si>
    <t>CETX</t>
  </si>
  <si>
    <t>CEMTREX INC</t>
  </si>
  <si>
    <t>CETXP</t>
  </si>
  <si>
    <t>CETXW</t>
  </si>
  <si>
    <t>CEV</t>
  </si>
  <si>
    <t>EATON VANCE CA MUNI INC TRST</t>
  </si>
  <si>
    <t>CEVA</t>
  </si>
  <si>
    <t>CEVA INC</t>
  </si>
  <si>
    <t>CEW</t>
  </si>
  <si>
    <t>WISDOMTREE EMERGING CURRENCY</t>
  </si>
  <si>
    <t>CEY</t>
  </si>
  <si>
    <t>VICTORYSHARES EMERGING MARKE</t>
  </si>
  <si>
    <t>CEZ</t>
  </si>
  <si>
    <t>CF</t>
  </si>
  <si>
    <t>CF INDUSTRIES HOLDINGS INC</t>
  </si>
  <si>
    <t>CFA</t>
  </si>
  <si>
    <t>VICTORYSHARES US 500 VOLATIL</t>
  </si>
  <si>
    <t>CFB</t>
  </si>
  <si>
    <t>CROSSFIRST BANKSHARES INC</t>
  </si>
  <si>
    <t>CFBI</t>
  </si>
  <si>
    <t>COMMUNITY FIRST BANCSHARES I</t>
  </si>
  <si>
    <t>CFBK</t>
  </si>
  <si>
    <t>CF BANKSHARES INC</t>
  </si>
  <si>
    <t>CFCV</t>
  </si>
  <si>
    <t>CLEARBRIDGE FOCUS VALUE ETF</t>
  </si>
  <si>
    <t>CFFA</t>
  </si>
  <si>
    <t>CF FINANCE ACQUISITION-CL A</t>
  </si>
  <si>
    <t>CFFAU</t>
  </si>
  <si>
    <t>CF FINANCE ACQUISITION CORP</t>
  </si>
  <si>
    <t>CFFAW</t>
  </si>
  <si>
    <t>CFFI</t>
  </si>
  <si>
    <t>C &amp; F FINANCIAL CORP</t>
  </si>
  <si>
    <t>CFFN</t>
  </si>
  <si>
    <t>CAPITOL FEDERAL FINANCIAL IN</t>
  </si>
  <si>
    <t>CFG</t>
  </si>
  <si>
    <t>CITIZENS FINANCIAL GROUP</t>
  </si>
  <si>
    <t>CFG-D</t>
  </si>
  <si>
    <t>CFG-E</t>
  </si>
  <si>
    <t>CFIIU</t>
  </si>
  <si>
    <t>CFMS</t>
  </si>
  <si>
    <t>CONFORMIS INC</t>
  </si>
  <si>
    <t>CFO</t>
  </si>
  <si>
    <t>VICTORYSHARES US 500 ENHANCE</t>
  </si>
  <si>
    <t>CFR</t>
  </si>
  <si>
    <t>CULLEN/FROST BANKERS INC</t>
  </si>
  <si>
    <t>CFRX</t>
  </si>
  <si>
    <t>CONTRAFECT CORP</t>
  </si>
  <si>
    <t>CFX</t>
  </si>
  <si>
    <t>COLFAX CORP</t>
  </si>
  <si>
    <t>CFXA</t>
  </si>
  <si>
    <t>CG</t>
  </si>
  <si>
    <t>CARLYLE GROUP INC/THE</t>
  </si>
  <si>
    <t>CGA</t>
  </si>
  <si>
    <t>CHINA GREEN AGRICULTURE INC</t>
  </si>
  <si>
    <t>CGBD</t>
  </si>
  <si>
    <t>TCG BDC INC</t>
  </si>
  <si>
    <t>CGC</t>
  </si>
  <si>
    <t>CANOPY GROWTH CORP</t>
  </si>
  <si>
    <t>CGEN</t>
  </si>
  <si>
    <t>COMPUGEN LTD</t>
  </si>
  <si>
    <t>CGIX</t>
  </si>
  <si>
    <t>CANCER GENETICS INC</t>
  </si>
  <si>
    <t>CGNX</t>
  </si>
  <si>
    <t>COGNEX CORP</t>
  </si>
  <si>
    <t>CGO</t>
  </si>
  <si>
    <t>CALAMOS GLOBAL TOTAL RETURN</t>
  </si>
  <si>
    <t>CGRO</t>
  </si>
  <si>
    <t>COLLECTIVE GROWTH CORP- CL A</t>
  </si>
  <si>
    <t>CGROU</t>
  </si>
  <si>
    <t>COLLECTIVE GROWTH CORP</t>
  </si>
  <si>
    <t>CGROW</t>
  </si>
  <si>
    <t>CGW</t>
  </si>
  <si>
    <t>INVESCO S&amp;P GLOBAL WATER IND</t>
  </si>
  <si>
    <t>CHA</t>
  </si>
  <si>
    <t>CHINA TELECOM CORP LTD-ADR</t>
  </si>
  <si>
    <t>CHAD</t>
  </si>
  <si>
    <t>DRX DLY CHINA A-SHR BEAR 1X</t>
  </si>
  <si>
    <t>CHAQ</t>
  </si>
  <si>
    <t>CHARDAN HEALTHCARE ACQUISITI</t>
  </si>
  <si>
    <t>CHAQ+</t>
  </si>
  <si>
    <t>CHAQ=</t>
  </si>
  <si>
    <t>CHAU</t>
  </si>
  <si>
    <t>DRX DLY CHINA A-SHR BULL 2X</t>
  </si>
  <si>
    <t>CHCI</t>
  </si>
  <si>
    <t>COMSTOCK HOLDING COMPANIES</t>
  </si>
  <si>
    <t>CHCO</t>
  </si>
  <si>
    <t>CITY HOLDING CO</t>
  </si>
  <si>
    <t>CHCT</t>
  </si>
  <si>
    <t>COMMUNITY HEALTHCARE TRUST I</t>
  </si>
  <si>
    <t>CHD</t>
  </si>
  <si>
    <t>CHURCH &amp; DWIGHT CO INC</t>
  </si>
  <si>
    <t>CHDN</t>
  </si>
  <si>
    <t>CHURCHILL DOWNS INC</t>
  </si>
  <si>
    <t>CHE</t>
  </si>
  <si>
    <t>CHEMED CORP</t>
  </si>
  <si>
    <t>CHEF</t>
  </si>
  <si>
    <t>CHEFS' WAREHOUSE INC/THE</t>
  </si>
  <si>
    <t>CHEK</t>
  </si>
  <si>
    <t>CHECK CAP LTD</t>
  </si>
  <si>
    <t>CHEKZ</t>
  </si>
  <si>
    <t>CHEP</t>
  </si>
  <si>
    <t>AGFIQ US MARKET NEUTRAL VALU</t>
  </si>
  <si>
    <t>CHFS</t>
  </si>
  <si>
    <t>CHF SOLUTIONS INC</t>
  </si>
  <si>
    <t>CHGG</t>
  </si>
  <si>
    <t>CHEGG INC</t>
  </si>
  <si>
    <t>CHGX</t>
  </si>
  <si>
    <t>CHANGE FINANCE US LARGE CAP</t>
  </si>
  <si>
    <t>CHH</t>
  </si>
  <si>
    <t>CHOICE HOTELS INTL INC</t>
  </si>
  <si>
    <t>CHI</t>
  </si>
  <si>
    <t>CALAMOS CONVERTIBLE OPP&amp;INC</t>
  </si>
  <si>
    <t>CHIC</t>
  </si>
  <si>
    <t>GLOBAL X MSCI CHINA COMMUNIC</t>
  </si>
  <si>
    <t>CHIE</t>
  </si>
  <si>
    <t>GLOBAL X MSCI CHINA ENERGY E</t>
  </si>
  <si>
    <t>CHIH</t>
  </si>
  <si>
    <t>GLOBAL X MSCI CHINA HEALTH</t>
  </si>
  <si>
    <t>CHII</t>
  </si>
  <si>
    <t>GLOBAL X MSCI CHINA INDUSTRI</t>
  </si>
  <si>
    <t>CHIK</t>
  </si>
  <si>
    <t>GLOBAL X MSCI CHINA INFO ETF</t>
  </si>
  <si>
    <t>CHIL</t>
  </si>
  <si>
    <t>GLBL MSCI CHINA LARGE CAP</t>
  </si>
  <si>
    <t>CHIM</t>
  </si>
  <si>
    <t>GLOBAL X MSCI CHINA MATERIAL</t>
  </si>
  <si>
    <t>CHIQ</t>
  </si>
  <si>
    <t>GLOBAL X MSCI CHINA CONSUMER</t>
  </si>
  <si>
    <t>CHIR</t>
  </si>
  <si>
    <t>GBL X MSCI CHINA REAL ESTATE</t>
  </si>
  <si>
    <t>CHIS</t>
  </si>
  <si>
    <t>GBL X MSCI CHINA CONSUMER ST</t>
  </si>
  <si>
    <t>CHIU</t>
  </si>
  <si>
    <t>GLOBAL X MSCI CHINA UTIL ETF</t>
  </si>
  <si>
    <t>CHIX</t>
  </si>
  <si>
    <t>GLOBAL X MSCI CHINA FINANCIA</t>
  </si>
  <si>
    <t>CHKP</t>
  </si>
  <si>
    <t>CHECK POINT SOFTWARE TECH</t>
  </si>
  <si>
    <t>CHL</t>
  </si>
  <si>
    <t>CHINA MOBILE LTD-SPON ADR</t>
  </si>
  <si>
    <t>CHMA</t>
  </si>
  <si>
    <t>CHIASMA INC</t>
  </si>
  <si>
    <t>CHMG</t>
  </si>
  <si>
    <t>CHEMUNG FINANCIAL CORP</t>
  </si>
  <si>
    <t>CHMI</t>
  </si>
  <si>
    <t>CHERRY HILL MORTGAGE INVESTM</t>
  </si>
  <si>
    <t>CHMI-A</t>
  </si>
  <si>
    <t>CHMI-B</t>
  </si>
  <si>
    <t>CHN</t>
  </si>
  <si>
    <t>CHINA FUND INC</t>
  </si>
  <si>
    <t>CHNA</t>
  </si>
  <si>
    <t>LONCAR CHINA BIOPHARMA ETF</t>
  </si>
  <si>
    <t>CHNG</t>
  </si>
  <si>
    <t>CHANGE HEALTHCARE INC</t>
  </si>
  <si>
    <t>CHNGU</t>
  </si>
  <si>
    <t>CHNR</t>
  </si>
  <si>
    <t>CHINA NATURAL RESOURCES INC</t>
  </si>
  <si>
    <t>CHPM</t>
  </si>
  <si>
    <t>CHP MERGER CORP-CLASS A</t>
  </si>
  <si>
    <t>CHPMU</t>
  </si>
  <si>
    <t>CHP MERGER CORP</t>
  </si>
  <si>
    <t>CHPMW</t>
  </si>
  <si>
    <t>CHRA</t>
  </si>
  <si>
    <t>CHARAH SOLUTIONS INC</t>
  </si>
  <si>
    <t>CHRS</t>
  </si>
  <si>
    <t>COHERUS BIOSCIENCES INC</t>
  </si>
  <si>
    <t>CHRW</t>
  </si>
  <si>
    <t>C.H. ROBINSON WORLDWIDE INC</t>
  </si>
  <si>
    <t>CHS</t>
  </si>
  <si>
    <t>CHICO'S FAS INC</t>
  </si>
  <si>
    <t>CHSCL</t>
  </si>
  <si>
    <t>CHSCM</t>
  </si>
  <si>
    <t>CHSCN</t>
  </si>
  <si>
    <t>CHSCO</t>
  </si>
  <si>
    <t>CHSCP</t>
  </si>
  <si>
    <t>CHT</t>
  </si>
  <si>
    <t>CHUNGHWA TELECOM LT-SPON ADR</t>
  </si>
  <si>
    <t>CHTR</t>
  </si>
  <si>
    <t>CHARTER COMMUNICATIONS INC-A</t>
  </si>
  <si>
    <t>CHU</t>
  </si>
  <si>
    <t>CHINA UNICOM HONG KONG-ADR</t>
  </si>
  <si>
    <t>CHUY</t>
  </si>
  <si>
    <t>CHUY'S HOLDINGS INC</t>
  </si>
  <si>
    <t>CHW</t>
  </si>
  <si>
    <t>CALAMOS GLOBAL DYNAMIC INCOM</t>
  </si>
  <si>
    <t>CHWY</t>
  </si>
  <si>
    <t>CHEWY INC - CLASS A</t>
  </si>
  <si>
    <t>CHX</t>
  </si>
  <si>
    <t>CHAMPIONX CORP</t>
  </si>
  <si>
    <t>CHY</t>
  </si>
  <si>
    <t>CALAMOS CVT AND HIGH INCOME</t>
  </si>
  <si>
    <t>CI</t>
  </si>
  <si>
    <t>CIGNA CORP</t>
  </si>
  <si>
    <t>CIA</t>
  </si>
  <si>
    <t>CITIZENS INC</t>
  </si>
  <si>
    <t>CIB</t>
  </si>
  <si>
    <t>BANCOLOMBIA S.A.-SPONS ADR</t>
  </si>
  <si>
    <t>CIBR</t>
  </si>
  <si>
    <t>FIRST TRUST NASDAQ CYBERSECU</t>
  </si>
  <si>
    <t>CID</t>
  </si>
  <si>
    <t>VICTORYSHARES INTERNATIONAL</t>
  </si>
  <si>
    <t>CIDM</t>
  </si>
  <si>
    <t>CINEDIGM CORP - A</t>
  </si>
  <si>
    <t>CIEN</t>
  </si>
  <si>
    <t>CIENA CORP</t>
  </si>
  <si>
    <t>CIF</t>
  </si>
  <si>
    <t>MFS INTERMEDIATE HIGH INC FN</t>
  </si>
  <si>
    <t>CIG</t>
  </si>
  <si>
    <t>CIA ENERGETICA DE-SPON ADR</t>
  </si>
  <si>
    <t>CIG.C</t>
  </si>
  <si>
    <t>CIGI</t>
  </si>
  <si>
    <t>COLLIERS INTERNATIONAL GROUP</t>
  </si>
  <si>
    <t>CIH</t>
  </si>
  <si>
    <t>CHINA INDEX HDS-ADR</t>
  </si>
  <si>
    <t>CII</t>
  </si>
  <si>
    <t>BLACKROCK ENH CAP AND INC</t>
  </si>
  <si>
    <t>CIIC</t>
  </si>
  <si>
    <t>CIIG MERGER CORP-CL A</t>
  </si>
  <si>
    <t>CIICU</t>
  </si>
  <si>
    <t>CIIG MERGER CORP</t>
  </si>
  <si>
    <t>CIICW</t>
  </si>
  <si>
    <t>CIK</t>
  </si>
  <si>
    <t>CREDIT SUISSE ASSET MGMT INC</t>
  </si>
  <si>
    <t>CIL</t>
  </si>
  <si>
    <t>CIM</t>
  </si>
  <si>
    <t>CHIMERA INVESTMENT CORP</t>
  </si>
  <si>
    <t>CIM-A</t>
  </si>
  <si>
    <t>CIM-B</t>
  </si>
  <si>
    <t>CIM-C</t>
  </si>
  <si>
    <t>CIM-D</t>
  </si>
  <si>
    <t>CINF</t>
  </si>
  <si>
    <t>CINCINNATI FINANCIAL CORP</t>
  </si>
  <si>
    <t>CINR</t>
  </si>
  <si>
    <t>CINER RESOURCES LP</t>
  </si>
  <si>
    <t>CIO</t>
  </si>
  <si>
    <t>CITY OFFICE REIT INC</t>
  </si>
  <si>
    <t>CIO-A</t>
  </si>
  <si>
    <t>CIR</t>
  </si>
  <si>
    <t>CIRCOR INTERNATIONAL INC</t>
  </si>
  <si>
    <t>CIT</t>
  </si>
  <si>
    <t>CIT GROUP INC</t>
  </si>
  <si>
    <t>CIT-B</t>
  </si>
  <si>
    <t>CIVB</t>
  </si>
  <si>
    <t>CIVISTA BANCSHARES INC</t>
  </si>
  <si>
    <t>CIX</t>
  </si>
  <si>
    <t>COMPX INTERNATIONAL INC</t>
  </si>
  <si>
    <t>CIZ</t>
  </si>
  <si>
    <t>VICTORYSHARES DEVELOPED ENHA</t>
  </si>
  <si>
    <t>CIZN</t>
  </si>
  <si>
    <t>CITIZENS HOLDING COMPANY</t>
  </si>
  <si>
    <t>CJJD</t>
  </si>
  <si>
    <t>CHINA JO-JO DRUGSTORES INC</t>
  </si>
  <si>
    <t>CKH</t>
  </si>
  <si>
    <t>SEACOR HOLDINGS INC</t>
  </si>
  <si>
    <t>CKPT</t>
  </si>
  <si>
    <t>CHECKPOINT THERAPEUTICS INC</t>
  </si>
  <si>
    <t>CKX</t>
  </si>
  <si>
    <t>CKX LANDS INC</t>
  </si>
  <si>
    <t>CL</t>
  </si>
  <si>
    <t>COLGATE-PALMOLIVE CO</t>
  </si>
  <si>
    <t>CLA=</t>
  </si>
  <si>
    <t>COLONNADE ACQUISITION CORP</t>
  </si>
  <si>
    <t>CLAR</t>
  </si>
  <si>
    <t>CLARUS CORP</t>
  </si>
  <si>
    <t>CLB</t>
  </si>
  <si>
    <t>CORE LABORATORIES N.V.</t>
  </si>
  <si>
    <t>CLBK</t>
  </si>
  <si>
    <t>COLUMBIA FINANCIAL INC</t>
  </si>
  <si>
    <t>CLBS</t>
  </si>
  <si>
    <t>CALADRIUS BIOSCIENCES INC</t>
  </si>
  <si>
    <t>CLCT</t>
  </si>
  <si>
    <t>COLLECTORS UNIVERSE</t>
  </si>
  <si>
    <t>CLDB</t>
  </si>
  <si>
    <t>CORTLAND BANCORP</t>
  </si>
  <si>
    <t>CLDR</t>
  </si>
  <si>
    <t>CLOUDERA INC</t>
  </si>
  <si>
    <t>CLDT</t>
  </si>
  <si>
    <t>CHATHAM LODGING TRUST</t>
  </si>
  <si>
    <t>CLDX</t>
  </si>
  <si>
    <t>CELLDEX THERAPEUTICS INC</t>
  </si>
  <si>
    <t>CLEU</t>
  </si>
  <si>
    <t>CHINA LIBERAL EDUCATION HOLD</t>
  </si>
  <si>
    <t>CLF</t>
  </si>
  <si>
    <t>CLEVELAND-CLIFFS INC</t>
  </si>
  <si>
    <t>CLFD</t>
  </si>
  <si>
    <t>CLEARFIELD INC</t>
  </si>
  <si>
    <t>CLGN</t>
  </si>
  <si>
    <t>COLLPLANT BIOTECHN-SPON ADR</t>
  </si>
  <si>
    <t>CLGX</t>
  </si>
  <si>
    <t>CORELOGIC INC</t>
  </si>
  <si>
    <t>CLH</t>
  </si>
  <si>
    <t>CLEAN HARBORS INC</t>
  </si>
  <si>
    <t>CLI</t>
  </si>
  <si>
    <t>MACK-CALI REALTY CORP</t>
  </si>
  <si>
    <t>CLIR</t>
  </si>
  <si>
    <t>CLEARSIGN TECHNOLOGIES CORP</t>
  </si>
  <si>
    <t>CLIX</t>
  </si>
  <si>
    <t>PROSHARES LONG ONLINE/SHORT</t>
  </si>
  <si>
    <t>CLLS</t>
  </si>
  <si>
    <t>CELLECTIS - ADR</t>
  </si>
  <si>
    <t>CLM</t>
  </si>
  <si>
    <t>CORNERSTONE STRATEGIC VALUE</t>
  </si>
  <si>
    <t>CLMT</t>
  </si>
  <si>
    <t>CALUMET SPECIALTY PRODUCTS</t>
  </si>
  <si>
    <t>CLNC</t>
  </si>
  <si>
    <t>COLONY CREDIT REAL ESTATE IN</t>
  </si>
  <si>
    <t>CLNE</t>
  </si>
  <si>
    <t>CLEAN ENERGY FUELS CORP</t>
  </si>
  <si>
    <t>CLNY</t>
  </si>
  <si>
    <t>COLONY CAPITAL INC</t>
  </si>
  <si>
    <t>CLNY-G</t>
  </si>
  <si>
    <t>CLNY-H</t>
  </si>
  <si>
    <t>CLNY-I</t>
  </si>
  <si>
    <t>CLNY-J</t>
  </si>
  <si>
    <t>CLOU</t>
  </si>
  <si>
    <t>GLOBAL X CLOUD COMPUTING ETF</t>
  </si>
  <si>
    <t>CLPR</t>
  </si>
  <si>
    <t>CLIPPER REALTY INC</t>
  </si>
  <si>
    <t>CLPS</t>
  </si>
  <si>
    <t>CLPS INC</t>
  </si>
  <si>
    <t>CLPT</t>
  </si>
  <si>
    <t>CLEARPOINT NEURO INC</t>
  </si>
  <si>
    <t>CLR</t>
  </si>
  <si>
    <t>CONTINENTAL RESOURCES INC/OK</t>
  </si>
  <si>
    <t>CLRB</t>
  </si>
  <si>
    <t>CELLECTAR BIOSCIENCES INC</t>
  </si>
  <si>
    <t>CLRBZ</t>
  </si>
  <si>
    <t>CLRG</t>
  </si>
  <si>
    <t>IQ CHAIKIN US LARGE CAP ETF</t>
  </si>
  <si>
    <t>CLRO</t>
  </si>
  <si>
    <t>CLEARONE INC</t>
  </si>
  <si>
    <t>CLS</t>
  </si>
  <si>
    <t>CELESTICA INC</t>
  </si>
  <si>
    <t>CLSD</t>
  </si>
  <si>
    <t>CLEARSIDE BIOMEDICAL INC</t>
  </si>
  <si>
    <t>CLSK</t>
  </si>
  <si>
    <t>CLEANSPARK INC</t>
  </si>
  <si>
    <t>CLSN</t>
  </si>
  <si>
    <t>CELSION CORP</t>
  </si>
  <si>
    <t>CLTL</t>
  </si>
  <si>
    <t>INVESCO TREASURY COLLATERAL</t>
  </si>
  <si>
    <t>CLUB</t>
  </si>
  <si>
    <t>TOWN SPORTS INTERNATIONAL</t>
  </si>
  <si>
    <t>CLVS</t>
  </si>
  <si>
    <t>CLOVIS ONCOLOGY INC</t>
  </si>
  <si>
    <t>CLW</t>
  </si>
  <si>
    <t>CLEARWATER PAPER CORP</t>
  </si>
  <si>
    <t>CLWT</t>
  </si>
  <si>
    <t>EURO TECH HOLDINGS CO LTD</t>
  </si>
  <si>
    <t>CLX</t>
  </si>
  <si>
    <t>CLOROX COMPANY</t>
  </si>
  <si>
    <t>CLXT</t>
  </si>
  <si>
    <t>CALYXT INC</t>
  </si>
  <si>
    <t>CM</t>
  </si>
  <si>
    <t>CAN IMPERIAL BK OF COMMERCE</t>
  </si>
  <si>
    <t>CMA</t>
  </si>
  <si>
    <t>COMERICA INC</t>
  </si>
  <si>
    <t>CMBM</t>
  </si>
  <si>
    <t>CAMBIUM NETWORKS CORP</t>
  </si>
  <si>
    <t>CMBS</t>
  </si>
  <si>
    <t>ISHARES CMBS ETF</t>
  </si>
  <si>
    <t>CMC</t>
  </si>
  <si>
    <t>COMMERCIAL METALS CO</t>
  </si>
  <si>
    <t>CMCL</t>
  </si>
  <si>
    <t>CALEDONIA MINING CORP PLC</t>
  </si>
  <si>
    <t>CMCM</t>
  </si>
  <si>
    <t>CHEETAH MOBILE INC - ADR</t>
  </si>
  <si>
    <t>CMCO</t>
  </si>
  <si>
    <t>COLUMBUS MCKINNON CORP/NY</t>
  </si>
  <si>
    <t>CMCSA</t>
  </si>
  <si>
    <t>COMCAST CORP-CLASS A</t>
  </si>
  <si>
    <t>CMCT</t>
  </si>
  <si>
    <t>CIM COMMERCIAL TRUST CORP</t>
  </si>
  <si>
    <t>CMCTP</t>
  </si>
  <si>
    <t>CMD</t>
  </si>
  <si>
    <t>CANTEL MEDICAL CORP</t>
  </si>
  <si>
    <t>CMDY</t>
  </si>
  <si>
    <t>ISHARES BLOOMBERG ROLL SELEC</t>
  </si>
  <si>
    <t>CME</t>
  </si>
  <si>
    <t>CME GROUP INC</t>
  </si>
  <si>
    <t>CMF</t>
  </si>
  <si>
    <t>ISHARES CALIFORNIA MUNI BOND</t>
  </si>
  <si>
    <t>CMFNL</t>
  </si>
  <si>
    <t>CMG</t>
  </si>
  <si>
    <t>CHIPOTLE MEXICAN GRILL INC</t>
  </si>
  <si>
    <t>CMI</t>
  </si>
  <si>
    <t>CUMMINS INC</t>
  </si>
  <si>
    <t>CMLFU</t>
  </si>
  <si>
    <t>CM LIFE SCIENCES INC</t>
  </si>
  <si>
    <t>CMLS</t>
  </si>
  <si>
    <t>CUMULUS MEDIA INC-CL A</t>
  </si>
  <si>
    <t>CMO</t>
  </si>
  <si>
    <t>CAPSTEAD MORTGAGE CORP</t>
  </si>
  <si>
    <t>CMO-E</t>
  </si>
  <si>
    <t>CMP</t>
  </si>
  <si>
    <t>COMPASS MINERALS INTERNATION</t>
  </si>
  <si>
    <t>CMPI</t>
  </si>
  <si>
    <t>CHECKMATE PHARMACEUTICALS IN</t>
  </si>
  <si>
    <t>CMPR</t>
  </si>
  <si>
    <t>CIMPRESS PLC</t>
  </si>
  <si>
    <t>CMRE</t>
  </si>
  <si>
    <t>COSTAMARE INC</t>
  </si>
  <si>
    <t>CMRE-B</t>
  </si>
  <si>
    <t>CMRE-C</t>
  </si>
  <si>
    <t>CMRE-D</t>
  </si>
  <si>
    <t>CMRE-E</t>
  </si>
  <si>
    <t>CMRX</t>
  </si>
  <si>
    <t>CHIMERIX INC</t>
  </si>
  <si>
    <t>CMS</t>
  </si>
  <si>
    <t>CMS ENERGY CORP</t>
  </si>
  <si>
    <t>CMS-B</t>
  </si>
  <si>
    <t>CMSA</t>
  </si>
  <si>
    <t>CMSC</t>
  </si>
  <si>
    <t>CMSD</t>
  </si>
  <si>
    <t>CMT</t>
  </si>
  <si>
    <t>CORE MOLDING TECHNOLOGIES IN</t>
  </si>
  <si>
    <t>CMTL</t>
  </si>
  <si>
    <t>COMTECH TELECOMMUNICATIONS</t>
  </si>
  <si>
    <t>CMU</t>
  </si>
  <si>
    <t>MFS HIGH YIELD MUNICIPAL TRU</t>
  </si>
  <si>
    <t>CN</t>
  </si>
  <si>
    <t>XTRACKERS MSCI ALL CHINA EQU</t>
  </si>
  <si>
    <t>CNA</t>
  </si>
  <si>
    <t>CNA FINANCIAL CORP</t>
  </si>
  <si>
    <t>CNBKA</t>
  </si>
  <si>
    <t>CENTURY BANCORP INC -CL A</t>
  </si>
  <si>
    <t>CNBS</t>
  </si>
  <si>
    <t>AMPLIFY SEYMOUR CANNABIS ETF</t>
  </si>
  <si>
    <t>CNC</t>
  </si>
  <si>
    <t>CENTENE CORP</t>
  </si>
  <si>
    <t>CNCE</t>
  </si>
  <si>
    <t>CONCERT PHARMACEUTICALS INC</t>
  </si>
  <si>
    <t>CNCR</t>
  </si>
  <si>
    <t>LONCAR CANCER IMMUNOTHERAPY</t>
  </si>
  <si>
    <t>CNDT</t>
  </si>
  <si>
    <t>CONDUENT INC</t>
  </si>
  <si>
    <t>CNET</t>
  </si>
  <si>
    <t>CHINANET ONLINE HOLDINGS INC</t>
  </si>
  <si>
    <t>CNF</t>
  </si>
  <si>
    <t>CNFINANCE HOLDINGS LTD</t>
  </si>
  <si>
    <t>CNFR</t>
  </si>
  <si>
    <t>CONIFER HOLDINGS INC</t>
  </si>
  <si>
    <t>CNFRL</t>
  </si>
  <si>
    <t>CNHI</t>
  </si>
  <si>
    <t>CNH INDUSTRIAL NV</t>
  </si>
  <si>
    <t>CNI</t>
  </si>
  <si>
    <t>CANADIAN NATL RAILWAY CO</t>
  </si>
  <si>
    <t>CNK</t>
  </si>
  <si>
    <t>CINEMARK HOLDINGS INC</t>
  </si>
  <si>
    <t>CNMD</t>
  </si>
  <si>
    <t>CONMED CORP</t>
  </si>
  <si>
    <t>CNNB</t>
  </si>
  <si>
    <t>CINCINNATI BANCORP INC</t>
  </si>
  <si>
    <t>CNNE</t>
  </si>
  <si>
    <t>CANNAE HOLDINGS INC</t>
  </si>
  <si>
    <t>CNO</t>
  </si>
  <si>
    <t>CNO FINANCIAL GROUP INC</t>
  </si>
  <si>
    <t>CNOB</t>
  </si>
  <si>
    <t>CONNECTONE BANCORP INC</t>
  </si>
  <si>
    <t>CNP</t>
  </si>
  <si>
    <t>CENTERPOINT ENERGY INC</t>
  </si>
  <si>
    <t>CNP-B</t>
  </si>
  <si>
    <t>CNQ</t>
  </si>
  <si>
    <t>CANADIAN NATURAL RESOURCES</t>
  </si>
  <si>
    <t>CNR</t>
  </si>
  <si>
    <t>CORNERSTONE BUILDING BRANDS</t>
  </si>
  <si>
    <t>CNRG</t>
  </si>
  <si>
    <t>SPDR S&amp;P KENSHO CLEAN POWER</t>
  </si>
  <si>
    <t>CNS</t>
  </si>
  <si>
    <t>COHEN &amp; STEERS INC</t>
  </si>
  <si>
    <t>CNSL</t>
  </si>
  <si>
    <t>CONSOLIDATED COMMUNICATIONS</t>
  </si>
  <si>
    <t>CNSP</t>
  </si>
  <si>
    <t>CNS PHARMACEUTICALS INC</t>
  </si>
  <si>
    <t>CNST</t>
  </si>
  <si>
    <t>CONSTELLATION PHARMACEUTICAL</t>
  </si>
  <si>
    <t>CNTG</t>
  </si>
  <si>
    <t>CENTOGENE NV</t>
  </si>
  <si>
    <t>CNTY</t>
  </si>
  <si>
    <t>CENTURY CASINOS INC</t>
  </si>
  <si>
    <t>CNX</t>
  </si>
  <si>
    <t>CNX RESOURCES CORP</t>
  </si>
  <si>
    <t>CNXM</t>
  </si>
  <si>
    <t>CNX MIDSTREAM PARTNERS LP</t>
  </si>
  <si>
    <t>CNXN</t>
  </si>
  <si>
    <t>PC CONNECTION INC</t>
  </si>
  <si>
    <t>CNXT</t>
  </si>
  <si>
    <t>VANECK CAMC SME-CHINEXT</t>
  </si>
  <si>
    <t>CNYA</t>
  </si>
  <si>
    <t>ISHARES MSCI CHINA A ETF</t>
  </si>
  <si>
    <t>CO</t>
  </si>
  <si>
    <t>GLOBAL CORD BLOOD CORP</t>
  </si>
  <si>
    <t>COCP</t>
  </si>
  <si>
    <t>COCRYSTAL PHARMA INC</t>
  </si>
  <si>
    <t>CODA</t>
  </si>
  <si>
    <t>CODA OCTOPUS GROUP INC</t>
  </si>
  <si>
    <t>CODI</t>
  </si>
  <si>
    <t>COMPASS DIVERSIFIED HOLDINGS</t>
  </si>
  <si>
    <t>CODI-A</t>
  </si>
  <si>
    <t>CODI-B</t>
  </si>
  <si>
    <t>CODI-C</t>
  </si>
  <si>
    <t>CODX</t>
  </si>
  <si>
    <t>CO-DIAGNOSTICS INC</t>
  </si>
  <si>
    <t>COE</t>
  </si>
  <si>
    <t>CHINA ONLINE EDUCATION-ADR</t>
  </si>
  <si>
    <t>COF</t>
  </si>
  <si>
    <t>CAPITAL ONE FINANCIAL CORP</t>
  </si>
  <si>
    <t>COF-F</t>
  </si>
  <si>
    <t>COF-G</t>
  </si>
  <si>
    <t>COF-H</t>
  </si>
  <si>
    <t>COF-I</t>
  </si>
  <si>
    <t>COF-J</t>
  </si>
  <si>
    <t>COFS</t>
  </si>
  <si>
    <t>CHOICEONE FINANCIAL SVCS INC</t>
  </si>
  <si>
    <t>COG</t>
  </si>
  <si>
    <t>CABOT OIL &amp; GAS CORP</t>
  </si>
  <si>
    <t>COHN</t>
  </si>
  <si>
    <t>COHEN &amp; CO INC</t>
  </si>
  <si>
    <t>COHR</t>
  </si>
  <si>
    <t>COHERENT INC</t>
  </si>
  <si>
    <t>COHU</t>
  </si>
  <si>
    <t>COHU INC</t>
  </si>
  <si>
    <t>COKE</t>
  </si>
  <si>
    <t>COCA-COLA CONSOLIDATED INC</t>
  </si>
  <si>
    <t>COLB</t>
  </si>
  <si>
    <t>COLUMBIA BANKING SYSTEM INC</t>
  </si>
  <si>
    <t>COLD</t>
  </si>
  <si>
    <t>AMERICOLD REALTY TRUST</t>
  </si>
  <si>
    <t>COLL</t>
  </si>
  <si>
    <t>COLLEGIUM PHARMACEUTICAL INC</t>
  </si>
  <si>
    <t>COLM</t>
  </si>
  <si>
    <t>COLUMBIA SPORTSWEAR CO</t>
  </si>
  <si>
    <t>COM</t>
  </si>
  <si>
    <t>DIREXION AUSPICE BRD CMDTY</t>
  </si>
  <si>
    <t>COMB</t>
  </si>
  <si>
    <t>GRANITESHARES BCOM BROAD STR</t>
  </si>
  <si>
    <t>COMM</t>
  </si>
  <si>
    <t>COMMSCOPE HOLDING CO INC</t>
  </si>
  <si>
    <t>COMT</t>
  </si>
  <si>
    <t>ISHARES COMMOD SELECT STRAT</t>
  </si>
  <si>
    <t>CONE</t>
  </si>
  <si>
    <t>CYRUSONE INC</t>
  </si>
  <si>
    <t>CONN</t>
  </si>
  <si>
    <t>CONN'S INC</t>
  </si>
  <si>
    <t>COO</t>
  </si>
  <si>
    <t>COOPER COS INC/THE</t>
  </si>
  <si>
    <t>COOP</t>
  </si>
  <si>
    <t>MR COOPER GROUP INC</t>
  </si>
  <si>
    <t>COP</t>
  </si>
  <si>
    <t>CONOCOPHILLIPS</t>
  </si>
  <si>
    <t>COPX</t>
  </si>
  <si>
    <t>GLOBAL X COPPER MINERS ETF</t>
  </si>
  <si>
    <t>COR</t>
  </si>
  <si>
    <t>CORESITE REALTY CORP</t>
  </si>
  <si>
    <t>CORE</t>
  </si>
  <si>
    <t>CORE-MARK HOLDING CO INC</t>
  </si>
  <si>
    <t>CORN</t>
  </si>
  <si>
    <t>TEUCRIUM CORN FUND</t>
  </si>
  <si>
    <t>CORP</t>
  </si>
  <si>
    <t>PIMCO INV GRADE CORP BD ETF</t>
  </si>
  <si>
    <t>CORR</t>
  </si>
  <si>
    <t>CORENERGY INFRASTRUCTURE TRU</t>
  </si>
  <si>
    <t>CORR-A</t>
  </si>
  <si>
    <t>CORT</t>
  </si>
  <si>
    <t>CORCEPT THERAPEUTICS INC</t>
  </si>
  <si>
    <t>COST</t>
  </si>
  <si>
    <t>COSTCO WHOLESALE CORP</t>
  </si>
  <si>
    <t>COTY</t>
  </si>
  <si>
    <t>COTY INC-CL A</t>
  </si>
  <si>
    <t>COUP</t>
  </si>
  <si>
    <t>COUPA SOFTWARE INC</t>
  </si>
  <si>
    <t>COW</t>
  </si>
  <si>
    <t>IPATH SERIES B BLOOMBERG LIV</t>
  </si>
  <si>
    <t>COWN</t>
  </si>
  <si>
    <t>COWEN INC - A</t>
  </si>
  <si>
    <t>COWNL</t>
  </si>
  <si>
    <t>COWNZ</t>
  </si>
  <si>
    <t>COWZ</t>
  </si>
  <si>
    <t>PACER US CASH COWS 100 ETF</t>
  </si>
  <si>
    <t>CP</t>
  </si>
  <si>
    <t>CANADIAN PACIFIC RAILWAY LTD</t>
  </si>
  <si>
    <t>CPA</t>
  </si>
  <si>
    <t>COPA HOLDINGS SA-CLASS A</t>
  </si>
  <si>
    <t>CPAA</t>
  </si>
  <si>
    <t>CONYERS PARK II ACQUISITIO-A</t>
  </si>
  <si>
    <t>CPAAU</t>
  </si>
  <si>
    <t>CONYERS PARK II ACQUISITION</t>
  </si>
  <si>
    <t>CPAAW</t>
  </si>
  <si>
    <t>CPAC</t>
  </si>
  <si>
    <t>CEMENTOS PACASMAYO SAA - ADR</t>
  </si>
  <si>
    <t>CPAH</t>
  </si>
  <si>
    <t>COUNTERPATH CORP</t>
  </si>
  <si>
    <t>CPB</t>
  </si>
  <si>
    <t>CAMPBELL SOUP CO</t>
  </si>
  <si>
    <t>CPE</t>
  </si>
  <si>
    <t>CALLON PETROLEUM CO</t>
  </si>
  <si>
    <t>CPER</t>
  </si>
  <si>
    <t>UNITED STATES COPPER INDEX</t>
  </si>
  <si>
    <t>CPF</t>
  </si>
  <si>
    <t>CENTRAL PACIFIC FINANCIAL CO</t>
  </si>
  <si>
    <t>CPG</t>
  </si>
  <si>
    <t>CRESCENT POINT ENERGY CORP</t>
  </si>
  <si>
    <t>CPHC</t>
  </si>
  <si>
    <t>CANTERBURY PARK HOLDING CORP</t>
  </si>
  <si>
    <t>CPHI</t>
  </si>
  <si>
    <t>CHINA PHARMA HOLDINGS INC</t>
  </si>
  <si>
    <t>CPI</t>
  </si>
  <si>
    <t>IQ REAL RETURN ETF</t>
  </si>
  <si>
    <t>CPIX</t>
  </si>
  <si>
    <t>CUMBERLAND PHARMACEUTICALS</t>
  </si>
  <si>
    <t>CPK</t>
  </si>
  <si>
    <t>CHESAPEAKE UTILITIES CORP</t>
  </si>
  <si>
    <t>CPLG</t>
  </si>
  <si>
    <t>COREPOINT LODGING INC</t>
  </si>
  <si>
    <t>CPLP</t>
  </si>
  <si>
    <t>CAPITAL PRODUCT PARTNERS LP</t>
  </si>
  <si>
    <t>CPRI</t>
  </si>
  <si>
    <t>CAPRI HOLDINGS LTD</t>
  </si>
  <si>
    <t>CPRT</t>
  </si>
  <si>
    <t>COPART INC</t>
  </si>
  <si>
    <t>CPRX</t>
  </si>
  <si>
    <t>CATALYST PHARMACEUTICALS INC</t>
  </si>
  <si>
    <t>CPS</t>
  </si>
  <si>
    <t>COOPER-STANDARD HOLDING</t>
  </si>
  <si>
    <t>CPSH</t>
  </si>
  <si>
    <t>CPS TECHNOLOGIES CORP</t>
  </si>
  <si>
    <t>CPSI</t>
  </si>
  <si>
    <t>COMPUTER PROGRAMS &amp; SYSTEMS</t>
  </si>
  <si>
    <t>CPSR</t>
  </si>
  <si>
    <t>CAPSTAR SPECIAL PURPOSE AC-A</t>
  </si>
  <si>
    <t>CPSR+</t>
  </si>
  <si>
    <t>CPSR=</t>
  </si>
  <si>
    <t>CAPSTAR SPECIAL PURPOSE ACQU</t>
  </si>
  <si>
    <t>CPSS</t>
  </si>
  <si>
    <t>CONSUMER PORTFOLIO SERVICES</t>
  </si>
  <si>
    <t>CPST</t>
  </si>
  <si>
    <t>CAPSTONE TURBINE CORP</t>
  </si>
  <si>
    <t>CPT</t>
  </si>
  <si>
    <t>CAMDEN PROPERTY TRUST</t>
  </si>
  <si>
    <t>CPTA</t>
  </si>
  <si>
    <t>CAPITALA FINANCE CORP</t>
  </si>
  <si>
    <t>CPTAG</t>
  </si>
  <si>
    <t>CPTAL</t>
  </si>
  <si>
    <t>CPZ</t>
  </si>
  <si>
    <t>CALAMOS LNG/SHRT EQ &amp; DYN</t>
  </si>
  <si>
    <t>CQP</t>
  </si>
  <si>
    <t>CHENIERE ENERGY PARTNERS LP</t>
  </si>
  <si>
    <t>CQQQ</t>
  </si>
  <si>
    <t>INVESCO CHINA TECHNOLOGY ETF</t>
  </si>
  <si>
    <t>CR</t>
  </si>
  <si>
    <t>CRANE CO</t>
  </si>
  <si>
    <t>CRAI</t>
  </si>
  <si>
    <t>CRA INTERNATIONAL INC</t>
  </si>
  <si>
    <t>CRAK</t>
  </si>
  <si>
    <t>VANECK OIL REFINERS</t>
  </si>
  <si>
    <t>CRBN</t>
  </si>
  <si>
    <t>ISHARES MSCI ACWI LOW CARBON</t>
  </si>
  <si>
    <t>CRBP</t>
  </si>
  <si>
    <t>CORBUS PHARMACEUTICALS HOLDI</t>
  </si>
  <si>
    <t>CRD.A</t>
  </si>
  <si>
    <t>CRAWFORD &amp; COMPANY -CL A</t>
  </si>
  <si>
    <t>CRD.B</t>
  </si>
  <si>
    <t>CRAWFORD &amp; CO  -CL B</t>
  </si>
  <si>
    <t>CRDF</t>
  </si>
  <si>
    <t>CARDIFF ONCOLOGY INC</t>
  </si>
  <si>
    <t>CREE</t>
  </si>
  <si>
    <t>CREE INC</t>
  </si>
  <si>
    <t>CREG</t>
  </si>
  <si>
    <t>CHINA RECYCLING ENERGY CORP</t>
  </si>
  <si>
    <t>CRESY</t>
  </si>
  <si>
    <t>CRESUD S.A.-SPONS ADR</t>
  </si>
  <si>
    <t>CREX</t>
  </si>
  <si>
    <t>CREATIVE REALITIES INC</t>
  </si>
  <si>
    <t>CREXW</t>
  </si>
  <si>
    <t>CRF</t>
  </si>
  <si>
    <t>CORNERSTONE TOTAL RETURN FND</t>
  </si>
  <si>
    <t>CRH</t>
  </si>
  <si>
    <t>CRH PLC-SPONSORED ADR</t>
  </si>
  <si>
    <t>CRHC=</t>
  </si>
  <si>
    <t>COHN ROBBINS HOLDINGS CORP</t>
  </si>
  <si>
    <t>CRHM</t>
  </si>
  <si>
    <t>CRH MEDICAL CORP</t>
  </si>
  <si>
    <t>CRI</t>
  </si>
  <si>
    <t>CARTER'S INC</t>
  </si>
  <si>
    <t>CRIS</t>
  </si>
  <si>
    <t>CURIS INC</t>
  </si>
  <si>
    <t>CRK</t>
  </si>
  <si>
    <t>COMSTOCK RESOURCES INC</t>
  </si>
  <si>
    <t>CRL</t>
  </si>
  <si>
    <t>CHARLES RIVER LABORATORIES</t>
  </si>
  <si>
    <t>CRM</t>
  </si>
  <si>
    <t>SALESFORCE.COM INC</t>
  </si>
  <si>
    <t>CRMD</t>
  </si>
  <si>
    <t>CORMEDIX INC</t>
  </si>
  <si>
    <t>CRMT</t>
  </si>
  <si>
    <t>AMERICA'S CAR-MART INC</t>
  </si>
  <si>
    <t>CRNC</t>
  </si>
  <si>
    <t>CERENCE INC</t>
  </si>
  <si>
    <t>CRNT</t>
  </si>
  <si>
    <t>CERAGON NETWORKS LTD</t>
  </si>
  <si>
    <t>CRNX</t>
  </si>
  <si>
    <t>CRINETICS PHARMACEUTICALS IN</t>
  </si>
  <si>
    <t>CROC</t>
  </si>
  <si>
    <t>PROSHARES ULTRASHORT AUD</t>
  </si>
  <si>
    <t>CRON</t>
  </si>
  <si>
    <t>CRONOS GROUP INC</t>
  </si>
  <si>
    <t>CROX</t>
  </si>
  <si>
    <t>CROCS INC</t>
  </si>
  <si>
    <t>CRS</t>
  </si>
  <si>
    <t>CARPENTER TECHNOLOGY</t>
  </si>
  <si>
    <t>CRSA</t>
  </si>
  <si>
    <t>CRESCENT ACQUISITION CORP-A</t>
  </si>
  <si>
    <t>CRSAU</t>
  </si>
  <si>
    <t>CRESCENT ACQUISITION CORP</t>
  </si>
  <si>
    <t>CRSAW</t>
  </si>
  <si>
    <t>CRSP</t>
  </si>
  <si>
    <t>CRISPR THERAPEUTICS AG</t>
  </si>
  <si>
    <t>CRT</t>
  </si>
  <si>
    <t>CROSS TIMBERS ROYALTY TRUST</t>
  </si>
  <si>
    <t>CRTO</t>
  </si>
  <si>
    <t>CRITEO SA-SPON ADR</t>
  </si>
  <si>
    <t>CRTX</t>
  </si>
  <si>
    <t>CORTEXYME INC</t>
  </si>
  <si>
    <t>CRUS</t>
  </si>
  <si>
    <t>CIRRUS LOGIC INC</t>
  </si>
  <si>
    <t>CRVL</t>
  </si>
  <si>
    <t>CORVEL CORP</t>
  </si>
  <si>
    <t>CRVS</t>
  </si>
  <si>
    <t>CORVUS PHARMACEUTICALS INC</t>
  </si>
  <si>
    <t>CRWD</t>
  </si>
  <si>
    <t>CROWDSTRIKE HOLDINGS INC - A</t>
  </si>
  <si>
    <t>CRWS</t>
  </si>
  <si>
    <t>CROWN CRAFTS INC</t>
  </si>
  <si>
    <t>CRY</t>
  </si>
  <si>
    <t>CRYOLIFE INC</t>
  </si>
  <si>
    <t>CS</t>
  </si>
  <si>
    <t>CREDIT SUISSE GROUP-SPON ADR</t>
  </si>
  <si>
    <t>CSA</t>
  </si>
  <si>
    <t>VICTORYSHARES US SMALL CAP V</t>
  </si>
  <si>
    <t>CSB</t>
  </si>
  <si>
    <t>VICTORYSHARES US SMALL CAP H</t>
  </si>
  <si>
    <t>CSBR</t>
  </si>
  <si>
    <t>CHAMPIONS ONCOLOGY INC</t>
  </si>
  <si>
    <t>CSCO</t>
  </si>
  <si>
    <t>CISCO SYSTEMS INC</t>
  </si>
  <si>
    <t>CSD</t>
  </si>
  <si>
    <t>INVESCO S&amp;P SPIN-OFF ETF</t>
  </si>
  <si>
    <t>CSF</t>
  </si>
  <si>
    <t>VICTORYSHARES US DISCOVERY E</t>
  </si>
  <si>
    <t>CSGP</t>
  </si>
  <si>
    <t>COSTAR GROUP INC</t>
  </si>
  <si>
    <t>CSGS</t>
  </si>
  <si>
    <t>CSG SYSTEMS INTL INC</t>
  </si>
  <si>
    <t>CSII</t>
  </si>
  <si>
    <t>CARDIOVASCULAR SYSTEMS INC</t>
  </si>
  <si>
    <t>CSIQ</t>
  </si>
  <si>
    <t>CANADIAN SOLAR INC</t>
  </si>
  <si>
    <t>CSL</t>
  </si>
  <si>
    <t>CARLISLE COS INC</t>
  </si>
  <si>
    <t>CSLT</t>
  </si>
  <si>
    <t>CASTLIGHT HEALTH INC-B</t>
  </si>
  <si>
    <t>CSM</t>
  </si>
  <si>
    <t>PROSHARES LARGE CAP CORE PLU</t>
  </si>
  <si>
    <t>CSML</t>
  </si>
  <si>
    <t>IQ CHAIKIN SMALL CAP ETF</t>
  </si>
  <si>
    <t>CSOD</t>
  </si>
  <si>
    <t>CORNERSTONE ONDEMAND INC</t>
  </si>
  <si>
    <t>CSPI</t>
  </si>
  <si>
    <t>CSP INC</t>
  </si>
  <si>
    <t>CSPR</t>
  </si>
  <si>
    <t>CASPER SLEEP INC</t>
  </si>
  <si>
    <t>CSQ</t>
  </si>
  <si>
    <t>CALAMOS STRAT TOT RETURN FD</t>
  </si>
  <si>
    <t>CSSE</t>
  </si>
  <si>
    <t>CHICKEN SOUP FOR THE SOUL EN</t>
  </si>
  <si>
    <t>CSSEN</t>
  </si>
  <si>
    <t>CSSEP</t>
  </si>
  <si>
    <t>CSTE</t>
  </si>
  <si>
    <t>CAESARSTONE LTD</t>
  </si>
  <si>
    <t>CSTL</t>
  </si>
  <si>
    <t>CASTLE BIOSCIENCES INC</t>
  </si>
  <si>
    <t>CSTM</t>
  </si>
  <si>
    <t>CONSTELLIUM SE</t>
  </si>
  <si>
    <t>CSTR</t>
  </si>
  <si>
    <t>CAPSTAR FINANCIAL HOLDINGS I</t>
  </si>
  <si>
    <t>CSU</t>
  </si>
  <si>
    <t>CAPITAL SENIOR LIVING CORP</t>
  </si>
  <si>
    <t>CSV</t>
  </si>
  <si>
    <t>CARRIAGE SERVICES INC</t>
  </si>
  <si>
    <t>CSWC</t>
  </si>
  <si>
    <t>CAPITAL SOUTHWEST CORP</t>
  </si>
  <si>
    <t>CSWCL</t>
  </si>
  <si>
    <t>CSWI</t>
  </si>
  <si>
    <t>CSW INDUSTRIALS INC</t>
  </si>
  <si>
    <t>CSX</t>
  </si>
  <si>
    <t>CSX CORP</t>
  </si>
  <si>
    <t>CTA-A</t>
  </si>
  <si>
    <t>CTA-B</t>
  </si>
  <si>
    <t>CTAA</t>
  </si>
  <si>
    <t>CTAS</t>
  </si>
  <si>
    <t>CINTAS CORP</t>
  </si>
  <si>
    <t>CTB</t>
  </si>
  <si>
    <t>COOPER TIRE &amp; RUBBER</t>
  </si>
  <si>
    <t>CTBB</t>
  </si>
  <si>
    <t>CTBI</t>
  </si>
  <si>
    <t>COMMUNITY TRUST BANCORP INC</t>
  </si>
  <si>
    <t>CTDD</t>
  </si>
  <si>
    <t>CTEK</t>
  </si>
  <si>
    <t>CYNERGISTEK INC/DE</t>
  </si>
  <si>
    <t>CTG</t>
  </si>
  <si>
    <t>COMPUTER TASK GROUP INC</t>
  </si>
  <si>
    <t>CTHR</t>
  </si>
  <si>
    <t>CHARLES &amp; COLVARD LTD</t>
  </si>
  <si>
    <t>CTIB</t>
  </si>
  <si>
    <t>YUNHONG CTI LTD</t>
  </si>
  <si>
    <t>CTIC</t>
  </si>
  <si>
    <t>CTI BIOPHARMA CORP</t>
  </si>
  <si>
    <t>CTK</t>
  </si>
  <si>
    <t>COOTEK CAYMAN INC-ADR</t>
  </si>
  <si>
    <t>CTL</t>
  </si>
  <si>
    <t>CENTURYLINK INC</t>
  </si>
  <si>
    <t>CTLT</t>
  </si>
  <si>
    <t>CATALENT INC</t>
  </si>
  <si>
    <t>CTMX</t>
  </si>
  <si>
    <t>CYTOMX THERAPEUTICS INC</t>
  </si>
  <si>
    <t>CTO</t>
  </si>
  <si>
    <t>CTO REALTY GROWTH INC</t>
  </si>
  <si>
    <t>CTR</t>
  </si>
  <si>
    <t>CTRA</t>
  </si>
  <si>
    <t>CONTURA ENERGY INC</t>
  </si>
  <si>
    <t>CTRE</t>
  </si>
  <si>
    <t>CARETRUST REIT INC</t>
  </si>
  <si>
    <t>CTRM</t>
  </si>
  <si>
    <t>CASTOR MARITIME INC</t>
  </si>
  <si>
    <t>CTRN</t>
  </si>
  <si>
    <t>CITI TRENDS INC</t>
  </si>
  <si>
    <t>CTS</t>
  </si>
  <si>
    <t>CTS CORP</t>
  </si>
  <si>
    <t>CTSH</t>
  </si>
  <si>
    <t>COGNIZANT TECH SOLUTIONS-A</t>
  </si>
  <si>
    <t>CTSO</t>
  </si>
  <si>
    <t>CYTOSORBENTS CORP</t>
  </si>
  <si>
    <t>CTT</t>
  </si>
  <si>
    <t>CATCHMARK TIMBER TRUST INC-A</t>
  </si>
  <si>
    <t>CTVA</t>
  </si>
  <si>
    <t>CORTEVA INC</t>
  </si>
  <si>
    <t>CTXR</t>
  </si>
  <si>
    <t>CITIUS PHARMACEUTICALS INC</t>
  </si>
  <si>
    <t>CTXRW</t>
  </si>
  <si>
    <t>CTXS</t>
  </si>
  <si>
    <t>CITRIX SYSTEMS INC</t>
  </si>
  <si>
    <t>CTY</t>
  </si>
  <si>
    <t>CTZ</t>
  </si>
  <si>
    <t>CUB</t>
  </si>
  <si>
    <t>CUBIC CORP</t>
  </si>
  <si>
    <t>CUBA</t>
  </si>
  <si>
    <t>HERZFELD CARIBBEAN BASIN</t>
  </si>
  <si>
    <t>CUBB</t>
  </si>
  <si>
    <t>CUBE</t>
  </si>
  <si>
    <t>CUBESMART</t>
  </si>
  <si>
    <t>CUBI</t>
  </si>
  <si>
    <t>CUSTOMERS BANCORP INC</t>
  </si>
  <si>
    <t>CUBI-C</t>
  </si>
  <si>
    <t>CUBI-D</t>
  </si>
  <si>
    <t>CUBI-E</t>
  </si>
  <si>
    <t>CUBI-F</t>
  </si>
  <si>
    <t>CUE</t>
  </si>
  <si>
    <t>CUE BIOPHARMA INC</t>
  </si>
  <si>
    <t>CUK</t>
  </si>
  <si>
    <t>CARNIVAL PLC-ADR</t>
  </si>
  <si>
    <t>CULP</t>
  </si>
  <si>
    <t>CULP INC</t>
  </si>
  <si>
    <t>CURE</t>
  </si>
  <si>
    <t>DRX DLY HEALTHCARE BULL 3X</t>
  </si>
  <si>
    <t>CURO</t>
  </si>
  <si>
    <t>CURO GROUP HOLDINGS CORP</t>
  </si>
  <si>
    <t>CUT</t>
  </si>
  <si>
    <t>INVESCO MSCI GLOBAL TIMBER E</t>
  </si>
  <si>
    <t>CUTR</t>
  </si>
  <si>
    <t>CUTERA INC</t>
  </si>
  <si>
    <t>CUZ</t>
  </si>
  <si>
    <t>COUSINS PROPERTIES INC</t>
  </si>
  <si>
    <t>CVA</t>
  </si>
  <si>
    <t>COVANTA HOLDING CORP</t>
  </si>
  <si>
    <t>CVAC</t>
  </si>
  <si>
    <t>CUREVAC NV</t>
  </si>
  <si>
    <t>CVBF</t>
  </si>
  <si>
    <t>CVB FINANCIAL CORP</t>
  </si>
  <si>
    <t>CVCO</t>
  </si>
  <si>
    <t>CAVCO INDUSTRIES INC</t>
  </si>
  <si>
    <t>CVCY</t>
  </si>
  <si>
    <t>CENTRAL VALLEY COMM BANCORP</t>
  </si>
  <si>
    <t>CVE</t>
  </si>
  <si>
    <t>CENOVUS ENERGY INC</t>
  </si>
  <si>
    <t>CVEO</t>
  </si>
  <si>
    <t>CIVEO CORP</t>
  </si>
  <si>
    <t>CVET</t>
  </si>
  <si>
    <t>COVETRUS INC</t>
  </si>
  <si>
    <t>CVGI</t>
  </si>
  <si>
    <t>COMMERCIAL VEHICLE GROUP INC</t>
  </si>
  <si>
    <t>CVGW</t>
  </si>
  <si>
    <t>CALAVO GROWERS INC</t>
  </si>
  <si>
    <t>CVI</t>
  </si>
  <si>
    <t>CVR ENERGY INC</t>
  </si>
  <si>
    <t>CVLG</t>
  </si>
  <si>
    <t>COVENANT LOGISTICS GROUP INC</t>
  </si>
  <si>
    <t>CVLT</t>
  </si>
  <si>
    <t>COMMVAULT SYSTEMS INC</t>
  </si>
  <si>
    <t>CVLY</t>
  </si>
  <si>
    <t>CODORUS VALLEY BANCORP INC</t>
  </si>
  <si>
    <t>CVM</t>
  </si>
  <si>
    <t>CEL-SCI CORP</t>
  </si>
  <si>
    <t>CVNA</t>
  </si>
  <si>
    <t>CARVANA CO</t>
  </si>
  <si>
    <t>CVR</t>
  </si>
  <si>
    <t>CHICAGO RIVET &amp; MACHINE CO</t>
  </si>
  <si>
    <t>CVS</t>
  </si>
  <si>
    <t>CVS HEALTH CORP</t>
  </si>
  <si>
    <t>CVU</t>
  </si>
  <si>
    <t>CPI AEROSTRUCTURES INC</t>
  </si>
  <si>
    <t>CVV</t>
  </si>
  <si>
    <t>CVD EQUIPMENT CORP</t>
  </si>
  <si>
    <t>CVX</t>
  </si>
  <si>
    <t>CHEVRON CORP</t>
  </si>
  <si>
    <t>CVY</t>
  </si>
  <si>
    <t>INVESCO ZACKS MULTI-ASSET IN</t>
  </si>
  <si>
    <t>CW</t>
  </si>
  <si>
    <t>CURTISS-WRIGHT CORP</t>
  </si>
  <si>
    <t>CWB</t>
  </si>
  <si>
    <t>SPDR BBG BARC CONVERTIBLE</t>
  </si>
  <si>
    <t>CWBC</t>
  </si>
  <si>
    <t>COMMUNITY WEST BANCSHARES</t>
  </si>
  <si>
    <t>CWBR</t>
  </si>
  <si>
    <t>COHBAR INC</t>
  </si>
  <si>
    <t>CWCO</t>
  </si>
  <si>
    <t>CONSOLIDATED WATER CO-ORD SH</t>
  </si>
  <si>
    <t>CWEB</t>
  </si>
  <si>
    <t>DRX DLY CHINA INT BULL 2X</t>
  </si>
  <si>
    <t>CWEN</t>
  </si>
  <si>
    <t>CLEARWAY ENERGY INC-C</t>
  </si>
  <si>
    <t>CWEN.A</t>
  </si>
  <si>
    <t>CLEARWAY ENERGY INC-A</t>
  </si>
  <si>
    <t>CWH</t>
  </si>
  <si>
    <t>CAMPING WORLD HOLDINGS INC-A</t>
  </si>
  <si>
    <t>CWI</t>
  </si>
  <si>
    <t>SPDR MSCI ACWI EX-US</t>
  </si>
  <si>
    <t>CWK</t>
  </si>
  <si>
    <t>CUSHMAN &amp; WAKEFIELD PLC</t>
  </si>
  <si>
    <t>CWS</t>
  </si>
  <si>
    <t>ADVISORSHARES EQUITY FOCUSED</t>
  </si>
  <si>
    <t>CWST</t>
  </si>
  <si>
    <t>CASELLA WASTE SYSTEMS INC-A</t>
  </si>
  <si>
    <t>CWT</t>
  </si>
  <si>
    <t>CALIFORNIA WATER SERVICE GRP</t>
  </si>
  <si>
    <t>CX</t>
  </si>
  <si>
    <t>CEMEX SAB-SPONS ADR PART CER</t>
  </si>
  <si>
    <t>CXDC</t>
  </si>
  <si>
    <t>CHINA XD PLASTICS CO LTD</t>
  </si>
  <si>
    <t>CXDO</t>
  </si>
  <si>
    <t>CREXENDO INC</t>
  </si>
  <si>
    <t>CXE</t>
  </si>
  <si>
    <t>MFS HIGH INCOME MUNICIPAL TR</t>
  </si>
  <si>
    <t>CXH</t>
  </si>
  <si>
    <t>MFS INVESTMENT GRADE MUNICIP</t>
  </si>
  <si>
    <t>CXO</t>
  </si>
  <si>
    <t>CONCHO RESOURCES INC</t>
  </si>
  <si>
    <t>CXP</t>
  </si>
  <si>
    <t>COLUMBIA PROPERTY TRUST INC</t>
  </si>
  <si>
    <t>CXSE</t>
  </si>
  <si>
    <t>WISDOMTREE CHINA EX-ST OW</t>
  </si>
  <si>
    <t>CXW</t>
  </si>
  <si>
    <t>CORECIVIC INC</t>
  </si>
  <si>
    <t>CYAD</t>
  </si>
  <si>
    <t>CELYAD -SPON ADR</t>
  </si>
  <si>
    <t>CYAN</t>
  </si>
  <si>
    <t>CYANOTECH CORP</t>
  </si>
  <si>
    <t>CYB</t>
  </si>
  <si>
    <t>WISDOMTREE CHINESE YUAN STRA</t>
  </si>
  <si>
    <t>CYBE</t>
  </si>
  <si>
    <t>CYBEROPTICS CORP</t>
  </si>
  <si>
    <t>CYBR</t>
  </si>
  <si>
    <t>CYBERARK SOFTWARE LTD/ISRAEL</t>
  </si>
  <si>
    <t>CYCC</t>
  </si>
  <si>
    <t>CYCLACEL PHARMACEUTICALS INC</t>
  </si>
  <si>
    <t>CYCCP</t>
  </si>
  <si>
    <t>CYCN</t>
  </si>
  <si>
    <t>CYCLERION THERAPEUTICS INC</t>
  </si>
  <si>
    <t>CYD</t>
  </si>
  <si>
    <t>CHINA YUCHAI INTL LTD</t>
  </si>
  <si>
    <t>CYH</t>
  </si>
  <si>
    <t>COMMUNITY HEALTH SYSTEMS INC</t>
  </si>
  <si>
    <t>CYRN</t>
  </si>
  <si>
    <t>CYREN LTD</t>
  </si>
  <si>
    <t>CYRX</t>
  </si>
  <si>
    <t>CRYOPORT INC</t>
  </si>
  <si>
    <t>CYTK</t>
  </si>
  <si>
    <t>CYTOKINETICS INC</t>
  </si>
  <si>
    <t>CZA</t>
  </si>
  <si>
    <t>INVESCO ZACKS MID-CAP ETF</t>
  </si>
  <si>
    <t>CZNC</t>
  </si>
  <si>
    <t>CITIZENS &amp; NORTHERN CORP</t>
  </si>
  <si>
    <t>CZR</t>
  </si>
  <si>
    <t>CAESARS ENTERTAINMENT INC</t>
  </si>
  <si>
    <t>CZWI</t>
  </si>
  <si>
    <t>CITIZENS COMMUNITY BANCORP I</t>
  </si>
  <si>
    <t>CZZ</t>
  </si>
  <si>
    <t>COSAN LTD-CLASS A SHARES</t>
  </si>
  <si>
    <t>D</t>
  </si>
  <si>
    <t>DOMINION ENERGY INC</t>
  </si>
  <si>
    <t>DAC</t>
  </si>
  <si>
    <t>DANAOS CORP</t>
  </si>
  <si>
    <t>DADA</t>
  </si>
  <si>
    <t>DADA NEXUS LTD-ADR</t>
  </si>
  <si>
    <t>DAIO</t>
  </si>
  <si>
    <t>DATA I/O CORP</t>
  </si>
  <si>
    <t>DAKT</t>
  </si>
  <si>
    <t>DAKTRONICS INC</t>
  </si>
  <si>
    <t>DAL</t>
  </si>
  <si>
    <t>DELTA AIR LINES INC</t>
  </si>
  <si>
    <t>DALI</t>
  </si>
  <si>
    <t>FIRST TRUST DORSEYWRIGHT DAL</t>
  </si>
  <si>
    <t>DALT</t>
  </si>
  <si>
    <t>ANFIELD CAPITAL DIVERSIFIED</t>
  </si>
  <si>
    <t>DAN</t>
  </si>
  <si>
    <t>DANA INC</t>
  </si>
  <si>
    <t>DAO</t>
  </si>
  <si>
    <t>YOUDAO INC</t>
  </si>
  <si>
    <t>DAR</t>
  </si>
  <si>
    <t>DARLING INGREDIENTS INC</t>
  </si>
  <si>
    <t>DARE</t>
  </si>
  <si>
    <t>DARE BIOSCIENCE INC</t>
  </si>
  <si>
    <t>DAUD</t>
  </si>
  <si>
    <t>VELOCITYSHARES DAILY 4X LONG</t>
  </si>
  <si>
    <t>DAUG</t>
  </si>
  <si>
    <t>FT CBOE US EQUITY DEEP BUFFE</t>
  </si>
  <si>
    <t>DAVA</t>
  </si>
  <si>
    <t>ENDAVA PLC- SPON ADR</t>
  </si>
  <si>
    <t>DAX</t>
  </si>
  <si>
    <t>GLOBAL X DAX GERMANY ETF</t>
  </si>
  <si>
    <t>DB</t>
  </si>
  <si>
    <t>DEUTSCHE BANK AG-REGISTERED</t>
  </si>
  <si>
    <t>DBA</t>
  </si>
  <si>
    <t>INVESCO DB AGRICULTURE FUND</t>
  </si>
  <si>
    <t>DBAW</t>
  </si>
  <si>
    <t>XTRACKERS MSCI ALL WORLD EX</t>
  </si>
  <si>
    <t>DBB</t>
  </si>
  <si>
    <t>INVESCO DB BASE METALS FUND</t>
  </si>
  <si>
    <t>DBC</t>
  </si>
  <si>
    <t>INVESCO DB COMMODITY INDEX T</t>
  </si>
  <si>
    <t>DBD</t>
  </si>
  <si>
    <t>DIEBOLD NIXDORF INC</t>
  </si>
  <si>
    <t>DBE</t>
  </si>
  <si>
    <t>INVESCO DB ENERGY FUND</t>
  </si>
  <si>
    <t>DBEF</t>
  </si>
  <si>
    <t>XTRACKERS MSCI EAFE HEDGED E</t>
  </si>
  <si>
    <t>DBEH</t>
  </si>
  <si>
    <t>IM DBI HEDGE STRATEGY ETF</t>
  </si>
  <si>
    <t>DBEM</t>
  </si>
  <si>
    <t>XTRACKERS MSCI EMERGING MARK</t>
  </si>
  <si>
    <t>DBEU</t>
  </si>
  <si>
    <t>XTRACKERS MSCI EUROPE HEDGED</t>
  </si>
  <si>
    <t>DBEZ</t>
  </si>
  <si>
    <t>XTRACKERS MSCI EUROZONE HEDG</t>
  </si>
  <si>
    <t>DBGR</t>
  </si>
  <si>
    <t>XTRACKERS MSCI GERMANY HEDGE</t>
  </si>
  <si>
    <t>DBI</t>
  </si>
  <si>
    <t>DESIGNER BRANDS INC-CLASS A</t>
  </si>
  <si>
    <t>DBJP</t>
  </si>
  <si>
    <t>XTRACKERS MSCI JAPAN HEDGED</t>
  </si>
  <si>
    <t>DBL</t>
  </si>
  <si>
    <t>DOUBLELINE OPPORT CREDIT</t>
  </si>
  <si>
    <t>DBLV</t>
  </si>
  <si>
    <t>ADVISORSHARES DOUBLELINE VAL</t>
  </si>
  <si>
    <t>DBMF</t>
  </si>
  <si>
    <t>IM DBI MANAGED FUTURES ETF</t>
  </si>
  <si>
    <t>DBO</t>
  </si>
  <si>
    <t>INVESCO DB OIL FUND</t>
  </si>
  <si>
    <t>DBP</t>
  </si>
  <si>
    <t>INVESCO DB PRECIOUS METALS F</t>
  </si>
  <si>
    <t>DBS</t>
  </si>
  <si>
    <t>INVESCO DB SILVER FUND</t>
  </si>
  <si>
    <t>DBV</t>
  </si>
  <si>
    <t>INVESCO DB G10 CURRENCY HARV</t>
  </si>
  <si>
    <t>DBVT</t>
  </si>
  <si>
    <t>DBV TECHNOLOGIES SA-SPON ADR</t>
  </si>
  <si>
    <t>DBX</t>
  </si>
  <si>
    <t>DROPBOX INC-CLASS A</t>
  </si>
  <si>
    <t>DCF</t>
  </si>
  <si>
    <t>BNY MELLON ALCENTRA GLOBAL C</t>
  </si>
  <si>
    <t>DCHF</t>
  </si>
  <si>
    <t>DCI</t>
  </si>
  <si>
    <t>DONALDSON CO INC</t>
  </si>
  <si>
    <t>DCO</t>
  </si>
  <si>
    <t>DUCOMMUN INC</t>
  </si>
  <si>
    <t>DCOM</t>
  </si>
  <si>
    <t>DIME COMMUNITY BANCSHARES</t>
  </si>
  <si>
    <t>DCOMP</t>
  </si>
  <si>
    <t>DCP</t>
  </si>
  <si>
    <t>DCP MIDSTREAM LP</t>
  </si>
  <si>
    <t>DCP-B</t>
  </si>
  <si>
    <t>DCP-C</t>
  </si>
  <si>
    <t>DCPH</t>
  </si>
  <si>
    <t>DECIPHERA PHARMACEUTICALS IN</t>
  </si>
  <si>
    <t>DCT</t>
  </si>
  <si>
    <t>DUCK CREEK TECHNOLOGIES INC</t>
  </si>
  <si>
    <t>DCTH</t>
  </si>
  <si>
    <t>DELCATH SYSTEMS INC</t>
  </si>
  <si>
    <t>DCUE</t>
  </si>
  <si>
    <t>DD</t>
  </si>
  <si>
    <t>DUPONT DE NEMOURS INC</t>
  </si>
  <si>
    <t>DDD</t>
  </si>
  <si>
    <t>3D SYSTEMS CORP</t>
  </si>
  <si>
    <t>DDF</t>
  </si>
  <si>
    <t>DELAWARE INV DIVIDEND &amp; INC</t>
  </si>
  <si>
    <t>DDG</t>
  </si>
  <si>
    <t>PROSHARES SHORT OIL &amp; GAS</t>
  </si>
  <si>
    <t>DDI</t>
  </si>
  <si>
    <t>DDIV</t>
  </si>
  <si>
    <t>FIRST TRUST DORSEY WRIGHT MO</t>
  </si>
  <si>
    <t>DDLS</t>
  </si>
  <si>
    <t>WISDOMTREE DY CUR HDG SCP EQ</t>
  </si>
  <si>
    <t>DDM</t>
  </si>
  <si>
    <t>PROSHARES ULTRA DOW30</t>
  </si>
  <si>
    <t>DDOG</t>
  </si>
  <si>
    <t>DATADOG INC - CLASS A</t>
  </si>
  <si>
    <t>DDS</t>
  </si>
  <si>
    <t>DILLARDS INC-CL A</t>
  </si>
  <si>
    <t>DDT</t>
  </si>
  <si>
    <t>DDWM</t>
  </si>
  <si>
    <t>WISDOMTREE DY CUR HDG INTL</t>
  </si>
  <si>
    <t>DE</t>
  </si>
  <si>
    <t>DEERE &amp; CO</t>
  </si>
  <si>
    <t>DEA</t>
  </si>
  <si>
    <t>EASTERLY GOVERNMENT PROPERTI</t>
  </si>
  <si>
    <t>DECK</t>
  </si>
  <si>
    <t>DECKERS OUTDOOR CORP</t>
  </si>
  <si>
    <t>DEED</t>
  </si>
  <si>
    <t>FIRST TRUST TCW SEC PLUS ETF</t>
  </si>
  <si>
    <t>DEEF</t>
  </si>
  <si>
    <t>XTRACKERS FTSE DEVELOPED EX</t>
  </si>
  <si>
    <t>DEEP</t>
  </si>
  <si>
    <t>ROUNDHILL ACQUIRERS DEEP VAL</t>
  </si>
  <si>
    <t>DEF</t>
  </si>
  <si>
    <t>INVESCO DEFENSIVE EQUITY ETF</t>
  </si>
  <si>
    <t>DEFA</t>
  </si>
  <si>
    <t>ISHARES ADPT CUR HDG EAFE ET</t>
  </si>
  <si>
    <t>DEH</t>
  </si>
  <si>
    <t>D8 HOLDINGS CORP-A</t>
  </si>
  <si>
    <t>DEH+</t>
  </si>
  <si>
    <t>DEH=</t>
  </si>
  <si>
    <t>D8 HOLDINGS CORP</t>
  </si>
  <si>
    <t>DEI</t>
  </si>
  <si>
    <t>DOUGLAS EMMETT INC</t>
  </si>
  <si>
    <t>DELL</t>
  </si>
  <si>
    <t>DELL TECHNOLOGIES -C</t>
  </si>
  <si>
    <t>DEM</t>
  </si>
  <si>
    <t>WISDOMTREE EMERGING MARKETS</t>
  </si>
  <si>
    <t>DENN</t>
  </si>
  <si>
    <t>DENNY'S CORP</t>
  </si>
  <si>
    <t>DEO</t>
  </si>
  <si>
    <t>DIAGEO PLC-SPONSORED ADR</t>
  </si>
  <si>
    <t>DES</t>
  </si>
  <si>
    <t>WISDOMTREE US SMALLCAP DIVID</t>
  </si>
  <si>
    <t>DESP</t>
  </si>
  <si>
    <t>DESPEGAR.COM CORP</t>
  </si>
  <si>
    <t>DEUR</t>
  </si>
  <si>
    <t>DEUS</t>
  </si>
  <si>
    <t>XTRACKERS RUSSELL 1000 COMPR</t>
  </si>
  <si>
    <t>DEW</t>
  </si>
  <si>
    <t>WISDOMTREE GLOBAL HIGH DIVID</t>
  </si>
  <si>
    <t>DEX</t>
  </si>
  <si>
    <t>DELAWARE ENHANCED GLOBAL DIV</t>
  </si>
  <si>
    <t>DFE</t>
  </si>
  <si>
    <t>WISDOMTREE EUR S/C DIVIDEND</t>
  </si>
  <si>
    <t>DFEB</t>
  </si>
  <si>
    <t>FT CBOE VEST US EQY DEEP BUF</t>
  </si>
  <si>
    <t>DFEN</t>
  </si>
  <si>
    <t>DRX DLY AERO &amp; DEF BULL 3X</t>
  </si>
  <si>
    <t>DFFN</t>
  </si>
  <si>
    <t>DIFFUSION PHARMACEUTICALS IN</t>
  </si>
  <si>
    <t>DFHTU</t>
  </si>
  <si>
    <t>DEERFIELD HEALTHCARE TECHNOL</t>
  </si>
  <si>
    <t>DFIN</t>
  </si>
  <si>
    <t>DONNELLEY FINANCIAL SOLUTION</t>
  </si>
  <si>
    <t>DFJ</t>
  </si>
  <si>
    <t>WISDOMTREE JPN S/C DVD FUND</t>
  </si>
  <si>
    <t>DFND</t>
  </si>
  <si>
    <t>REALITY SHRS DIVCON DEF ETF</t>
  </si>
  <si>
    <t>DFNL</t>
  </si>
  <si>
    <t>DAVIS SELECT FINANCIAL ETF</t>
  </si>
  <si>
    <t>DFNS</t>
  </si>
  <si>
    <t>LGL SYSTEMS ACQUISITION-A</t>
  </si>
  <si>
    <t>DFNS+</t>
  </si>
  <si>
    <t>DFNS=</t>
  </si>
  <si>
    <t>LGL SYSTEMS ACQUISITION CORP</t>
  </si>
  <si>
    <t>DFP</t>
  </si>
  <si>
    <t>FLAHERTY &amp; CRUMRINE DYNAMIC</t>
  </si>
  <si>
    <t>DFPH</t>
  </si>
  <si>
    <t>DFP HEALTHCARE ACQUISIT-CL A</t>
  </si>
  <si>
    <t>DFPHU</t>
  </si>
  <si>
    <t>DFP HEALTHCARE ACQUISITIONS</t>
  </si>
  <si>
    <t>DFPHW</t>
  </si>
  <si>
    <t>DFS</t>
  </si>
  <si>
    <t>DISCOVER FINANCIAL SERVICES</t>
  </si>
  <si>
    <t>DFVL</t>
  </si>
  <si>
    <t>IPATH US TREASURY 5-YR BULL</t>
  </si>
  <si>
    <t>DFVS</t>
  </si>
  <si>
    <t>IPATH US TREASURY 5 YR BEAR</t>
  </si>
  <si>
    <t>DG</t>
  </si>
  <si>
    <t>DOLLAR GENERAL CORP</t>
  </si>
  <si>
    <t>DGBP</t>
  </si>
  <si>
    <t>DGICA</t>
  </si>
  <si>
    <t>DONEGAL GROUP INC-CL A</t>
  </si>
  <si>
    <t>DGICB</t>
  </si>
  <si>
    <t>DONEGAL GROUP INC-B</t>
  </si>
  <si>
    <t>DGII</t>
  </si>
  <si>
    <t>DIGI INTERNATIONAL INC</t>
  </si>
  <si>
    <t>DGL</t>
  </si>
  <si>
    <t>INVESCO DB GOLD FUND</t>
  </si>
  <si>
    <t>DGLY</t>
  </si>
  <si>
    <t>DIGITAL ALLY INC</t>
  </si>
  <si>
    <t>DGNR=</t>
  </si>
  <si>
    <t>DRAGONEER GROWTH OPPORTUNITI</t>
  </si>
  <si>
    <t>DGP</t>
  </si>
  <si>
    <t>DB GOLD DOUBLE LONG ETN</t>
  </si>
  <si>
    <t>DGRE</t>
  </si>
  <si>
    <t>DGRO</t>
  </si>
  <si>
    <t>ISHARES CORE DIVIDEND GROWTH</t>
  </si>
  <si>
    <t>DGRS</t>
  </si>
  <si>
    <t>WISDOMTREE U.S. SMALLCAP QUA</t>
  </si>
  <si>
    <t>DGRW</t>
  </si>
  <si>
    <t>WISDOMTREE U.S. QUALITY DIVI</t>
  </si>
  <si>
    <t>DGS</t>
  </si>
  <si>
    <t>WISDOMTREE EM SMALL CAP</t>
  </si>
  <si>
    <t>DGT</t>
  </si>
  <si>
    <t>SPDR GLOBAL DOW ETF</t>
  </si>
  <si>
    <t>DGX</t>
  </si>
  <si>
    <t>QUEST DIAGNOSTICS INC</t>
  </si>
  <si>
    <t>DGZ</t>
  </si>
  <si>
    <t>DB GOLD SHORT ETN</t>
  </si>
  <si>
    <t>DHC</t>
  </si>
  <si>
    <t>DIVERSIFIED HEALTHCARE TRUST</t>
  </si>
  <si>
    <t>DHCNI</t>
  </si>
  <si>
    <t>DHCNL</t>
  </si>
  <si>
    <t>DHF</t>
  </si>
  <si>
    <t>BNYM HIGH YIELD STRAT</t>
  </si>
  <si>
    <t>DHI</t>
  </si>
  <si>
    <t>DR HORTON INC</t>
  </si>
  <si>
    <t>DHIL</t>
  </si>
  <si>
    <t>DIAMOND HILL INVESTMENT GRP</t>
  </si>
  <si>
    <t>DHR</t>
  </si>
  <si>
    <t>DANAHER CORP</t>
  </si>
  <si>
    <t>DHR-A</t>
  </si>
  <si>
    <t>DHR-B</t>
  </si>
  <si>
    <t>DHS</t>
  </si>
  <si>
    <t>WISDOMTREE US HIGH DIVIDEND</t>
  </si>
  <si>
    <t>DHT</t>
  </si>
  <si>
    <t>DHT HOLDINGS INC</t>
  </si>
  <si>
    <t>DHX</t>
  </si>
  <si>
    <t>DHI GROUP INC</t>
  </si>
  <si>
    <t>DHY</t>
  </si>
  <si>
    <t>CREDIT SUISSE HIGH YIELD BD</t>
  </si>
  <si>
    <t>DIA</t>
  </si>
  <si>
    <t>SPDR DJIA TRUST</t>
  </si>
  <si>
    <t>DIAL</t>
  </si>
  <si>
    <t>COLUMBIA DIVERSIFIED ETF</t>
  </si>
  <si>
    <t>DIAX</t>
  </si>
  <si>
    <t>NUVEEN DOW30 DYN OVERWRT FD</t>
  </si>
  <si>
    <t>DIG</t>
  </si>
  <si>
    <t>PROSHARES ULTRA OIL &amp; GAS</t>
  </si>
  <si>
    <t>DIM</t>
  </si>
  <si>
    <t>WISDOMTREE INTL M/C DVD FUND</t>
  </si>
  <si>
    <t>DIN</t>
  </si>
  <si>
    <t>DINE BRANDS GLOBAL INC</t>
  </si>
  <si>
    <t>DINT</t>
  </si>
  <si>
    <t>DAVIS SELECT INTERNATIONAL</t>
  </si>
  <si>
    <t>DIOD</t>
  </si>
  <si>
    <t>DIODES INC</t>
  </si>
  <si>
    <t>DIS</t>
  </si>
  <si>
    <t>WALT DISNEY CO/THE</t>
  </si>
  <si>
    <t>DISCA</t>
  </si>
  <si>
    <t>DISCOVERY INC - A</t>
  </si>
  <si>
    <t>DISCB</t>
  </si>
  <si>
    <t>DISCOVERY INC-B</t>
  </si>
  <si>
    <t>DISCK</t>
  </si>
  <si>
    <t>DISCOVERY INC-C</t>
  </si>
  <si>
    <t>DISH</t>
  </si>
  <si>
    <t>DISH NETWORK CORP-A</t>
  </si>
  <si>
    <t>DIT</t>
  </si>
  <si>
    <t>AMCON DISTRIBUTING CO</t>
  </si>
  <si>
    <t>DIV</t>
  </si>
  <si>
    <t>GLOBAL X SUPERDIVIDEND USE</t>
  </si>
  <si>
    <t>DIVA</t>
  </si>
  <si>
    <t>AGFIQ HEDGED DIVIDEND INCOME</t>
  </si>
  <si>
    <t>DIVB</t>
  </si>
  <si>
    <t>ISHARES US DVD AND BUYBACK</t>
  </si>
  <si>
    <t>DIVC</t>
  </si>
  <si>
    <t>C-TRACKS ETN MILLER/HOWARD</t>
  </si>
  <si>
    <t>DIVO</t>
  </si>
  <si>
    <t>AMPLIFY CWP ENHANCED DIVIDEN</t>
  </si>
  <si>
    <t>DIVY</t>
  </si>
  <si>
    <t>REALITY SHARES DIVS ETF</t>
  </si>
  <si>
    <t>DJCB</t>
  </si>
  <si>
    <t>ETRACS BLOOMBERG CMD INX-S/B</t>
  </si>
  <si>
    <t>DJCI</t>
  </si>
  <si>
    <t>E-TRACS BLOOMBERG COMMODITY</t>
  </si>
  <si>
    <t>DJCO</t>
  </si>
  <si>
    <t>DAILY JOURNAL CORP</t>
  </si>
  <si>
    <t>DJD</t>
  </si>
  <si>
    <t>INVESCO DOW JONES INDUSTRIAL</t>
  </si>
  <si>
    <t>DJP</t>
  </si>
  <si>
    <t>IPATH BLOOMBERG COMMODITY IN</t>
  </si>
  <si>
    <t>DJPY</t>
  </si>
  <si>
    <t>DJUL</t>
  </si>
  <si>
    <t>FT CBOE VEST US EQ DEEP BUF</t>
  </si>
  <si>
    <t>DJUN</t>
  </si>
  <si>
    <t>FT CBOE VEST U.S. EQUITY DEE</t>
  </si>
  <si>
    <t>DK</t>
  </si>
  <si>
    <t>DELEK US HOLDINGS INC</t>
  </si>
  <si>
    <t>DKL</t>
  </si>
  <si>
    <t>DELEK LOGISTICS PARTNERS LP</t>
  </si>
  <si>
    <t>DKNG</t>
  </si>
  <si>
    <t>DRAFTKINGS INC - CL A</t>
  </si>
  <si>
    <t>DKS</t>
  </si>
  <si>
    <t>DICK'S SPORTING GOODS INC</t>
  </si>
  <si>
    <t>DL</t>
  </si>
  <si>
    <t>CHINA DISTANCE EDUCATION-ADR</t>
  </si>
  <si>
    <t>DLA</t>
  </si>
  <si>
    <t>DELTA APPAREL INC</t>
  </si>
  <si>
    <t>DLB</t>
  </si>
  <si>
    <t>DOLBY LABORATORIES INC-CL A</t>
  </si>
  <si>
    <t>DLHC</t>
  </si>
  <si>
    <t>DLH HOLDINGS CORP</t>
  </si>
  <si>
    <t>DLN</t>
  </si>
  <si>
    <t>WISDOMTREE US LARGECAP DIVID</t>
  </si>
  <si>
    <t>DLNG</t>
  </si>
  <si>
    <t>DYNAGAS LNG PARTNERS LP</t>
  </si>
  <si>
    <t>DLNG-A</t>
  </si>
  <si>
    <t>DLNG-B</t>
  </si>
  <si>
    <t>DLPH</t>
  </si>
  <si>
    <t>DELPHI TECHNOLOGIES PLC</t>
  </si>
  <si>
    <t>DLPN</t>
  </si>
  <si>
    <t>DOLPHIN ENTERTAINMENT INC</t>
  </si>
  <si>
    <t>DLPNW</t>
  </si>
  <si>
    <t>DLR</t>
  </si>
  <si>
    <t>DIGITAL REALTY TRUST INC</t>
  </si>
  <si>
    <t>DLR-C</t>
  </si>
  <si>
    <t>DLR-G</t>
  </si>
  <si>
    <t>DLR-J</t>
  </si>
  <si>
    <t>DLR-K</t>
  </si>
  <si>
    <t>DLR-L</t>
  </si>
  <si>
    <t>DLS</t>
  </si>
  <si>
    <t>WISDOMTREE INTL S/C DVD FUND</t>
  </si>
  <si>
    <t>DLTH</t>
  </si>
  <si>
    <t>DULUTH HOLDINGS INC - CL B</t>
  </si>
  <si>
    <t>DLTR</t>
  </si>
  <si>
    <t>DOLLAR TREE INC</t>
  </si>
  <si>
    <t>DLX</t>
  </si>
  <si>
    <t>DELUXE CORP</t>
  </si>
  <si>
    <t>DLY</t>
  </si>
  <si>
    <t>DOUBLELINE YIELD OPPORT</t>
  </si>
  <si>
    <t>DMAC</t>
  </si>
  <si>
    <t>DIAMEDICA THERAPEUTICS INC</t>
  </si>
  <si>
    <t>DMAY</t>
  </si>
  <si>
    <t>FT CBOE VEST US EQY D BU-MAY</t>
  </si>
  <si>
    <t>DMB</t>
  </si>
  <si>
    <t>BNYM MUNI BND INFRA</t>
  </si>
  <si>
    <t>DMDV</t>
  </si>
  <si>
    <t>AAM S&amp;P DEVELOPED MARKETS HI</t>
  </si>
  <si>
    <t>DMF</t>
  </si>
  <si>
    <t>BNYM MUNICIPAL INCOME</t>
  </si>
  <si>
    <t>DMLP</t>
  </si>
  <si>
    <t>DORCHESTER MINERALS LP</t>
  </si>
  <si>
    <t>DMO</t>
  </si>
  <si>
    <t>WESTERN ASSET MORTGAGE OPPOR</t>
  </si>
  <si>
    <t>DMRC</t>
  </si>
  <si>
    <t>DIGIMARC CORP</t>
  </si>
  <si>
    <t>DMRE</t>
  </si>
  <si>
    <t>DELTASHARES EM MGD RISK ETF</t>
  </si>
  <si>
    <t>DMRI</t>
  </si>
  <si>
    <t>DELTASHARES S&amp;P INT MGD RISK</t>
  </si>
  <si>
    <t>DMRL</t>
  </si>
  <si>
    <t>DELTASHARES S&amp;P 500 MGD RISK</t>
  </si>
  <si>
    <t>DMRM</t>
  </si>
  <si>
    <t>DELTASHARES S&amp;P 400 MGD RISK</t>
  </si>
  <si>
    <t>DMRS</t>
  </si>
  <si>
    <t>DELTASHARES S&amp;P 600 MGD RISK</t>
  </si>
  <si>
    <t>DMS</t>
  </si>
  <si>
    <t>DIGITAL MEDIA SOLUTIONS-A</t>
  </si>
  <si>
    <t>DMS+</t>
  </si>
  <si>
    <t>DMTK</t>
  </si>
  <si>
    <t>DERMTECH INC</t>
  </si>
  <si>
    <t>DMXF</t>
  </si>
  <si>
    <t>ISHARES ESG ADVANC MSCI EAFE</t>
  </si>
  <si>
    <t>DMYD=</t>
  </si>
  <si>
    <t>DMY TECHNOLOGY GROUP INC II</t>
  </si>
  <si>
    <t>DMYT</t>
  </si>
  <si>
    <t>DMY TECHNOLOGY GROUP INC-A</t>
  </si>
  <si>
    <t>DMYT+</t>
  </si>
  <si>
    <t>DMYT=</t>
  </si>
  <si>
    <t>DMY TECHNOLOGY GROUP INC</t>
  </si>
  <si>
    <t>DNB</t>
  </si>
  <si>
    <t>DUN &amp; BRADSTREET HOLDINGS IN</t>
  </si>
  <si>
    <t>DNI</t>
  </si>
  <si>
    <t>DIVIDEND AND INCOME FUND</t>
  </si>
  <si>
    <t>DNK</t>
  </si>
  <si>
    <t>PHOENIX TREE HOLDINGS LTD</t>
  </si>
  <si>
    <t>DNKN</t>
  </si>
  <si>
    <t>DUNKIN' BRANDS GROUP INC</t>
  </si>
  <si>
    <t>DNL</t>
  </si>
  <si>
    <t>WISDOMTREE GLOBAL EX-US QUAL</t>
  </si>
  <si>
    <t>DNLI</t>
  </si>
  <si>
    <t>DENALI THERAPEUTICS INC</t>
  </si>
  <si>
    <t>DNN</t>
  </si>
  <si>
    <t>DENISON MINES CORP</t>
  </si>
  <si>
    <t>DNOV</t>
  </si>
  <si>
    <t>FT CBOE VEST US EQUITY DEEP</t>
  </si>
  <si>
    <t>DNOW</t>
  </si>
  <si>
    <t>NOW INC</t>
  </si>
  <si>
    <t>DNP</t>
  </si>
  <si>
    <t>DNP SELECT INCOME FUND INC</t>
  </si>
  <si>
    <t>DOC</t>
  </si>
  <si>
    <t>PHYSICIANS REALTY TRUST</t>
  </si>
  <si>
    <t>DOCU</t>
  </si>
  <si>
    <t>DOCUSIGN INC</t>
  </si>
  <si>
    <t>DOG</t>
  </si>
  <si>
    <t>PROSHARES SHORT DOW30</t>
  </si>
  <si>
    <t>DOGZ</t>
  </si>
  <si>
    <t>DOGNESS INTERNATIONAL CORP-A</t>
  </si>
  <si>
    <t>DOL</t>
  </si>
  <si>
    <t>WISDOMTREE INTL L/C DVD FUND</t>
  </si>
  <si>
    <t>DOMO</t>
  </si>
  <si>
    <t>DOMO INC - CLASS B</t>
  </si>
  <si>
    <t>DON</t>
  </si>
  <si>
    <t>WISDOMTREE US MIDCAP DIVIDEN</t>
  </si>
  <si>
    <t>DOO</t>
  </si>
  <si>
    <t>WISDOMTREE INTL DVD EX-FIN</t>
  </si>
  <si>
    <t>DOOO</t>
  </si>
  <si>
    <t>BRP INC/CA- SUB VOTING</t>
  </si>
  <si>
    <t>DOOR</t>
  </si>
  <si>
    <t>MASONITE INTERNATIONAL CORP</t>
  </si>
  <si>
    <t>DORM</t>
  </si>
  <si>
    <t>DORMAN PRODUCTS INC</t>
  </si>
  <si>
    <t>DOV</t>
  </si>
  <si>
    <t>DOVER CORP</t>
  </si>
  <si>
    <t>DOW</t>
  </si>
  <si>
    <t>DOW INC</t>
  </si>
  <si>
    <t>DOX</t>
  </si>
  <si>
    <t>AMDOCS LTD</t>
  </si>
  <si>
    <t>DOYU</t>
  </si>
  <si>
    <t>DOUYU INTERNATIONAL HOLD-ADR</t>
  </si>
  <si>
    <t>DPG</t>
  </si>
  <si>
    <t>DUFF &amp; PHELPS UTILITY &amp; INC</t>
  </si>
  <si>
    <t>DPHC</t>
  </si>
  <si>
    <t>DIAMONDPEAK HOLDINGS CORP-A</t>
  </si>
  <si>
    <t>DPHCU</t>
  </si>
  <si>
    <t>DIAMONDPEAK HOLDINGS CORP</t>
  </si>
  <si>
    <t>DPHCW</t>
  </si>
  <si>
    <t>DPST</t>
  </si>
  <si>
    <t>DRX DLY REG BANK BULL 3X</t>
  </si>
  <si>
    <t>DPW</t>
  </si>
  <si>
    <t>DPW HOLDINGS INC</t>
  </si>
  <si>
    <t>DPZ</t>
  </si>
  <si>
    <t>DOMINO'S PIZZA INC</t>
  </si>
  <si>
    <t>DQ</t>
  </si>
  <si>
    <t>DAQO NEW ENERGY CORP-ADR</t>
  </si>
  <si>
    <t>DRAD</t>
  </si>
  <si>
    <t>DIGIRAD CORP</t>
  </si>
  <si>
    <t>DRADP</t>
  </si>
  <si>
    <t>DRD</t>
  </si>
  <si>
    <t>DRDGOLD LTD-SPONSORED ADR</t>
  </si>
  <si>
    <t>DRE</t>
  </si>
  <si>
    <t>DUKE REALTY CORP</t>
  </si>
  <si>
    <t>DRH</t>
  </si>
  <si>
    <t>DIAMONDROCK HOSPITALITY CO</t>
  </si>
  <si>
    <t>DRH-A</t>
  </si>
  <si>
    <t>DRI</t>
  </si>
  <si>
    <t>DARDEN RESTAURANTS INC</t>
  </si>
  <si>
    <t>DRIO</t>
  </si>
  <si>
    <t>DARIOHEALTH CORP</t>
  </si>
  <si>
    <t>DRIOW</t>
  </si>
  <si>
    <t>DRIP</t>
  </si>
  <si>
    <t>DIREXION DAILY S&amp;P OIL &amp; GAS</t>
  </si>
  <si>
    <t>DRIV</t>
  </si>
  <si>
    <t>GLOBAL X AUTONOMOUS&amp;ELEC-ETF</t>
  </si>
  <si>
    <t>DRN</t>
  </si>
  <si>
    <t>DRX DLY REAL ESTATE BULL 3X</t>
  </si>
  <si>
    <t>DRNA</t>
  </si>
  <si>
    <t>DICERNA PHARMACEUTICALS INC</t>
  </si>
  <si>
    <t>DRQ</t>
  </si>
  <si>
    <t>DRIL-QUIP INC</t>
  </si>
  <si>
    <t>DRRX</t>
  </si>
  <si>
    <t>DURECT CORPORATION</t>
  </si>
  <si>
    <t>DRSK</t>
  </si>
  <si>
    <t>APTUS DEFINED RISK ETF</t>
  </si>
  <si>
    <t>DRTT</t>
  </si>
  <si>
    <t>DIRTT ENVIRONMENTAL SOLUTION</t>
  </si>
  <si>
    <t>DRUA</t>
  </si>
  <si>
    <t>DRV</t>
  </si>
  <si>
    <t>DRX DLY REAL ESTATE BEAR 3X</t>
  </si>
  <si>
    <t>DRW</t>
  </si>
  <si>
    <t>WISDOMTREE GLOBAL EX-US REAL</t>
  </si>
  <si>
    <t>DS</t>
  </si>
  <si>
    <t>DRIVE SHACK INC</t>
  </si>
  <si>
    <t>DS-B</t>
  </si>
  <si>
    <t>DS-C</t>
  </si>
  <si>
    <t>DS-D</t>
  </si>
  <si>
    <t>DSE</t>
  </si>
  <si>
    <t>DUFF &amp; PHELPS SEL MLP &amp; MIDS</t>
  </si>
  <si>
    <t>DSGX</t>
  </si>
  <si>
    <t>DESCARTES SYSTEMS GRP/THE</t>
  </si>
  <si>
    <t>DSI</t>
  </si>
  <si>
    <t>ISHARES MSCI KLD 400 SOCIAL</t>
  </si>
  <si>
    <t>DSKE</t>
  </si>
  <si>
    <t>DASEKE INC</t>
  </si>
  <si>
    <t>DSKEW</t>
  </si>
  <si>
    <t>DSL</t>
  </si>
  <si>
    <t>DOUBLELINE INCOME SOLUTIONS</t>
  </si>
  <si>
    <t>DSM</t>
  </si>
  <si>
    <t>BNYM STRAT MUNI BND</t>
  </si>
  <si>
    <t>DSPG</t>
  </si>
  <si>
    <t>DSP GROUP INC</t>
  </si>
  <si>
    <t>DSS</t>
  </si>
  <si>
    <t>DOCUMENT SECURITY SYSTEMS</t>
  </si>
  <si>
    <t>DSSI</t>
  </si>
  <si>
    <t>DIAMOND S SHIPPING INC</t>
  </si>
  <si>
    <t>DSTL</t>
  </si>
  <si>
    <t>DISTILLATE US FUNDAMENTAL ST</t>
  </si>
  <si>
    <t>DSU</t>
  </si>
  <si>
    <t>BLACKROCK DEBT STRATEGIES FD</t>
  </si>
  <si>
    <t>DSWL</t>
  </si>
  <si>
    <t>DESWELL INDUSTRIES INC</t>
  </si>
  <si>
    <t>DSX</t>
  </si>
  <si>
    <t>DIANA SHIPPING INC</t>
  </si>
  <si>
    <t>DSX-B</t>
  </si>
  <si>
    <t>DT</t>
  </si>
  <si>
    <t>DYNATRACE INC</t>
  </si>
  <si>
    <t>DTD</t>
  </si>
  <si>
    <t>WISDOMTREE US TOTAL DIVIDEND</t>
  </si>
  <si>
    <t>DTE</t>
  </si>
  <si>
    <t>DTE ENERGY COMPANY</t>
  </si>
  <si>
    <t>DTEA</t>
  </si>
  <si>
    <t>DAVIDSTEA INC</t>
  </si>
  <si>
    <t>DTEC</t>
  </si>
  <si>
    <t>ALPS DISRUPTIVE TECHNOLOGIES</t>
  </si>
  <si>
    <t>DTF</t>
  </si>
  <si>
    <t>DTF TAX-FREE INCOME INC</t>
  </si>
  <si>
    <t>DTH</t>
  </si>
  <si>
    <t>WISDOMTREE INTERNATIONAL HIG</t>
  </si>
  <si>
    <t>DTIL</t>
  </si>
  <si>
    <t>PRECISION BIOSCIENCES INC</t>
  </si>
  <si>
    <t>DTJ</t>
  </si>
  <si>
    <t>DTLA-</t>
  </si>
  <si>
    <t>DTN</t>
  </si>
  <si>
    <t>WISDOMTREE US DIVIDEND EX-FI</t>
  </si>
  <si>
    <t>DTP</t>
  </si>
  <si>
    <t>DTQ</t>
  </si>
  <si>
    <t>DTSS</t>
  </si>
  <si>
    <t>DATASEA INC</t>
  </si>
  <si>
    <t>DTW</t>
  </si>
  <si>
    <t>DTY</t>
  </si>
  <si>
    <t>DUAL</t>
  </si>
  <si>
    <t>NORTH SHORE DUAL SHARE CLASS</t>
  </si>
  <si>
    <t>DUC</t>
  </si>
  <si>
    <t>DUFF &amp; PHELPS UTIL &amp; CORP BD</t>
  </si>
  <si>
    <t>DUG</t>
  </si>
  <si>
    <t>PROSHARES ULTRASHORT OIL&amp;GAS</t>
  </si>
  <si>
    <t>DUK</t>
  </si>
  <si>
    <t>DUKE ENERGY CORP</t>
  </si>
  <si>
    <t>DUK-A</t>
  </si>
  <si>
    <t>DUKB</t>
  </si>
  <si>
    <t>DUKH</t>
  </si>
  <si>
    <t>DUO</t>
  </si>
  <si>
    <t>FANGDD NETWORK GROUP LTD-ADR</t>
  </si>
  <si>
    <t>DUOT</t>
  </si>
  <si>
    <t>DUOS TECHNOLOGIES GROUP INC</t>
  </si>
  <si>
    <t>DURA</t>
  </si>
  <si>
    <t>VANECK MSTAR DURABLE DIVIDND</t>
  </si>
  <si>
    <t>DUSA</t>
  </si>
  <si>
    <t>DAVIS SELECT US EQUITY ETF</t>
  </si>
  <si>
    <t>DUSL</t>
  </si>
  <si>
    <t>DRX DLY INDUSTRIALS BULL 3X</t>
  </si>
  <si>
    <t>DUST</t>
  </si>
  <si>
    <t>DIREXION DAILY GOLD MINERS I</t>
  </si>
  <si>
    <t>DVA</t>
  </si>
  <si>
    <t>DAVITA INC</t>
  </si>
  <si>
    <t>DVAX</t>
  </si>
  <si>
    <t>DYNAVAX TECHNOLOGIES CORP</t>
  </si>
  <si>
    <t>DVD</t>
  </si>
  <si>
    <t>DOVER MOTORSPORTS INC</t>
  </si>
  <si>
    <t>DVLU</t>
  </si>
  <si>
    <t>FIRST TRUST DRSY WRIGHT MOME</t>
  </si>
  <si>
    <t>DVN</t>
  </si>
  <si>
    <t>DEVON ENERGY CORP</t>
  </si>
  <si>
    <t>DVOL</t>
  </si>
  <si>
    <t>FIRST TRUST DW MOMTM &amp; LOW</t>
  </si>
  <si>
    <t>DVY</t>
  </si>
  <si>
    <t>ISHARES SELECT DIVIDEND ETF</t>
  </si>
  <si>
    <t>DVYA</t>
  </si>
  <si>
    <t>ISHARES ASIA/PACIFIC DIVIDEN</t>
  </si>
  <si>
    <t>DVYE</t>
  </si>
  <si>
    <t>ISHARES EMERGING MARKETS DIV</t>
  </si>
  <si>
    <t>DWAS</t>
  </si>
  <si>
    <t>INVESCO DWA SMALLCAP MOMENT</t>
  </si>
  <si>
    <t>DWAT</t>
  </si>
  <si>
    <t>ARROW DWA TACTICAL ETF</t>
  </si>
  <si>
    <t>DWAW</t>
  </si>
  <si>
    <t>ADVISORSHARES D/W FSM CAP</t>
  </si>
  <si>
    <t>DWCR</t>
  </si>
  <si>
    <t>ARROW DWA COUNTRY ROTATION E</t>
  </si>
  <si>
    <t>DWEQ</t>
  </si>
  <si>
    <t>ADVISORSHARES D/W ALPH EQ WT</t>
  </si>
  <si>
    <t>DWFI</t>
  </si>
  <si>
    <t>SPDR DORSEY WRIGHT FI ALLOC</t>
  </si>
  <si>
    <t>DWLD</t>
  </si>
  <si>
    <t>DAVIS SELECT WORLDWIDE ETF</t>
  </si>
  <si>
    <t>DWM</t>
  </si>
  <si>
    <t>WISDOMTREE INTERNATIONAL EQU</t>
  </si>
  <si>
    <t>DWMC</t>
  </si>
  <si>
    <t>ADVISORSHARES DORSEY MC ETF</t>
  </si>
  <si>
    <t>DWMF</t>
  </si>
  <si>
    <t>WISDOMTREE INTERNATIONAL MUL</t>
  </si>
  <si>
    <t>DWPP</t>
  </si>
  <si>
    <t>FIRST TRUST DORSEY WRIGHT PE</t>
  </si>
  <si>
    <t>DWSH</t>
  </si>
  <si>
    <t>AdvisorShares Dorsey WS ETF</t>
  </si>
  <si>
    <t>DWSN</t>
  </si>
  <si>
    <t>DAWSON GEOPHYSICAL CO</t>
  </si>
  <si>
    <t>DWUS</t>
  </si>
  <si>
    <t>ADVISORSHARES D/W FSM CORE</t>
  </si>
  <si>
    <t>DWX</t>
  </si>
  <si>
    <t>SPDR S&amp;P INTER DVD ETF</t>
  </si>
  <si>
    <t>DX</t>
  </si>
  <si>
    <t>DYNEX CAPITAL INC</t>
  </si>
  <si>
    <t>DX-B</t>
  </si>
  <si>
    <t>DX-C</t>
  </si>
  <si>
    <t>DXC</t>
  </si>
  <si>
    <t>DXC TECHNOLOGY CO</t>
  </si>
  <si>
    <t>DXCM</t>
  </si>
  <si>
    <t>DEXCOM INC</t>
  </si>
  <si>
    <t>DXD</t>
  </si>
  <si>
    <t>PROSHARES ULTRASHORT DOW30</t>
  </si>
  <si>
    <t>DXF</t>
  </si>
  <si>
    <t>DUNXIN FINANCIAL HOLDING-ADR</t>
  </si>
  <si>
    <t>DXGE</t>
  </si>
  <si>
    <t>WISDOMTREE GERMANY HEDGED EQ</t>
  </si>
  <si>
    <t>DXJ</t>
  </si>
  <si>
    <t>WISDOMTREE JAPAN HEDGED EQ</t>
  </si>
  <si>
    <t>DXJS</t>
  </si>
  <si>
    <t>WISDOMTREE JAPAN HEDGED SMAL</t>
  </si>
  <si>
    <t>DXLG</t>
  </si>
  <si>
    <t>DESTINATION XL GROUP INC</t>
  </si>
  <si>
    <t>DXPE</t>
  </si>
  <si>
    <t>DXP ENTERPRISES INC</t>
  </si>
  <si>
    <t>DXR</t>
  </si>
  <si>
    <t>DAXOR CORP</t>
  </si>
  <si>
    <t>DXYN</t>
  </si>
  <si>
    <t>DIXIE GROUP INC</t>
  </si>
  <si>
    <t>DY</t>
  </si>
  <si>
    <t>DYCOM INDUSTRIES INC</t>
  </si>
  <si>
    <t>DYAI</t>
  </si>
  <si>
    <t>DYADIC INTERNATIONAL INC</t>
  </si>
  <si>
    <t>DYFN</t>
  </si>
  <si>
    <t>ANGEL OAK DYN FIN STRAT INC</t>
  </si>
  <si>
    <t>DYHG</t>
  </si>
  <si>
    <t>DIREXION DYNAMIC HEDGE ETF</t>
  </si>
  <si>
    <t>DYNF</t>
  </si>
  <si>
    <t>BLACKROCK US EQY FCTR ROTATE</t>
  </si>
  <si>
    <t>DYNT</t>
  </si>
  <si>
    <t>DYNATRONICS CORP</t>
  </si>
  <si>
    <t>DZK</t>
  </si>
  <si>
    <t>DIREXION DLY DEV MKT BULL 3X</t>
  </si>
  <si>
    <t>DZSI</t>
  </si>
  <si>
    <t>DZS INC</t>
  </si>
  <si>
    <t>DZZ</t>
  </si>
  <si>
    <t>DB GOLD DOUBLE SHORT ETN</t>
  </si>
  <si>
    <t>E</t>
  </si>
  <si>
    <t>ENI SPA-SPONSORED ADR</t>
  </si>
  <si>
    <t>EA</t>
  </si>
  <si>
    <t>ELECTRONIC ARTS INC</t>
  </si>
  <si>
    <t>EAB</t>
  </si>
  <si>
    <t>EAD</t>
  </si>
  <si>
    <t>WELLS FARGO INCOME OPPORTUNI</t>
  </si>
  <si>
    <t>EAE</t>
  </si>
  <si>
    <t>EAF</t>
  </si>
  <si>
    <t>GRAFTECH INTERNATIONAL LTD</t>
  </si>
  <si>
    <t>EAGG</t>
  </si>
  <si>
    <t>ISHARES ESG AWARE US AGGREGA</t>
  </si>
  <si>
    <t>EAI</t>
  </si>
  <si>
    <t>EAOA</t>
  </si>
  <si>
    <t>ISHARES ESG AWARE AGGR ALLOC</t>
  </si>
  <si>
    <t>EAOK</t>
  </si>
  <si>
    <t>ISHARES ESG AWARE CONS ALLOC</t>
  </si>
  <si>
    <t>EAOM</t>
  </si>
  <si>
    <t>ISHARES ESG AWARE MOD ALLOC</t>
  </si>
  <si>
    <t>EAOR</t>
  </si>
  <si>
    <t>ISHARES ESG AWARE GROW ALLOC</t>
  </si>
  <si>
    <t>EARN</t>
  </si>
  <si>
    <t>ELLINGTON RESIDENTIAL MORTGA</t>
  </si>
  <si>
    <t>EARS</t>
  </si>
  <si>
    <t>AURIS MEDICAL HOLDING LTD</t>
  </si>
  <si>
    <t>EASG</t>
  </si>
  <si>
    <t>XTRACKERS MSCI EAFE ESG LDRS</t>
  </si>
  <si>
    <t>EAST</t>
  </si>
  <si>
    <t>EASTSIDE DISTILLING INC</t>
  </si>
  <si>
    <t>EAT</t>
  </si>
  <si>
    <t>BRINKER INTERNATIONAL INC</t>
  </si>
  <si>
    <t>EB</t>
  </si>
  <si>
    <t>EVENTBRITE INC-CLASS A</t>
  </si>
  <si>
    <t>EBAY</t>
  </si>
  <si>
    <t>EBAY INC</t>
  </si>
  <si>
    <t>EBAYL</t>
  </si>
  <si>
    <t>EBF</t>
  </si>
  <si>
    <t>ENNIS INC</t>
  </si>
  <si>
    <t>EBIX</t>
  </si>
  <si>
    <t>EBIX INC</t>
  </si>
  <si>
    <t>EBIZ</t>
  </si>
  <si>
    <t>GLOBAL X E-COMMERCE ETF</t>
  </si>
  <si>
    <t>EBLU</t>
  </si>
  <si>
    <t>ECOFIN GLOBAL WATER ESG FUND</t>
  </si>
  <si>
    <t>EBMT</t>
  </si>
  <si>
    <t>EAGLE BANCORP MONTANA INC</t>
  </si>
  <si>
    <t>EBND</t>
  </si>
  <si>
    <t>SPDR BBG BARC EM LOCAL BOND</t>
  </si>
  <si>
    <t>EBON</t>
  </si>
  <si>
    <t>EBANG INTERNATIONAL HLDGS-A</t>
  </si>
  <si>
    <t>EBR</t>
  </si>
  <si>
    <t>CENTRAIS ELETRICAS BR-SP ADR</t>
  </si>
  <si>
    <t>EBR.B</t>
  </si>
  <si>
    <t>CENTRAIS ELEC BRAS-ADR PREF</t>
  </si>
  <si>
    <t>EBS</t>
  </si>
  <si>
    <t>EMERGENT BIOSOLUTIONS INC</t>
  </si>
  <si>
    <t>EBSB</t>
  </si>
  <si>
    <t>MERIDIAN BANCORP INC</t>
  </si>
  <si>
    <t>EBTC</t>
  </si>
  <si>
    <t>ENTERPRISE BANCORP INC</t>
  </si>
  <si>
    <t>EC</t>
  </si>
  <si>
    <t>ECOPETROL SA-SPONSORED ADR</t>
  </si>
  <si>
    <t>ECC</t>
  </si>
  <si>
    <t>EAGLE POINT CREDIT CO INC</t>
  </si>
  <si>
    <t>ECCB</t>
  </si>
  <si>
    <t>ECCX</t>
  </si>
  <si>
    <t>ECCY</t>
  </si>
  <si>
    <t>ECF</t>
  </si>
  <si>
    <t>ELLSWORTH GROWTH AND INCOME</t>
  </si>
  <si>
    <t>ECF-A</t>
  </si>
  <si>
    <t>ECH</t>
  </si>
  <si>
    <t>ISHARES MSCI CHILE ETF</t>
  </si>
  <si>
    <t>ECHO</t>
  </si>
  <si>
    <t>ECHO GLOBAL LOGISTICS INC</t>
  </si>
  <si>
    <t>ECL</t>
  </si>
  <si>
    <t>ECOLAB INC</t>
  </si>
  <si>
    <t>ECLN</t>
  </si>
  <si>
    <t>FIRST TRUST EIP CARBON IMPAC</t>
  </si>
  <si>
    <t>ECNS</t>
  </si>
  <si>
    <t>ISHARES MSCI CHINA SMALL-CAP</t>
  </si>
  <si>
    <t>ECOL</t>
  </si>
  <si>
    <t>US ECOLOGY INC</t>
  </si>
  <si>
    <t>ECOLW</t>
  </si>
  <si>
    <t>ECOM</t>
  </si>
  <si>
    <t>CHANNELADVISOR CORP</t>
  </si>
  <si>
    <t>ECON</t>
  </si>
  <si>
    <t>COLUMBIA EMERGING MARKETS CO</t>
  </si>
  <si>
    <t>ECOR</t>
  </si>
  <si>
    <t>ELECTROCORE INC</t>
  </si>
  <si>
    <t>ECOW</t>
  </si>
  <si>
    <t>PACER EMERGING MARKETS CASH</t>
  </si>
  <si>
    <t>ECOZ</t>
  </si>
  <si>
    <t>TRUESHARES ESG ACTIVE OPPORT</t>
  </si>
  <si>
    <t>ECPG</t>
  </si>
  <si>
    <t>ENCORE CAPITAL GROUP INC</t>
  </si>
  <si>
    <t>ED</t>
  </si>
  <si>
    <t>CONSOLIDATED EDISON INC</t>
  </si>
  <si>
    <t>EDAP</t>
  </si>
  <si>
    <t>EDAP TMS SA -ADR</t>
  </si>
  <si>
    <t>EDC</t>
  </si>
  <si>
    <t>DIREXION DLY EMG MKT BULL 3X</t>
  </si>
  <si>
    <t>EDD</t>
  </si>
  <si>
    <t>MORGAN STANLEY EMERGING MARK</t>
  </si>
  <si>
    <t>EDEN</t>
  </si>
  <si>
    <t>ISHARES MSCI DENMARK ETF</t>
  </si>
  <si>
    <t>EDF</t>
  </si>
  <si>
    <t>STONE HARBOR EMER MKT INC</t>
  </si>
  <si>
    <t>EDI</t>
  </si>
  <si>
    <t>STONE HARBOR EM MKT TOTL INC</t>
  </si>
  <si>
    <t>EDIT</t>
  </si>
  <si>
    <t>EDITAS MEDICINE INC</t>
  </si>
  <si>
    <t>EDIV</t>
  </si>
  <si>
    <t>SPDR S&amp;P EMERGING MARKETS DI</t>
  </si>
  <si>
    <t>EDN</t>
  </si>
  <si>
    <t>EMP DISTRIB Y COMERC NOR-ADR</t>
  </si>
  <si>
    <t>EDNT</t>
  </si>
  <si>
    <t>EDISON NATION INC</t>
  </si>
  <si>
    <t>EDOC</t>
  </si>
  <si>
    <t>GL X TELEMEDICINE DIG HEALTH</t>
  </si>
  <si>
    <t>EDOG</t>
  </si>
  <si>
    <t>ALPS EMERGING SECTOR DIVIDEN</t>
  </si>
  <si>
    <t>EDOW</t>
  </si>
  <si>
    <t>FIRST TRUST DOW 30 EQL WGHT</t>
  </si>
  <si>
    <t>EDRY</t>
  </si>
  <si>
    <t>EURODRY LTD</t>
  </si>
  <si>
    <t>EDSA</t>
  </si>
  <si>
    <t>EDESA BIOTECH INC</t>
  </si>
  <si>
    <t>EDTK</t>
  </si>
  <si>
    <t>SKILLFUL CRAFTSMAN EDUCATION</t>
  </si>
  <si>
    <t>EDU</t>
  </si>
  <si>
    <t>NEW ORIENTAL EDUCATIO-SP ADR</t>
  </si>
  <si>
    <t>EDUC</t>
  </si>
  <si>
    <t>EDUCATIONAL DEVELOPMENT CORP</t>
  </si>
  <si>
    <t>EDUT</t>
  </si>
  <si>
    <t>GLOBAL X EDUCATION ETF</t>
  </si>
  <si>
    <t>EDV</t>
  </si>
  <si>
    <t>VANGUARD EXTENDED DUR TREAS</t>
  </si>
  <si>
    <t>EDZ</t>
  </si>
  <si>
    <t>DIREXION DLY EMG MKT BEAR 3X</t>
  </si>
  <si>
    <t>EEA</t>
  </si>
  <si>
    <t>EUROPEAN EQUITY FUND INC/THE</t>
  </si>
  <si>
    <t>EEFT</t>
  </si>
  <si>
    <t>EURONET WORLDWIDE INC</t>
  </si>
  <si>
    <t>EEH</t>
  </si>
  <si>
    <t>ELEMENTS SPECTRUM ETN</t>
  </si>
  <si>
    <t>EELV</t>
  </si>
  <si>
    <t>INVESCO S&amp;P EMERGING MARKETS</t>
  </si>
  <si>
    <t>EEM</t>
  </si>
  <si>
    <t>ISHARES MSCI EMERGING MARKET</t>
  </si>
  <si>
    <t>EEMA</t>
  </si>
  <si>
    <t>ISHARES MSCI EMERG MRKT ASIA</t>
  </si>
  <si>
    <t>EEMD</t>
  </si>
  <si>
    <t>AAM S&amp;P EM HIGH DIV VAL ETF</t>
  </si>
  <si>
    <t>EEMO</t>
  </si>
  <si>
    <t>EEMS</t>
  </si>
  <si>
    <t>ISHARES MSCI EMERGING MKT SM</t>
  </si>
  <si>
    <t>EEMV</t>
  </si>
  <si>
    <t>EEMX</t>
  </si>
  <si>
    <t>SPDR MSCI EM FSL FL RSV FREE</t>
  </si>
  <si>
    <t>EES</t>
  </si>
  <si>
    <t>WISDOMTREE US SMALLCAP FUND</t>
  </si>
  <si>
    <t>EET</t>
  </si>
  <si>
    <t>PROSHARES ULT MSCI EMER MKTS</t>
  </si>
  <si>
    <t>EEV</t>
  </si>
  <si>
    <t>PROSHARES ULTSHRT MSCI EM</t>
  </si>
  <si>
    <t>EEX</t>
  </si>
  <si>
    <t>EMERALD HOLDING INC</t>
  </si>
  <si>
    <t>EFA</t>
  </si>
  <si>
    <t>ISHARES MSCI EAFE ETF</t>
  </si>
  <si>
    <t>EFAD</t>
  </si>
  <si>
    <t>PROSHARES EAFE DVD GROWERS</t>
  </si>
  <si>
    <t>EFAS</t>
  </si>
  <si>
    <t>GLOBAL X MSCI SUPERDIVIDEND</t>
  </si>
  <si>
    <t>EFAV</t>
  </si>
  <si>
    <t>ISHARES MSCI EAFE MIN VOL FA</t>
  </si>
  <si>
    <t>EFAX</t>
  </si>
  <si>
    <t>SPDR MSCI EAFA FOSSIL FUEL</t>
  </si>
  <si>
    <t>EFC</t>
  </si>
  <si>
    <t>ELLINGTON FINANCIAL INC</t>
  </si>
  <si>
    <t>EFC-A</t>
  </si>
  <si>
    <t>EFF</t>
  </si>
  <si>
    <t>EATON VANCE FLOATING-RATE IN</t>
  </si>
  <si>
    <t>EFG</t>
  </si>
  <si>
    <t>ISHARES MSCI EAFE GROWTH ETF</t>
  </si>
  <si>
    <t>EFIV</t>
  </si>
  <si>
    <t>SPDR S&amp;P 500 ESG ETF</t>
  </si>
  <si>
    <t>EFL</t>
  </si>
  <si>
    <t>EATON VANCE FLOATING-RATE 20</t>
  </si>
  <si>
    <t>EFNL</t>
  </si>
  <si>
    <t>ISHARES MSCI FINLAND ETF</t>
  </si>
  <si>
    <t>EFO</t>
  </si>
  <si>
    <t>PROSHARES ULTRA MSCI EAFE</t>
  </si>
  <si>
    <t>EFOI</t>
  </si>
  <si>
    <t>ENERGY FOCUS INC</t>
  </si>
  <si>
    <t>EFR</t>
  </si>
  <si>
    <t>EATON VANCE SR FLTG RATE TR</t>
  </si>
  <si>
    <t>EFSC</t>
  </si>
  <si>
    <t>ENTERPRISE FINANCIAL SERVICE</t>
  </si>
  <si>
    <t>EFT</t>
  </si>
  <si>
    <t>EATON VANCE FLOAT RT INC TR</t>
  </si>
  <si>
    <t>EFU</t>
  </si>
  <si>
    <t>PROSHARES ULTSHRT MSCI EAFE</t>
  </si>
  <si>
    <t>EFV</t>
  </si>
  <si>
    <t>ISHARES MSCI EAFE VALUE ETF</t>
  </si>
  <si>
    <t>EFX</t>
  </si>
  <si>
    <t>EQUIFAX INC</t>
  </si>
  <si>
    <t>EFZ</t>
  </si>
  <si>
    <t>PROSHARES SHORT MSCI EAFE</t>
  </si>
  <si>
    <t>EGAN</t>
  </si>
  <si>
    <t>EGAIN CORP</t>
  </si>
  <si>
    <t>EGBN</t>
  </si>
  <si>
    <t>EAGLE BANCORP INC</t>
  </si>
  <si>
    <t>EGF</t>
  </si>
  <si>
    <t>BLACKROCK ENHANCED GOVT FUND</t>
  </si>
  <si>
    <t>EGHT</t>
  </si>
  <si>
    <t>8X8 INC</t>
  </si>
  <si>
    <t>EGLE</t>
  </si>
  <si>
    <t>EAGLE BULK SHIPPING INC</t>
  </si>
  <si>
    <t>EGO</t>
  </si>
  <si>
    <t>ELDORADO GOLD CORP</t>
  </si>
  <si>
    <t>EGOV</t>
  </si>
  <si>
    <t>NIC INC</t>
  </si>
  <si>
    <t>EGP</t>
  </si>
  <si>
    <t>EASTGROUP PROPERTIES INC</t>
  </si>
  <si>
    <t>EGPT</t>
  </si>
  <si>
    <t>VANECK EGYPT</t>
  </si>
  <si>
    <t>EGRX</t>
  </si>
  <si>
    <t>EAGLE PHARMACEUTICALS INC</t>
  </si>
  <si>
    <t>EGY</t>
  </si>
  <si>
    <t>VAALCO ENERGY INC</t>
  </si>
  <si>
    <t>EH</t>
  </si>
  <si>
    <t>EHANG HOLDINGS LTD-SPS ADR</t>
  </si>
  <si>
    <t>EHC</t>
  </si>
  <si>
    <t>ENCOMPASS HEALTH CORP</t>
  </si>
  <si>
    <t>EHI</t>
  </si>
  <si>
    <t>WESTERN ASSET GLOBAL HIGH IN</t>
  </si>
  <si>
    <t>EHT</t>
  </si>
  <si>
    <t>EATON VANCE HIGH INCOME 2021</t>
  </si>
  <si>
    <t>EHTH</t>
  </si>
  <si>
    <t>EHEALTH INC</t>
  </si>
  <si>
    <t>EIC</t>
  </si>
  <si>
    <t>EAGLE POINT INCOME CO INC</t>
  </si>
  <si>
    <t>EIDO</t>
  </si>
  <si>
    <t>ISHARES MSCI INDONESIA ETF</t>
  </si>
  <si>
    <t>EIDX</t>
  </si>
  <si>
    <t>EIDOS THERAPEUTICS INC</t>
  </si>
  <si>
    <t>EIG</t>
  </si>
  <si>
    <t>EMPLOYERS HOLDINGS INC</t>
  </si>
  <si>
    <t>EIGI</t>
  </si>
  <si>
    <t>ENDURANCE INTERNATIONAL GROU</t>
  </si>
  <si>
    <t>EIGR</t>
  </si>
  <si>
    <t>EIGER BIOPHARMACEUTICALS INC</t>
  </si>
  <si>
    <t>EIM</t>
  </si>
  <si>
    <t>EATON VANCE MUNICIPAL BOND F</t>
  </si>
  <si>
    <t>EINC</t>
  </si>
  <si>
    <t>VANECK VECTORS ENERGY INCOME</t>
  </si>
  <si>
    <t>EIRL</t>
  </si>
  <si>
    <t>ISHARES MSCI IRELAND ETF</t>
  </si>
  <si>
    <t>EIS</t>
  </si>
  <si>
    <t>ISHARES MSCI ISRAEL ETF</t>
  </si>
  <si>
    <t>EIX</t>
  </si>
  <si>
    <t>EDISON INTERNATIONAL</t>
  </si>
  <si>
    <t>EJAN</t>
  </si>
  <si>
    <t>INNOVATOR MSCI EMERGING MKT</t>
  </si>
  <si>
    <t>EJUL</t>
  </si>
  <si>
    <t>INNO MSCI EMER MKTS P B JULY</t>
  </si>
  <si>
    <t>EKAR</t>
  </si>
  <si>
    <t>IDEANOMICS NEXTGEN VEH&amp;TECH</t>
  </si>
  <si>
    <t>EKSO</t>
  </si>
  <si>
    <t>EKSO BIONICS HOLDINGS INC</t>
  </si>
  <si>
    <t>EL</t>
  </si>
  <si>
    <t>ESTEE LAUDER COMPANIES-CL A</t>
  </si>
  <si>
    <t>ELA</t>
  </si>
  <si>
    <t>ENVELA CORP</t>
  </si>
  <si>
    <t>ELAN</t>
  </si>
  <si>
    <t>ELANCO ANIMAL HEALTH INC</t>
  </si>
  <si>
    <t>ELAT</t>
  </si>
  <si>
    <t>ELC</t>
  </si>
  <si>
    <t>ELD</t>
  </si>
  <si>
    <t>WISDOMTREE EMRG MKTS DEBT</t>
  </si>
  <si>
    <t>ELF</t>
  </si>
  <si>
    <t>ELF BEAUTY INC</t>
  </si>
  <si>
    <t>ELJ</t>
  </si>
  <si>
    <t>ELLO</t>
  </si>
  <si>
    <t>ELLOMAY CAPITAL LTD</t>
  </si>
  <si>
    <t>ELMD</t>
  </si>
  <si>
    <t>ELECTROMED INC</t>
  </si>
  <si>
    <t>ELOX</t>
  </si>
  <si>
    <t>ELOXX PHARMACEUTICALS INC</t>
  </si>
  <si>
    <t>ELP</t>
  </si>
  <si>
    <t>CIA PARANAENSE ENER-SP ADR P</t>
  </si>
  <si>
    <t>ELS</t>
  </si>
  <si>
    <t>EQUITY LIFESTYLE PROPERTIES</t>
  </si>
  <si>
    <t>ELSE</t>
  </si>
  <si>
    <t>ELECTRO-SENSORS INC</t>
  </si>
  <si>
    <t>ELTK</t>
  </si>
  <si>
    <t>ELTEK LTD</t>
  </si>
  <si>
    <t>ELU</t>
  </si>
  <si>
    <t>ELVT</t>
  </si>
  <si>
    <t>ELEVATE CREDIT INC</t>
  </si>
  <si>
    <t>ELY</t>
  </si>
  <si>
    <t>CALLAWAY GOLF COMPANY</t>
  </si>
  <si>
    <t>EMAG</t>
  </si>
  <si>
    <t>VANECK EM AGGREGATE BOND</t>
  </si>
  <si>
    <t>EMAN</t>
  </si>
  <si>
    <t>EMAGIN CORPORATION</t>
  </si>
  <si>
    <t>EMB</t>
  </si>
  <si>
    <t>ISHARES JP MORGAN USD EMERGI</t>
  </si>
  <si>
    <t>EMBD</t>
  </si>
  <si>
    <t>GLOBAL X EMERGING MARKETS BD</t>
  </si>
  <si>
    <t>EMBH</t>
  </si>
  <si>
    <t>ISHARES INT RATE HDG EM BOND</t>
  </si>
  <si>
    <t>EMCB</t>
  </si>
  <si>
    <t>WISDOMTREE EM CORP BOND</t>
  </si>
  <si>
    <t>EMCF</t>
  </si>
  <si>
    <t>EMCLAIRE FINANCIAL CORP</t>
  </si>
  <si>
    <t>EMD</t>
  </si>
  <si>
    <t>WESTERN ASSET EMRG MRKT DBT</t>
  </si>
  <si>
    <t>EMDV</t>
  </si>
  <si>
    <t>PROSHARES MSCI EMERGING MARK</t>
  </si>
  <si>
    <t>EME</t>
  </si>
  <si>
    <t>EMCOR GROUP INC</t>
  </si>
  <si>
    <t>EMF</t>
  </si>
  <si>
    <t>TEMPLETON EMERGING MKTS FND</t>
  </si>
  <si>
    <t>EMFM</t>
  </si>
  <si>
    <t>GLOBAL X MSCI NEXT EMERGING</t>
  </si>
  <si>
    <t>EMGF</t>
  </si>
  <si>
    <t>EMHY</t>
  </si>
  <si>
    <t>ISHARES J.P. MORGAN EM HIGH</t>
  </si>
  <si>
    <t>EMIF</t>
  </si>
  <si>
    <t>ISHARES EMERGING MARKETS INF</t>
  </si>
  <si>
    <t>EMKR</t>
  </si>
  <si>
    <t>EMCORE CORP</t>
  </si>
  <si>
    <t>EML</t>
  </si>
  <si>
    <t>EASTERN CO/THE</t>
  </si>
  <si>
    <t>EMLC</t>
  </si>
  <si>
    <t>VANECK JPM EM LOCAL CCY BOND</t>
  </si>
  <si>
    <t>EMLP</t>
  </si>
  <si>
    <t>FIRST TRUST NORTH AMERICAN E</t>
  </si>
  <si>
    <t>EMMF</t>
  </si>
  <si>
    <t>EMN</t>
  </si>
  <si>
    <t>EASTMAN CHEMICAL CO</t>
  </si>
  <si>
    <t>EMNT</t>
  </si>
  <si>
    <t>PIMCO ENHCD ST M-ACTIVE ESG</t>
  </si>
  <si>
    <t>EMO</t>
  </si>
  <si>
    <t>CLEARBRIDGE ENERGY MIDSTREAM</t>
  </si>
  <si>
    <t>EMP</t>
  </si>
  <si>
    <t>EMQQ</t>
  </si>
  <si>
    <t>EMERGING MRKTS INTERNET &amp; EC</t>
  </si>
  <si>
    <t>EMR</t>
  </si>
  <si>
    <t>EMERSON ELECTRIC CO</t>
  </si>
  <si>
    <t>EMSG</t>
  </si>
  <si>
    <t>EMSH</t>
  </si>
  <si>
    <t>PROSHARES SHORT TERM USD EME</t>
  </si>
  <si>
    <t>EMTL</t>
  </si>
  <si>
    <t>SPDR DL EM FX IN ETF</t>
  </si>
  <si>
    <t>EMTY</t>
  </si>
  <si>
    <t>PROSHARES DECLINE OF THE RET</t>
  </si>
  <si>
    <t>EMX</t>
  </si>
  <si>
    <t>EMX ROYALTY CORP</t>
  </si>
  <si>
    <t>EMXC</t>
  </si>
  <si>
    <t>ISHARES MSCI EMR MRK EX CHNA</t>
  </si>
  <si>
    <t>ENB</t>
  </si>
  <si>
    <t>ENBRIDGE INC</t>
  </si>
  <si>
    <t>ENBA</t>
  </si>
  <si>
    <t>ENBL</t>
  </si>
  <si>
    <t>ENABLE MIDSTREAM PARTNERS LP</t>
  </si>
  <si>
    <t>ENDP</t>
  </si>
  <si>
    <t>ENDO INTERNATIONAL PLC</t>
  </si>
  <si>
    <t>ENFR</t>
  </si>
  <si>
    <t>ALERIAN ENERGY INFRASTRUCTUR</t>
  </si>
  <si>
    <t>ENG</t>
  </si>
  <si>
    <t>ENGLOBAL CORP</t>
  </si>
  <si>
    <t>ENIA</t>
  </si>
  <si>
    <t>ENEL AMERICAS SA-ADR</t>
  </si>
  <si>
    <t>ENIC</t>
  </si>
  <si>
    <t>ENEL CHILE SA-ADR</t>
  </si>
  <si>
    <t>ENJ</t>
  </si>
  <si>
    <t>ENLC</t>
  </si>
  <si>
    <t>ENLINK MIDSTREAM LLC</t>
  </si>
  <si>
    <t>ENLV</t>
  </si>
  <si>
    <t>ENLIVEX THERAPEUTICS LTD</t>
  </si>
  <si>
    <t>ENO</t>
  </si>
  <si>
    <t>ENOB</t>
  </si>
  <si>
    <t>ENOCHIAN BIOSCIENCES INC</t>
  </si>
  <si>
    <t>ENOR</t>
  </si>
  <si>
    <t>ISHARES MSCI NORWAY ETF</t>
  </si>
  <si>
    <t>ENPH</t>
  </si>
  <si>
    <t>ENPHASE ENERGY INC</t>
  </si>
  <si>
    <t>ENR</t>
  </si>
  <si>
    <t>ENERGIZER HOLDINGS INC</t>
  </si>
  <si>
    <t>ENR-A</t>
  </si>
  <si>
    <t>ENS</t>
  </si>
  <si>
    <t>ENERSYS</t>
  </si>
  <si>
    <t>ENSG</t>
  </si>
  <si>
    <t>ENSIGN GROUP INC/THE</t>
  </si>
  <si>
    <t>ENSV</t>
  </si>
  <si>
    <t>ENSERVCO CORP</t>
  </si>
  <si>
    <t>ENTA</t>
  </si>
  <si>
    <t>ENANTA PHARMACEUTICALS INC</t>
  </si>
  <si>
    <t>ENTG</t>
  </si>
  <si>
    <t>ENTEGRIS INC</t>
  </si>
  <si>
    <t>ENTR</t>
  </si>
  <si>
    <t>ERSHARES ENTREPRENEUR 30 ETF</t>
  </si>
  <si>
    <t>ENTX</t>
  </si>
  <si>
    <t>ENTERA BIO LTD</t>
  </si>
  <si>
    <t>ENTXW</t>
  </si>
  <si>
    <t>ENV</t>
  </si>
  <si>
    <t>ENVESTNET INC</t>
  </si>
  <si>
    <t>ENVA</t>
  </si>
  <si>
    <t>ENOVA INTERNATIONAL INC</t>
  </si>
  <si>
    <t>ENX</t>
  </si>
  <si>
    <t>EATON VANCE NEW YORK MUNICIP</t>
  </si>
  <si>
    <t>ENZ</t>
  </si>
  <si>
    <t>ENZO BIOCHEM INC</t>
  </si>
  <si>
    <t>ENZL</t>
  </si>
  <si>
    <t>ISHARES MSCI NEW ZEALAND ETF</t>
  </si>
  <si>
    <t>EOD</t>
  </si>
  <si>
    <t>WELLS FARGO GLOBAL DIVIDEND</t>
  </si>
  <si>
    <t>EOG</t>
  </si>
  <si>
    <t>EOG RESOURCES INC</t>
  </si>
  <si>
    <t>EOI</t>
  </si>
  <si>
    <t>EATON VANCE ENHANCED EQ INCM</t>
  </si>
  <si>
    <t>EOLS</t>
  </si>
  <si>
    <t>EVOLUS INC</t>
  </si>
  <si>
    <t>EOS</t>
  </si>
  <si>
    <t>EATON VANCE ENH EQT INC II</t>
  </si>
  <si>
    <t>EOT</t>
  </si>
  <si>
    <t>EATON VANCE NATIONAL MUNICIP</t>
  </si>
  <si>
    <t>EP-C</t>
  </si>
  <si>
    <t>EPAC</t>
  </si>
  <si>
    <t>ENERPAC TOOL GROUP CORP</t>
  </si>
  <si>
    <t>EPAM</t>
  </si>
  <si>
    <t>EPAM SYSTEMS INC</t>
  </si>
  <si>
    <t>EPAY</t>
  </si>
  <si>
    <t>BOTTOMLINE TECHNOLOGIES (DE)</t>
  </si>
  <si>
    <t>EPC</t>
  </si>
  <si>
    <t>EDGEWELL PERSONAL CARE CO</t>
  </si>
  <si>
    <t>EPD</t>
  </si>
  <si>
    <t>ENTERPRISE PRODUCTS PARTNERS</t>
  </si>
  <si>
    <t>EPHE</t>
  </si>
  <si>
    <t>ISHARES MSCI PHILIPPINES ETF</t>
  </si>
  <si>
    <t>EPI</t>
  </si>
  <si>
    <t>WISDOMTREE INDIA EARNINGS</t>
  </si>
  <si>
    <t>EPIX</t>
  </si>
  <si>
    <t>ESSA PHARMA INC</t>
  </si>
  <si>
    <t>EPM</t>
  </si>
  <si>
    <t>EVOLUTION PETROLEUM CORP</t>
  </si>
  <si>
    <t>EPOL</t>
  </si>
  <si>
    <t>ISHARES MSCI POLAND ETF</t>
  </si>
  <si>
    <t>EPP</t>
  </si>
  <si>
    <t>ISHARES MSCI PACIFIC EX JAPA</t>
  </si>
  <si>
    <t>EPR</t>
  </si>
  <si>
    <t>EPR PROPERTIES</t>
  </si>
  <si>
    <t>EPR-C</t>
  </si>
  <si>
    <t>EPR-E</t>
  </si>
  <si>
    <t>EPR-G</t>
  </si>
  <si>
    <t>EPRF</t>
  </si>
  <si>
    <t>INNOVAT S&amp;P INVEST GRD PREF</t>
  </si>
  <si>
    <t>EPRT</t>
  </si>
  <si>
    <t>ESSENTIAL PROPERTIES REALTY</t>
  </si>
  <si>
    <t>EPS</t>
  </si>
  <si>
    <t>WISDOMTREE US LARGE CAP FUND</t>
  </si>
  <si>
    <t>EPSN</t>
  </si>
  <si>
    <t>EPSILON ENERGY LTD</t>
  </si>
  <si>
    <t>EPU</t>
  </si>
  <si>
    <t>ISHARES MSCI PERU ETF</t>
  </si>
  <si>
    <t>EPV</t>
  </si>
  <si>
    <t>PROSHARES ULTRASHORT FTSE EU</t>
  </si>
  <si>
    <t>EPZM</t>
  </si>
  <si>
    <t>EPIZYME INC</t>
  </si>
  <si>
    <t>EQ</t>
  </si>
  <si>
    <t>EQUILLIUM INC</t>
  </si>
  <si>
    <t>EQAL</t>
  </si>
  <si>
    <t>INVESCO RUSSELL 1000 EQUAL W</t>
  </si>
  <si>
    <t>EQBK</t>
  </si>
  <si>
    <t>EQUITY BANCSHARES INC - CL A</t>
  </si>
  <si>
    <t>EQC</t>
  </si>
  <si>
    <t>EQUITY COMMONWEALTH</t>
  </si>
  <si>
    <t>EQC-D</t>
  </si>
  <si>
    <t>EQH</t>
  </si>
  <si>
    <t>EQUITABLE HOLDINGS INC</t>
  </si>
  <si>
    <t>EQH-A</t>
  </si>
  <si>
    <t>EQIX</t>
  </si>
  <si>
    <t>EQUINIX INC</t>
  </si>
  <si>
    <t>EQL</t>
  </si>
  <si>
    <t>ALPS EQUAL SECTOR WEIGHT ETF</t>
  </si>
  <si>
    <t>EQNR</t>
  </si>
  <si>
    <t>EQUINOR ASA-SPON ADR</t>
  </si>
  <si>
    <t>EQR</t>
  </si>
  <si>
    <t>EQUITY RESIDENTIAL</t>
  </si>
  <si>
    <t>EQRR</t>
  </si>
  <si>
    <t>PROSHRS EQTY RISING RATE ETF</t>
  </si>
  <si>
    <t>EQS</t>
  </si>
  <si>
    <t>EQUUS TOTAL RETURN INC</t>
  </si>
  <si>
    <t>EQT</t>
  </si>
  <si>
    <t>EQT CORP</t>
  </si>
  <si>
    <t>EQWL</t>
  </si>
  <si>
    <t>INVESCO S&amp;P 100 EQUAL WEIGHT</t>
  </si>
  <si>
    <t>EQX</t>
  </si>
  <si>
    <t>EQUINOX GOLD CORP</t>
  </si>
  <si>
    <t>ERC</t>
  </si>
  <si>
    <t>WELLS FARGO MULTI-SECTOR INC</t>
  </si>
  <si>
    <t>ERESU</t>
  </si>
  <si>
    <t>EAST RESOURCES ACQUISITION C</t>
  </si>
  <si>
    <t>ERF</t>
  </si>
  <si>
    <t>ENERPLUS CORP</t>
  </si>
  <si>
    <t>ERH</t>
  </si>
  <si>
    <t>WELLS FARGO UTILITIES AND HI</t>
  </si>
  <si>
    <t>ERIC</t>
  </si>
  <si>
    <t>ERICSSON (LM) TEL-SP ADR</t>
  </si>
  <si>
    <t>ERIE</t>
  </si>
  <si>
    <t>ERIE INDEMNITY COMPANY-CL A</t>
  </si>
  <si>
    <t>ERII</t>
  </si>
  <si>
    <t>ENERGY RECOVERY INC</t>
  </si>
  <si>
    <t>ERJ</t>
  </si>
  <si>
    <t>EMBRAER SA-SPON ADR</t>
  </si>
  <si>
    <t>ERM</t>
  </si>
  <si>
    <t>EQUITYCOMPASS RISK MNGR ETF</t>
  </si>
  <si>
    <t>EROS</t>
  </si>
  <si>
    <t>EROS INTERNATIONAL PLC</t>
  </si>
  <si>
    <t>ERSX</t>
  </si>
  <si>
    <t>ERShares Non-US SMALLCAP ETF</t>
  </si>
  <si>
    <t>ERUS</t>
  </si>
  <si>
    <t>ISHARES MSCI RUSSIA ETF</t>
  </si>
  <si>
    <t>ERX</t>
  </si>
  <si>
    <t>DIREXION DAILY ENERGY BULL 2</t>
  </si>
  <si>
    <t>ERY</t>
  </si>
  <si>
    <t>DIREXION DAILY ENERGY BEAR 2</t>
  </si>
  <si>
    <t>ERYP</t>
  </si>
  <si>
    <t>ERYTECH PHARMA - SPON ADR</t>
  </si>
  <si>
    <t>ES</t>
  </si>
  <si>
    <t>EVERSOURCE ENERGY</t>
  </si>
  <si>
    <t>ESBA</t>
  </si>
  <si>
    <t>EMPIRE STATE REALTY OP LP-ES</t>
  </si>
  <si>
    <t>ESBK</t>
  </si>
  <si>
    <t>ELMIRA SAVINGS BANK</t>
  </si>
  <si>
    <t>ESCA</t>
  </si>
  <si>
    <t>ESCALADE INC</t>
  </si>
  <si>
    <t>ESCR</t>
  </si>
  <si>
    <t>X-TRACKERS BLOOMBERG BARCLAY</t>
  </si>
  <si>
    <t>ESE</t>
  </si>
  <si>
    <t>ESCO TECHNOLOGIES INC</t>
  </si>
  <si>
    <t>ESEA</t>
  </si>
  <si>
    <t>EUROSEAS LTD</t>
  </si>
  <si>
    <t>ESEB</t>
  </si>
  <si>
    <t>X-TRACKERS J.P. MORGAN ESG E</t>
  </si>
  <si>
    <t>ESG</t>
  </si>
  <si>
    <t>FLEXSHARES STOXX US IMPACT</t>
  </si>
  <si>
    <t>ESGA</t>
  </si>
  <si>
    <t>AMERICAN CENTURY SUSTAINABLE</t>
  </si>
  <si>
    <t>ESGD</t>
  </si>
  <si>
    <t>ISHARES TRUST ISHARES ESG AW</t>
  </si>
  <si>
    <t>ESGE</t>
  </si>
  <si>
    <t>ISHARES INC ISHARES ESG AWAR</t>
  </si>
  <si>
    <t>ESGG</t>
  </si>
  <si>
    <t>FLEXSHARES STOXX GBL IMPACT</t>
  </si>
  <si>
    <t>ESGN</t>
  </si>
  <si>
    <t>COLUMBIA SUSTAIN INTL EQ ETF</t>
  </si>
  <si>
    <t>ESGR</t>
  </si>
  <si>
    <t>ENSTAR GROUP LTD</t>
  </si>
  <si>
    <t>ESGRO</t>
  </si>
  <si>
    <t>ESGRP</t>
  </si>
  <si>
    <t>ESGS</t>
  </si>
  <si>
    <t>COLUMBIA SUSTAIN US EQ I ETF</t>
  </si>
  <si>
    <t>ESGU</t>
  </si>
  <si>
    <t>ESGV</t>
  </si>
  <si>
    <t>VANGUARD ESG US STOCK ETF</t>
  </si>
  <si>
    <t>ESHY</t>
  </si>
  <si>
    <t>X-TRACKERS J.P. MORGAN ESG U</t>
  </si>
  <si>
    <t>ESI</t>
  </si>
  <si>
    <t>ELEMENT SOLUTIONS INC</t>
  </si>
  <si>
    <t>ESLT</t>
  </si>
  <si>
    <t>ELBIT SYSTEMS LTD</t>
  </si>
  <si>
    <t>ESML</t>
  </si>
  <si>
    <t>ISHARES ESG AWARE MSCI USA S</t>
  </si>
  <si>
    <t>ESNG</t>
  </si>
  <si>
    <t>DIREXION MSCI USA ESG -LEAD</t>
  </si>
  <si>
    <t>ESNT</t>
  </si>
  <si>
    <t>ESSENT GROUP LTD</t>
  </si>
  <si>
    <t>ESP</t>
  </si>
  <si>
    <t>ESPEY MFG &amp; ELECTRONICS CORP</t>
  </si>
  <si>
    <t>ESPO</t>
  </si>
  <si>
    <t>VANECK VIDEO GAMING ESPORTS</t>
  </si>
  <si>
    <t>ESPR</t>
  </si>
  <si>
    <t>ESPERION THERAPEUTICS INC</t>
  </si>
  <si>
    <t>ESQ</t>
  </si>
  <si>
    <t>ESQUIRE FINANCIAL HOLDINGS I</t>
  </si>
  <si>
    <t>ESRT</t>
  </si>
  <si>
    <t>EMPIRE STATE REALTY TRUST-A</t>
  </si>
  <si>
    <t>ESS</t>
  </si>
  <si>
    <t>ESSEX PROPERTY TRUST INC</t>
  </si>
  <si>
    <t>ESSA</t>
  </si>
  <si>
    <t>ESSA BANCORP INC</t>
  </si>
  <si>
    <t>ESSC</t>
  </si>
  <si>
    <t>EAST STONE ACQUISITION CORP</t>
  </si>
  <si>
    <t>ESSCR</t>
  </si>
  <si>
    <t>EAST STONE ACQUISITION-RIGHT</t>
  </si>
  <si>
    <t>ESSCU</t>
  </si>
  <si>
    <t>EAST STONE ACQUISITION -UNIT</t>
  </si>
  <si>
    <t>ESSCW</t>
  </si>
  <si>
    <t>ESTA</t>
  </si>
  <si>
    <t>ESTABLISHMENT LABS HOLDINGS</t>
  </si>
  <si>
    <t>ESTC</t>
  </si>
  <si>
    <t>ELASTIC NV</t>
  </si>
  <si>
    <t>ESTE</t>
  </si>
  <si>
    <t>EARTHSTONE ENERGY INC - A</t>
  </si>
  <si>
    <t>ESXB</t>
  </si>
  <si>
    <t>COMMUNITY BANKERS TRUST CORP</t>
  </si>
  <si>
    <t>ET</t>
  </si>
  <si>
    <t>ENERGY TRANSFER LP</t>
  </si>
  <si>
    <t>ETACU</t>
  </si>
  <si>
    <t>E.MERGE TECHNOLOGY ACQUISITI</t>
  </si>
  <si>
    <t>ETB</t>
  </si>
  <si>
    <t>EATON VANCE T/M BUY-WR IN</t>
  </si>
  <si>
    <t>ETFC</t>
  </si>
  <si>
    <t>E*TRADE FINANCIAL CORP</t>
  </si>
  <si>
    <t>ETG</t>
  </si>
  <si>
    <t>EATON VANCE T/A GL DVD INCM</t>
  </si>
  <si>
    <t>ETH</t>
  </si>
  <si>
    <t>ETHAN ALLEN INTERIORS INC</t>
  </si>
  <si>
    <t>ETHO</t>
  </si>
  <si>
    <t>ETHO CLIMATE LEADERSHIP ETF</t>
  </si>
  <si>
    <t>ETI-</t>
  </si>
  <si>
    <t>ETJ</t>
  </si>
  <si>
    <t>EATON VANCE RISK-MANAGED DIV</t>
  </si>
  <si>
    <t>ETM</t>
  </si>
  <si>
    <t>ENTERCOM COMMUNICATIONS-CL A</t>
  </si>
  <si>
    <t>ETN</t>
  </si>
  <si>
    <t>EATON CORP PLC</t>
  </si>
  <si>
    <t>ETNB</t>
  </si>
  <si>
    <t>89BIO INC</t>
  </si>
  <si>
    <t>ETO</t>
  </si>
  <si>
    <t>EATON VANCE TAX ADV GL DVD O</t>
  </si>
  <si>
    <t>ETON</t>
  </si>
  <si>
    <t>ETON PHARMACEUTICALS INC</t>
  </si>
  <si>
    <t>ETP-C</t>
  </si>
  <si>
    <t>ETP-D</t>
  </si>
  <si>
    <t>ETP-E</t>
  </si>
  <si>
    <t>ETR</t>
  </si>
  <si>
    <t>ENTERGY CORP</t>
  </si>
  <si>
    <t>ETRN</t>
  </si>
  <si>
    <t>EQUITRANS MIDSTREAM CORP</t>
  </si>
  <si>
    <t>ETSY</t>
  </si>
  <si>
    <t>ETSY INC</t>
  </si>
  <si>
    <t>ETTX</t>
  </si>
  <si>
    <t>ENTASIS THERAPEUTICS HOLDING</t>
  </si>
  <si>
    <t>ETV</t>
  </si>
  <si>
    <t>EATON VANCE T/M BUY-WRITE OP</t>
  </si>
  <si>
    <t>ETW</t>
  </si>
  <si>
    <t>EATON VANCE TAX MAN GLBL BR</t>
  </si>
  <si>
    <t>ETX</t>
  </si>
  <si>
    <t>EATON VANCE MUNI INC 2028 TM</t>
  </si>
  <si>
    <t>ETY</t>
  </si>
  <si>
    <t>EATON VANCE TAX-MANAGED DIVE</t>
  </si>
  <si>
    <t>EUDG</t>
  </si>
  <si>
    <t>WISDOMTREE EUROPE QUALITY DI</t>
  </si>
  <si>
    <t>EUDV</t>
  </si>
  <si>
    <t>PROSHARES MSCI EUROPE DIVIDE</t>
  </si>
  <si>
    <t>EUFN</t>
  </si>
  <si>
    <t>ISHARES MSCI EUROPE FINANCIA</t>
  </si>
  <si>
    <t>EUFX</t>
  </si>
  <si>
    <t>PROSHARES SHORT EURO ETF</t>
  </si>
  <si>
    <t>EUM</t>
  </si>
  <si>
    <t>PROSHARES SHORT MSCI EMR MKT</t>
  </si>
  <si>
    <t>EUO</t>
  </si>
  <si>
    <t>PROSHARES ULTRASHORT EURO</t>
  </si>
  <si>
    <t>EURL</t>
  </si>
  <si>
    <t>DRX DLY FTSE EUROPE BULL 3X</t>
  </si>
  <si>
    <t>EURN</t>
  </si>
  <si>
    <t>EURONAV NV</t>
  </si>
  <si>
    <t>EURZ</t>
  </si>
  <si>
    <t>XTRACKERS EUROZONE EQUITY ET</t>
  </si>
  <si>
    <t>EUSA</t>
  </si>
  <si>
    <t>ISHARES MSCI USA EQUAL WEIGH</t>
  </si>
  <si>
    <t>EUSB</t>
  </si>
  <si>
    <t>ISHARES ESG ADV TOT USD BOND</t>
  </si>
  <si>
    <t>EUSC</t>
  </si>
  <si>
    <t>WISDOMTREE EUROPE HEDG SM EQ</t>
  </si>
  <si>
    <t>EV</t>
  </si>
  <si>
    <t>EATON VANCE CORP</t>
  </si>
  <si>
    <t>EVA</t>
  </si>
  <si>
    <t>ENVIVA PARTNERS LP</t>
  </si>
  <si>
    <t>EVBG</t>
  </si>
  <si>
    <t>EVERBRIDGE INC</t>
  </si>
  <si>
    <t>EVBN</t>
  </si>
  <si>
    <t>EVANS BANCORP INC</t>
  </si>
  <si>
    <t>EVC</t>
  </si>
  <si>
    <t>ENTRAVISION COMMUNICATIONS-A</t>
  </si>
  <si>
    <t>EVER</t>
  </si>
  <si>
    <t>EVERQUOTE INC - CLASS A</t>
  </si>
  <si>
    <t>EVF</t>
  </si>
  <si>
    <t>EATON VANCE SENIOR INCOME TR</t>
  </si>
  <si>
    <t>EVFM</t>
  </si>
  <si>
    <t>EVOFEM BIOSCIENCES INC</t>
  </si>
  <si>
    <t>EVG</t>
  </si>
  <si>
    <t>EATON VANCE SHORT DUR DIV IN</t>
  </si>
  <si>
    <t>EVGBC</t>
  </si>
  <si>
    <t>EATON VANCE GBL INC BLDR NS</t>
  </si>
  <si>
    <t>EVGN</t>
  </si>
  <si>
    <t>EVOGENE LTD</t>
  </si>
  <si>
    <t>EVH</t>
  </si>
  <si>
    <t>EVOLENT HEALTH INC - A</t>
  </si>
  <si>
    <t>EVI</t>
  </si>
  <si>
    <t>EVI INDUSTRIES INC</t>
  </si>
  <si>
    <t>EVK</t>
  </si>
  <si>
    <t>EVER-GLORY INTERNATIONAL GRO</t>
  </si>
  <si>
    <t>EVLMC</t>
  </si>
  <si>
    <t>EATON VANCE TABS 5-15 LDR MU</t>
  </si>
  <si>
    <t>EVLO</t>
  </si>
  <si>
    <t>EVELO BIOSCIENCES INC</t>
  </si>
  <si>
    <t>EVM</t>
  </si>
  <si>
    <t>EATON VANCE CAL MUNI BOND</t>
  </si>
  <si>
    <t>EVN</t>
  </si>
  <si>
    <t>EATON VANCE MUNICIPAL INCOME</t>
  </si>
  <si>
    <t>EVOK</t>
  </si>
  <si>
    <t>EVOKE PHARMA INC</t>
  </si>
  <si>
    <t>EVOL</t>
  </si>
  <si>
    <t>EVOLVING SYSTEMS INC</t>
  </si>
  <si>
    <t>EVOP</t>
  </si>
  <si>
    <t>EVO PAYMENTS INC-CLASS A</t>
  </si>
  <si>
    <t>EVR</t>
  </si>
  <si>
    <t>EVERCORE INC - A</t>
  </si>
  <si>
    <t>EVRG</t>
  </si>
  <si>
    <t>EVERGY INC</t>
  </si>
  <si>
    <t>EVRI</t>
  </si>
  <si>
    <t>EVERI HOLDINGS INC</t>
  </si>
  <si>
    <t>EVSI</t>
  </si>
  <si>
    <t>ENVISION SOLAR INTERNATIONAL</t>
  </si>
  <si>
    <t>EVSIW</t>
  </si>
  <si>
    <t>EVSTC</t>
  </si>
  <si>
    <t>EATON VANCE STOCK NEXTSHARES</t>
  </si>
  <si>
    <t>EVT</t>
  </si>
  <si>
    <t>EATON VANCE TAX-ADV DVD INC</t>
  </si>
  <si>
    <t>EVTC</t>
  </si>
  <si>
    <t>EVERTEC INC</t>
  </si>
  <si>
    <t>EVV</t>
  </si>
  <si>
    <t>EATON VANCE LTD DURATION FND</t>
  </si>
  <si>
    <t>EVX</t>
  </si>
  <si>
    <t>VANECK ENVIRONMENTAL SRVCS</t>
  </si>
  <si>
    <t>EVY</t>
  </si>
  <si>
    <t>EATON VANCE NY MUNICIPAL INC</t>
  </si>
  <si>
    <t>EW</t>
  </si>
  <si>
    <t>EDWARDS LIFESCIENCES CORP</t>
  </si>
  <si>
    <t>EWA</t>
  </si>
  <si>
    <t>ISHARES MSCI AUSTRALIA ETF</t>
  </si>
  <si>
    <t>EWBC</t>
  </si>
  <si>
    <t>EAST WEST BANCORP INC</t>
  </si>
  <si>
    <t>EWC</t>
  </si>
  <si>
    <t>ISHARES MSCI CANADA ETF</t>
  </si>
  <si>
    <t>EWCO</t>
  </si>
  <si>
    <t>INVESCO S&amp;P 500 EQUAL WEIG C</t>
  </si>
  <si>
    <t>EWD</t>
  </si>
  <si>
    <t>ISHARES MSCI SWEDEN ETF</t>
  </si>
  <si>
    <t>EWG</t>
  </si>
  <si>
    <t>ISHARES MSCI GERMANY ETF</t>
  </si>
  <si>
    <t>EWGS</t>
  </si>
  <si>
    <t>ISHARES MSCI GERMANY SMALL-C</t>
  </si>
  <si>
    <t>EWH</t>
  </si>
  <si>
    <t>ISHARES MSCI HONG KONG ETF</t>
  </si>
  <si>
    <t>EWI</t>
  </si>
  <si>
    <t>ISHARES MSCI ITALY ETF</t>
  </si>
  <si>
    <t>EWJ</t>
  </si>
  <si>
    <t>ISHARES MSCI JAPAN ETF</t>
  </si>
  <si>
    <t>EWJE</t>
  </si>
  <si>
    <t>ISHARES MSCI JAPAN EQL WGHT</t>
  </si>
  <si>
    <t>EWJV</t>
  </si>
  <si>
    <t>ISHARES MSCI JAPAN VALUE ETF</t>
  </si>
  <si>
    <t>EWK</t>
  </si>
  <si>
    <t>ISHARES MSCI BELGIUM ETF</t>
  </si>
  <si>
    <t>EWL</t>
  </si>
  <si>
    <t>ISHARES MSCI SWITZERLAND ETF</t>
  </si>
  <si>
    <t>EWM</t>
  </si>
  <si>
    <t>ISHARES MSCI MALAYSIA ETF</t>
  </si>
  <si>
    <t>EWMC</t>
  </si>
  <si>
    <t>INVESCO S&amp;P MIDCAP 400 EQUAL</t>
  </si>
  <si>
    <t>EWN</t>
  </si>
  <si>
    <t>ISHARES MSCI NETHERLANDS ETF</t>
  </si>
  <si>
    <t>EWO</t>
  </si>
  <si>
    <t>ISHARES MSCI AUSTRIA ETF</t>
  </si>
  <si>
    <t>EWP</t>
  </si>
  <si>
    <t>ISHARES MSCI SPAIN ETF</t>
  </si>
  <si>
    <t>EWQ</t>
  </si>
  <si>
    <t>ISHARES MSCI FRANCE ETF</t>
  </si>
  <si>
    <t>EWRE</t>
  </si>
  <si>
    <t>INVESCO S&amp;P 500 EQUAL WEIGHT</t>
  </si>
  <si>
    <t>EWS</t>
  </si>
  <si>
    <t>ISHARES MSCI SINGAPORE ETF</t>
  </si>
  <si>
    <t>EWSC</t>
  </si>
  <si>
    <t>INVESCO S&amp;P SMALLCAP 600 EQU</t>
  </si>
  <si>
    <t>EWT</t>
  </si>
  <si>
    <t>ISHARES MSCI TAIWAN ETF</t>
  </si>
  <si>
    <t>EWU</t>
  </si>
  <si>
    <t>ISHARES MSCI UNITED KINGDOM</t>
  </si>
  <si>
    <t>EWUS</t>
  </si>
  <si>
    <t>EWV</t>
  </si>
  <si>
    <t>PROSHARES ULTSHRT MSCI JAPAN</t>
  </si>
  <si>
    <t>EWW</t>
  </si>
  <si>
    <t>ISHARES MSCI MEXICO ETF</t>
  </si>
  <si>
    <t>EWX</t>
  </si>
  <si>
    <t>SPDR S&amp;P EMERGING MKTS SMALL</t>
  </si>
  <si>
    <t>EWY</t>
  </si>
  <si>
    <t>ISHARES MSCI SOUTH KOREA ETF</t>
  </si>
  <si>
    <t>EWZ</t>
  </si>
  <si>
    <t>ISHARES MSCI BRAZIL ETF</t>
  </si>
  <si>
    <t>EWZS</t>
  </si>
  <si>
    <t>ISHARES MSCI BRAZIL SMALL-CA</t>
  </si>
  <si>
    <t>EXAS</t>
  </si>
  <si>
    <t>EXACT SCIENCES CORP</t>
  </si>
  <si>
    <t>EXC</t>
  </si>
  <si>
    <t>EXELON CORP</t>
  </si>
  <si>
    <t>EXD</t>
  </si>
  <si>
    <t>EATON VANCE TAX-MGD B/W STR</t>
  </si>
  <si>
    <t>EXEL</t>
  </si>
  <si>
    <t>EXELIXIS INC</t>
  </si>
  <si>
    <t>EXFO</t>
  </si>
  <si>
    <t>EXFO INC</t>
  </si>
  <si>
    <t>EXG</t>
  </si>
  <si>
    <t>EATON VANCE TAX-MANAGED GLOB</t>
  </si>
  <si>
    <t>EXI</t>
  </si>
  <si>
    <t>ISHARES GLOBAL INDUSTRIALS E</t>
  </si>
  <si>
    <t>EXK</t>
  </si>
  <si>
    <t>ENDEAVOUR SILVER CORP</t>
  </si>
  <si>
    <t>EXLS</t>
  </si>
  <si>
    <t>EXLSERVICE HOLDINGS INC</t>
  </si>
  <si>
    <t>EXP</t>
  </si>
  <si>
    <t>EAGLE MATERIALS INC</t>
  </si>
  <si>
    <t>EXPC</t>
  </si>
  <si>
    <t>EXPERIENCE INVESTMENT CORP-A</t>
  </si>
  <si>
    <t>EXPCU</t>
  </si>
  <si>
    <t>EXPERIENCE INVESTMENT CORP</t>
  </si>
  <si>
    <t>EXPCW</t>
  </si>
  <si>
    <t>EXPD</t>
  </si>
  <si>
    <t>EXPEDITORS INTL WASH INC</t>
  </si>
  <si>
    <t>EXPE</t>
  </si>
  <si>
    <t>EXPEDIA GROUP INC</t>
  </si>
  <si>
    <t>EXPI</t>
  </si>
  <si>
    <t>EXP WORLD HOLDINGS INC</t>
  </si>
  <si>
    <t>EXPO</t>
  </si>
  <si>
    <t>EXPONENT INC</t>
  </si>
  <si>
    <t>EXPR</t>
  </si>
  <si>
    <t>EXPRESS INC</t>
  </si>
  <si>
    <t>EXR</t>
  </si>
  <si>
    <t>EXTRA SPACE STORAGE INC</t>
  </si>
  <si>
    <t>EXTN</t>
  </si>
  <si>
    <t>EXTERRAN CORP</t>
  </si>
  <si>
    <t>EXTR</t>
  </si>
  <si>
    <t>EXTREME NETWORKS INC</t>
  </si>
  <si>
    <t>EYE</t>
  </si>
  <si>
    <t>NATIONAL VISION HOLDINGS INC</t>
  </si>
  <si>
    <t>EYEG</t>
  </si>
  <si>
    <t>EYEGATE PHARMACEUTICALS</t>
  </si>
  <si>
    <t>EYEN</t>
  </si>
  <si>
    <t>EYENOVIA INC</t>
  </si>
  <si>
    <t>EYES</t>
  </si>
  <si>
    <t>SECOND SIGHT MEDICAL PRODUCT</t>
  </si>
  <si>
    <t>EYESW</t>
  </si>
  <si>
    <t>EYLD</t>
  </si>
  <si>
    <t>CAMBRIA EMERG SHRHLDR YIELD</t>
  </si>
  <si>
    <t>EYPT</t>
  </si>
  <si>
    <t>EYEPOINT PHARMACEUTICALS INC</t>
  </si>
  <si>
    <t>EZA</t>
  </si>
  <si>
    <t>ISHARES MSCI SOUTH AFRICA ET</t>
  </si>
  <si>
    <t>EZJ</t>
  </si>
  <si>
    <t>PROSHARES ULTRA MSCI JAPAN</t>
  </si>
  <si>
    <t>EZM</t>
  </si>
  <si>
    <t>WISDOMTREE US MIDCAP FUND</t>
  </si>
  <si>
    <t>EZPW</t>
  </si>
  <si>
    <t>EZCORP INC-CL A</t>
  </si>
  <si>
    <t>EZT</t>
  </si>
  <si>
    <t>EZU</t>
  </si>
  <si>
    <t>ISHARES MSCI EUROZONE ETF</t>
  </si>
  <si>
    <t>F</t>
  </si>
  <si>
    <t>FORD MOTOR CO</t>
  </si>
  <si>
    <t>F-B</t>
  </si>
  <si>
    <t>F-C</t>
  </si>
  <si>
    <t>FAAR</t>
  </si>
  <si>
    <t>FIRST TRUST ALT ABS RET ETF</t>
  </si>
  <si>
    <t>FAB</t>
  </si>
  <si>
    <t>FIRST TRUST MULTI CAP VALUE</t>
  </si>
  <si>
    <t>FAD</t>
  </si>
  <si>
    <t>FIRST TRUST MULTI CAP GROWTH</t>
  </si>
  <si>
    <t>FAF</t>
  </si>
  <si>
    <t>FIRST AMERICAN FINANCIAL</t>
  </si>
  <si>
    <t>FAII=</t>
  </si>
  <si>
    <t>FORTRESS VALUE ACQUISITION C</t>
  </si>
  <si>
    <t>FALN</t>
  </si>
  <si>
    <t>ISHARES FALLEN ANGELS ETF</t>
  </si>
  <si>
    <t>FAM</t>
  </si>
  <si>
    <t>FIRST TRUST ABERDEEN GLOBAL</t>
  </si>
  <si>
    <t>FAMI</t>
  </si>
  <si>
    <t>FARMMI INC</t>
  </si>
  <si>
    <t>FAN</t>
  </si>
  <si>
    <t>FIRST TRUST GLOBAL WIND ENER</t>
  </si>
  <si>
    <t>FANG</t>
  </si>
  <si>
    <t>DIAMONDBACK ENERGY INC</t>
  </si>
  <si>
    <t>FANH</t>
  </si>
  <si>
    <t>FANHUA INC-SPONSORED ADR</t>
  </si>
  <si>
    <t>FARM</t>
  </si>
  <si>
    <t>FARMER BROS CO</t>
  </si>
  <si>
    <t>FARO</t>
  </si>
  <si>
    <t>FARO TECHNOLOGIES INC</t>
  </si>
  <si>
    <t>FAS</t>
  </si>
  <si>
    <t>DIREXION DAILY FIN BULL 3X</t>
  </si>
  <si>
    <t>FAST</t>
  </si>
  <si>
    <t>FASTENAL CO</t>
  </si>
  <si>
    <t>FAT</t>
  </si>
  <si>
    <t>FAT BRANDS INC</t>
  </si>
  <si>
    <t>FATBP</t>
  </si>
  <si>
    <t>FATBW</t>
  </si>
  <si>
    <t>FATE</t>
  </si>
  <si>
    <t>FATE THERAPEUTICS INC</t>
  </si>
  <si>
    <t>FAUG</t>
  </si>
  <si>
    <t>FT CBOE VEST US EQUITY BUFF</t>
  </si>
  <si>
    <t>FAUS</t>
  </si>
  <si>
    <t>FIRST TRUST AUSTRALIA</t>
  </si>
  <si>
    <t>FAX</t>
  </si>
  <si>
    <t>ABERDEEN ASIA-PAC INCOME FD</t>
  </si>
  <si>
    <t>FAZ</t>
  </si>
  <si>
    <t>DIREXION DAILY FIN BEAR 3X</t>
  </si>
  <si>
    <t>FB</t>
  </si>
  <si>
    <t>FACEBOOK INC-CLASS A</t>
  </si>
  <si>
    <t>FBC</t>
  </si>
  <si>
    <t>FLAGSTAR BANCORP INC</t>
  </si>
  <si>
    <t>FBCG</t>
  </si>
  <si>
    <t>FIDELITY BLUE CHIP GROWTH</t>
  </si>
  <si>
    <t>FBCV</t>
  </si>
  <si>
    <t>FIDELITY BLUE CHIP VALUE ETF</t>
  </si>
  <si>
    <t>FBGX</t>
  </si>
  <si>
    <t>FI ENHANCED LARGE CAP GROWTH</t>
  </si>
  <si>
    <t>FBHS</t>
  </si>
  <si>
    <t>FORTUNE BRANDS HOME &amp; SECURI</t>
  </si>
  <si>
    <t>FBIO</t>
  </si>
  <si>
    <t>FORTRESS BIOTECH INC</t>
  </si>
  <si>
    <t>FBIOP</t>
  </si>
  <si>
    <t>FBIZ</t>
  </si>
  <si>
    <t>FIRST BUSINESS FINANCIAL SER</t>
  </si>
  <si>
    <t>FBK</t>
  </si>
  <si>
    <t>FB FINANCIAL CORP</t>
  </si>
  <si>
    <t>FBM</t>
  </si>
  <si>
    <t>FOUNDATION BUILDING MATERIAL</t>
  </si>
  <si>
    <t>FBMS</t>
  </si>
  <si>
    <t>FIRST BANCSHARES INC/MS</t>
  </si>
  <si>
    <t>FBNC</t>
  </si>
  <si>
    <t>FIRST BANCORP/NC</t>
  </si>
  <si>
    <t>FBND</t>
  </si>
  <si>
    <t>FIDELITY TOTAL BOND ETF</t>
  </si>
  <si>
    <t>FBP</t>
  </si>
  <si>
    <t>FIRST BANCORP PUERTO RICO</t>
  </si>
  <si>
    <t>FBRX</t>
  </si>
  <si>
    <t>FORTE BIOSCIENCES INC</t>
  </si>
  <si>
    <t>FBSS</t>
  </si>
  <si>
    <t>FAUQUIER BANKSHARES INC</t>
  </si>
  <si>
    <t>FBT</t>
  </si>
  <si>
    <t>FIRST TRUST NYSE ARCA BIOTEC</t>
  </si>
  <si>
    <t>FBZ</t>
  </si>
  <si>
    <t>FIRST TRUST BRAZIL</t>
  </si>
  <si>
    <t>FC</t>
  </si>
  <si>
    <t>FRANKLIN COVEY CO</t>
  </si>
  <si>
    <t>FCA</t>
  </si>
  <si>
    <t>FIRST TRUST CHINA</t>
  </si>
  <si>
    <t>FCAL</t>
  </si>
  <si>
    <t>FIRST TRUST CALIFORNIA MUNIC</t>
  </si>
  <si>
    <t>FCAN</t>
  </si>
  <si>
    <t>FIRST TRUST CANADA</t>
  </si>
  <si>
    <t>FCAP</t>
  </si>
  <si>
    <t>FIRST CAPITAL INC</t>
  </si>
  <si>
    <t>FCAU</t>
  </si>
  <si>
    <t>FIAT CHRYSLER AUTOMOBILES NV</t>
  </si>
  <si>
    <t>FCBC</t>
  </si>
  <si>
    <t>FIRST COMMUNITY BANKSHARES</t>
  </si>
  <si>
    <t>FCBP</t>
  </si>
  <si>
    <t>FIRST CHOICE BANCORP</t>
  </si>
  <si>
    <t>FCCO</t>
  </si>
  <si>
    <t>FIRST COMMUNITY CORP</t>
  </si>
  <si>
    <t>FCCY</t>
  </si>
  <si>
    <t>1ST CONSTITUTION BANCORP</t>
  </si>
  <si>
    <t>FCEF</t>
  </si>
  <si>
    <t>FIRST TRUST CEF INCOME OPP</t>
  </si>
  <si>
    <t>FCEL</t>
  </si>
  <si>
    <t>FUELCELL ENERGY INC</t>
  </si>
  <si>
    <t>FCF</t>
  </si>
  <si>
    <t>FIRST COMMONWEALTH FINL CORP</t>
  </si>
  <si>
    <t>FCFS</t>
  </si>
  <si>
    <t>FIRSTCASH INC</t>
  </si>
  <si>
    <t>FCG</t>
  </si>
  <si>
    <t>FIRST TRUST NATURAL GAS ETF</t>
  </si>
  <si>
    <t>FCN</t>
  </si>
  <si>
    <t>FTI CONSULTING INC</t>
  </si>
  <si>
    <t>FCNCA</t>
  </si>
  <si>
    <t>FIRST CITIZENS BCSHS  -CL A</t>
  </si>
  <si>
    <t>FCNCP</t>
  </si>
  <si>
    <t>FCO</t>
  </si>
  <si>
    <t>ABERDEEN GLOBAL INCOME FUND</t>
  </si>
  <si>
    <t>FCOM</t>
  </si>
  <si>
    <t>FIDELITY MSCI COMMUNICATION</t>
  </si>
  <si>
    <t>FCOR</t>
  </si>
  <si>
    <t>FIDELITY CORPORATE BOND ETF</t>
  </si>
  <si>
    <t>FCPI</t>
  </si>
  <si>
    <t>FIDELITY STOCKS FOR INFL ETF</t>
  </si>
  <si>
    <t>FCPT</t>
  </si>
  <si>
    <t>FOUR CORNERS PROPERTY TRUST</t>
  </si>
  <si>
    <t>FCRD</t>
  </si>
  <si>
    <t>FIRST EAGLE ALTERNATIVE CAPI</t>
  </si>
  <si>
    <t>FCRW</t>
  </si>
  <si>
    <t>FCRZ</t>
  </si>
  <si>
    <t>FCT</t>
  </si>
  <si>
    <t>FIRST TRUST SENIOR FLOATING</t>
  </si>
  <si>
    <t>FCTR</t>
  </si>
  <si>
    <t>FIRST TRUST LUNT US FACTOR</t>
  </si>
  <si>
    <t>FCVT</t>
  </si>
  <si>
    <t>FIRST TRUST SSI STRATEGI ETF</t>
  </si>
  <si>
    <t>FCX</t>
  </si>
  <si>
    <t>FREEPORT-MCMORAN INC</t>
  </si>
  <si>
    <t>FDBC</t>
  </si>
  <si>
    <t>FIDELITY D&amp;D BANCORP INC</t>
  </si>
  <si>
    <t>FDD</t>
  </si>
  <si>
    <t>FIRST TRUST STOXX EUROPE</t>
  </si>
  <si>
    <t>FDEM</t>
  </si>
  <si>
    <t>FIDELITY TGT EMRG MKT FACTOR</t>
  </si>
  <si>
    <t>FDEU</t>
  </si>
  <si>
    <t>FIRST TR DYN EUR EQTY INC</t>
  </si>
  <si>
    <t>FDEV</t>
  </si>
  <si>
    <t>FIDELITY TGT INTL FACTOR ETF</t>
  </si>
  <si>
    <t>FDG</t>
  </si>
  <si>
    <t>AMERICAN CENTURY FOCUSED DYN</t>
  </si>
  <si>
    <t>FDHY</t>
  </si>
  <si>
    <t>FIDELITY HI YIELD FACTOR ETF</t>
  </si>
  <si>
    <t>FDIS</t>
  </si>
  <si>
    <t>FIDELITY CON DISCRET ETF</t>
  </si>
  <si>
    <t>FDIV</t>
  </si>
  <si>
    <t>FIRST TRUST STRATEGIC INCOME</t>
  </si>
  <si>
    <t>FDL</t>
  </si>
  <si>
    <t>FIRST TRUST MORN DVD LEAD IN</t>
  </si>
  <si>
    <t>FDLO</t>
  </si>
  <si>
    <t>FIDELITY LOW VOLATILITY FACT</t>
  </si>
  <si>
    <t>FDM</t>
  </si>
  <si>
    <t>FIRST TRUST DOW J SELECT MIC</t>
  </si>
  <si>
    <t>FDMO</t>
  </si>
  <si>
    <t>FIDELITY MOMENTUM FACTOR ETF</t>
  </si>
  <si>
    <t>FDN</t>
  </si>
  <si>
    <t>FIRST TRUST DJ INTERNET IND</t>
  </si>
  <si>
    <t>FDNI</t>
  </si>
  <si>
    <t>FIRST TRUST DOW JONES INTL</t>
  </si>
  <si>
    <t>FDP</t>
  </si>
  <si>
    <t>FRESH DEL MONTE PRODUCE INC</t>
  </si>
  <si>
    <t>FDRR</t>
  </si>
  <si>
    <t>FIDELITY DIV ETF RISE RATES</t>
  </si>
  <si>
    <t>FDS</t>
  </si>
  <si>
    <t>FACTSET RESEARCH SYSTEMS INC</t>
  </si>
  <si>
    <t>FDT</t>
  </si>
  <si>
    <t>FIRST TRUST DEVELP MKT EX-US</t>
  </si>
  <si>
    <t>FDTS</t>
  </si>
  <si>
    <t>FIRST TRUST DEVELOPED MARKET</t>
  </si>
  <si>
    <t>FDUS</t>
  </si>
  <si>
    <t>FIDUS INVESTMENT CORP</t>
  </si>
  <si>
    <t>FDUSG</t>
  </si>
  <si>
    <t>FDUSL</t>
  </si>
  <si>
    <t>FDUSZ</t>
  </si>
  <si>
    <t>FDVV</t>
  </si>
  <si>
    <t>FIDELITY HIGH DIVIDEND ETF</t>
  </si>
  <si>
    <t>FDX</t>
  </si>
  <si>
    <t>FEDEX CORP</t>
  </si>
  <si>
    <t>FE</t>
  </si>
  <si>
    <t>FIRSTENERGY CORP</t>
  </si>
  <si>
    <t>FEAC</t>
  </si>
  <si>
    <t>FLYING EAGLE ACQUISITION-A</t>
  </si>
  <si>
    <t>FEAC+</t>
  </si>
  <si>
    <t>FEAC=</t>
  </si>
  <si>
    <t>FLYING EAGLE ACQUISITION COR</t>
  </si>
  <si>
    <t>FEDU</t>
  </si>
  <si>
    <t>FOUR SEASONS EDUCATION CAYMA</t>
  </si>
  <si>
    <t>FEI</t>
  </si>
  <si>
    <t>FIRST TRUST MLP AND ENERGY I</t>
  </si>
  <si>
    <t>FEIM</t>
  </si>
  <si>
    <t>FREQUENCY ELECTRONICS INC</t>
  </si>
  <si>
    <t>FELE</t>
  </si>
  <si>
    <t>FRANKLIN ELECTRIC CO INC</t>
  </si>
  <si>
    <t>FEM</t>
  </si>
  <si>
    <t>FIRST TRUST EMERGING MARKETS</t>
  </si>
  <si>
    <t>FEMB</t>
  </si>
  <si>
    <t>FEMS</t>
  </si>
  <si>
    <t>FEN</t>
  </si>
  <si>
    <t>FIRST TR ENRGY INC &amp; GRW</t>
  </si>
  <si>
    <t>FENC</t>
  </si>
  <si>
    <t>FENNEC PHARMACEUTICALS INC</t>
  </si>
  <si>
    <t>FENG</t>
  </si>
  <si>
    <t>PHOENIX NEW MEDIA LTD -ADR</t>
  </si>
  <si>
    <t>FENY</t>
  </si>
  <si>
    <t>FIDELITY MSCI ENERGY ETF</t>
  </si>
  <si>
    <t>FEO</t>
  </si>
  <si>
    <t>FIRST TRUST ABERDEEN EMG OPP</t>
  </si>
  <si>
    <t>FEP</t>
  </si>
  <si>
    <t>FIRST TRUST EUROPE</t>
  </si>
  <si>
    <t>FET</t>
  </si>
  <si>
    <t>FORUM ENERGY TECHNOLOGIES IN</t>
  </si>
  <si>
    <t>FEUL</t>
  </si>
  <si>
    <t>CREDIT SUISSE FI ENHANCED EU</t>
  </si>
  <si>
    <t>FEUZ</t>
  </si>
  <si>
    <t>FIRST TRUST EUROZONE ALPHADE</t>
  </si>
  <si>
    <t>FEX</t>
  </si>
  <si>
    <t>FIRST TRUST LARGE CAP CORE A</t>
  </si>
  <si>
    <t>FEYE</t>
  </si>
  <si>
    <t>FIREEYE INC</t>
  </si>
  <si>
    <t>FEZ</t>
  </si>
  <si>
    <t>SPDR EURO STOXX 50 ETF</t>
  </si>
  <si>
    <t>FF</t>
  </si>
  <si>
    <t>FUTUREFUEL CORP</t>
  </si>
  <si>
    <t>FFA</t>
  </si>
  <si>
    <t>FIRST TRUST ENH EQUITY INC</t>
  </si>
  <si>
    <t>FFBC</t>
  </si>
  <si>
    <t>FIRST FINANCIAL BANCORP</t>
  </si>
  <si>
    <t>FFBW</t>
  </si>
  <si>
    <t>FFBW INC</t>
  </si>
  <si>
    <t>FFC</t>
  </si>
  <si>
    <t>FLAHERTY &amp; CRUMRINE PREFERRE</t>
  </si>
  <si>
    <t>FFEB</t>
  </si>
  <si>
    <t>FT CBOE VEST US EQY BUFF-FEB</t>
  </si>
  <si>
    <t>FFEU</t>
  </si>
  <si>
    <t>BARCLAYS ETN+ FI ENHANCED EU</t>
  </si>
  <si>
    <t>FFG</t>
  </si>
  <si>
    <t>FBL FINANCIAL GROUP INC-CL A</t>
  </si>
  <si>
    <t>FFHG</t>
  </si>
  <si>
    <t>FORMULA FOLIOS HEDGED GROWTH</t>
  </si>
  <si>
    <t>FFHL</t>
  </si>
  <si>
    <t>FUWEI FILMS HOLDINGS CO LTD</t>
  </si>
  <si>
    <t>FFIC</t>
  </si>
  <si>
    <t>FLUSHING FINANCIAL CORP</t>
  </si>
  <si>
    <t>FFIN</t>
  </si>
  <si>
    <t>FIRST FINL BANKSHARES INC</t>
  </si>
  <si>
    <t>FFIU</t>
  </si>
  <si>
    <t>UVA UNCONSTRAINED MEDIUM-TER</t>
  </si>
  <si>
    <t>FFIV</t>
  </si>
  <si>
    <t>F5 NETWORKS INC</t>
  </si>
  <si>
    <t>FFNW</t>
  </si>
  <si>
    <t>FIRST FINANCIAL NORTHWEST</t>
  </si>
  <si>
    <t>FFR</t>
  </si>
  <si>
    <t>FT FTSE EPRA/NAREIT REAL EST</t>
  </si>
  <si>
    <t>FFSG</t>
  </si>
  <si>
    <t>FORMULAFOLIOS SMART GROWTH</t>
  </si>
  <si>
    <t>FFTG</t>
  </si>
  <si>
    <t>FORMULAFOLIOS TACTICAL GROWT</t>
  </si>
  <si>
    <t>FFTI</t>
  </si>
  <si>
    <t>FORMULAFOLIOS TACTICAL INCOM</t>
  </si>
  <si>
    <t>FFTY</t>
  </si>
  <si>
    <t>INNOVATOR IBD 50 ETF</t>
  </si>
  <si>
    <t>FFWM</t>
  </si>
  <si>
    <t>FIRST FOUNDATION INC</t>
  </si>
  <si>
    <t>FGB</t>
  </si>
  <si>
    <t>FIRST TRUST SPECIALTY FINANC</t>
  </si>
  <si>
    <t>FGBI</t>
  </si>
  <si>
    <t>FIRST GUARANTY BANCSHARES IN</t>
  </si>
  <si>
    <t>FGD</t>
  </si>
  <si>
    <t>FIRST TRUST DJ GL SEL DVD</t>
  </si>
  <si>
    <t>FGEN</t>
  </si>
  <si>
    <t>FIBROGEN INC</t>
  </si>
  <si>
    <t>FGM</t>
  </si>
  <si>
    <t>FIRST TRUST GERMANY</t>
  </si>
  <si>
    <t>FHB</t>
  </si>
  <si>
    <t>FIRST HAWAIIAN INC</t>
  </si>
  <si>
    <t>FHI</t>
  </si>
  <si>
    <t>FEDERATED HERMES INC</t>
  </si>
  <si>
    <t>FHK</t>
  </si>
  <si>
    <t>FIRST TRUST HONG KONG</t>
  </si>
  <si>
    <t>FHLC</t>
  </si>
  <si>
    <t>FIDELITY HEALTH CARE ETF</t>
  </si>
  <si>
    <t>FHN</t>
  </si>
  <si>
    <t>FIRST HORIZON NATIONAL CORP</t>
  </si>
  <si>
    <t>FHN-A</t>
  </si>
  <si>
    <t>FHN-B</t>
  </si>
  <si>
    <t>FHN-C</t>
  </si>
  <si>
    <t>FHN-D</t>
  </si>
  <si>
    <t>FHN-E</t>
  </si>
  <si>
    <t>FI</t>
  </si>
  <si>
    <t>FRANK'S INTERNATIONAL NV</t>
  </si>
  <si>
    <t>FIBK</t>
  </si>
  <si>
    <t>FIRST INTERSTATE BANCSYS-A</t>
  </si>
  <si>
    <t>FIBR</t>
  </si>
  <si>
    <t>ISHARES U.S. FIXED INCOME BA</t>
  </si>
  <si>
    <t>FICO</t>
  </si>
  <si>
    <t>FAIR ISAAC CORP</t>
  </si>
  <si>
    <t>FID</t>
  </si>
  <si>
    <t>FIRST TRUST S&amp;P INTERNATIONA</t>
  </si>
  <si>
    <t>FIDI</t>
  </si>
  <si>
    <t>FIDELITY INTL HIGH DIV ETF</t>
  </si>
  <si>
    <t>FIDU</t>
  </si>
  <si>
    <t>FIDELITY INDUSTRIALS ETF</t>
  </si>
  <si>
    <t>FIEE</t>
  </si>
  <si>
    <t>UBS FI ENHANCED EUR 50 ETN</t>
  </si>
  <si>
    <t>FIF</t>
  </si>
  <si>
    <t>FIRST TRUST ENERGY INFRASTRU</t>
  </si>
  <si>
    <t>FIHD</t>
  </si>
  <si>
    <t>UBS FI ENH GL HI YLD ETN</t>
  </si>
  <si>
    <t>FIIIU</t>
  </si>
  <si>
    <t>FORUM MERGER III CORP</t>
  </si>
  <si>
    <t>FILL</t>
  </si>
  <si>
    <t>ISHARES MSCI GLOBAL ENERGY P</t>
  </si>
  <si>
    <t>FINS</t>
  </si>
  <si>
    <t>ANGEL OAK FINANC STRAT INC</t>
  </si>
  <si>
    <t>FINV</t>
  </si>
  <si>
    <t>FINVOLUTION GROUP</t>
  </si>
  <si>
    <t>FINX</t>
  </si>
  <si>
    <t>GLOBAL X FINTECH ETF</t>
  </si>
  <si>
    <t>FIS</t>
  </si>
  <si>
    <t>FIDELITY NATIONAL INFO SERV</t>
  </si>
  <si>
    <t>FISI</t>
  </si>
  <si>
    <t>FINANCIAL INSTITUTIONS INC</t>
  </si>
  <si>
    <t>FISK</t>
  </si>
  <si>
    <t>EMPIRE STATE REALTY OP -S250</t>
  </si>
  <si>
    <t>FISR</t>
  </si>
  <si>
    <t>SPDR SSGA F/I SECTOR ROTATE</t>
  </si>
  <si>
    <t>FISV</t>
  </si>
  <si>
    <t>FISERV INC</t>
  </si>
  <si>
    <t>FIT</t>
  </si>
  <si>
    <t>FITBIT INC - A</t>
  </si>
  <si>
    <t>FITB</t>
  </si>
  <si>
    <t>FIFTH THIRD BANCORP</t>
  </si>
  <si>
    <t>FITBI</t>
  </si>
  <si>
    <t>FITBO</t>
  </si>
  <si>
    <t>FITBP</t>
  </si>
  <si>
    <t>FITE</t>
  </si>
  <si>
    <t>SPDR S&amp;P KENSHO FUTURE SECUR</t>
  </si>
  <si>
    <t>FIV</t>
  </si>
  <si>
    <t>FIVA</t>
  </si>
  <si>
    <t>FIDELITY INTL VAL FACTOR ETF</t>
  </si>
  <si>
    <t>FIVE</t>
  </si>
  <si>
    <t>FIVE BELOW</t>
  </si>
  <si>
    <t>FIVG</t>
  </si>
  <si>
    <t>DEFIANCE NEXT GEN CONN ETF</t>
  </si>
  <si>
    <t>FIVN</t>
  </si>
  <si>
    <t>FIVE9 INC</t>
  </si>
  <si>
    <t>FIW</t>
  </si>
  <si>
    <t>FIRST TRUST WATER ETF</t>
  </si>
  <si>
    <t>FIX</t>
  </si>
  <si>
    <t>COMFORT SYSTEMS USA INC</t>
  </si>
  <si>
    <t>FIXD</t>
  </si>
  <si>
    <t>FIRST TRUST TCW OPP FIXED IN</t>
  </si>
  <si>
    <t>FIXX</t>
  </si>
  <si>
    <t>HOMOLOGY MEDICINES INC</t>
  </si>
  <si>
    <t>FIYY</t>
  </si>
  <si>
    <t>BARCLAYS ETN+ FI ENHNCD GL-B</t>
  </si>
  <si>
    <t>FIZZ</t>
  </si>
  <si>
    <t>NATIONAL BEVERAGE CORP</t>
  </si>
  <si>
    <t>FJNK</t>
  </si>
  <si>
    <t>PACIFIC GLOBAL FOCUSED HIGH</t>
  </si>
  <si>
    <t>FJP</t>
  </si>
  <si>
    <t>FIRST TRUST JAPAN</t>
  </si>
  <si>
    <t>FJUL</t>
  </si>
  <si>
    <t>FT CBOE VEST US EQ BUFF JUL</t>
  </si>
  <si>
    <t>FJUN</t>
  </si>
  <si>
    <t>FT CBOE VEST U.S. EQUITY BUF</t>
  </si>
  <si>
    <t>FKO</t>
  </si>
  <si>
    <t>FIRST TRUST SOUTH KOREA</t>
  </si>
  <si>
    <t>FKU</t>
  </si>
  <si>
    <t>FIRST TRUST UNITED KINGDOM</t>
  </si>
  <si>
    <t>FL</t>
  </si>
  <si>
    <t>FOOT LOCKER INC</t>
  </si>
  <si>
    <t>FLAU</t>
  </si>
  <si>
    <t>FRANKLIN FTSE AUSTRALIA ETF</t>
  </si>
  <si>
    <t>FLAX</t>
  </si>
  <si>
    <t>FRANKLIN FTSE ASIA EX JAPAN</t>
  </si>
  <si>
    <t>FLBL</t>
  </si>
  <si>
    <t>FRANKLIN LIBERTY SENIOR LOAN</t>
  </si>
  <si>
    <t>FLBR</t>
  </si>
  <si>
    <t>FRANKLIN FTSE BRAZIL ETF</t>
  </si>
  <si>
    <t>FLC</t>
  </si>
  <si>
    <t>FLAH &amp; CRUM TTL RTRN FND</t>
  </si>
  <si>
    <t>FLCA</t>
  </si>
  <si>
    <t>FRANKLIN FTSE CANADA ETF</t>
  </si>
  <si>
    <t>FLCB</t>
  </si>
  <si>
    <t>FRANKLIN LIBERTY US CORE BND</t>
  </si>
  <si>
    <t>FLCH</t>
  </si>
  <si>
    <t>FRANKLIN FTSE CHINA ETF</t>
  </si>
  <si>
    <t>FLCO</t>
  </si>
  <si>
    <t>FRANKLIN LIBERTY IG CORP ETF</t>
  </si>
  <si>
    <t>FLDM</t>
  </si>
  <si>
    <t>FLUIDIGM CORP</t>
  </si>
  <si>
    <t>FLDR</t>
  </si>
  <si>
    <t>FIDELITY LOW DURATION ETF</t>
  </si>
  <si>
    <t>FLEE</t>
  </si>
  <si>
    <t>FRANKLIN FTSE EUROPE ETF</t>
  </si>
  <si>
    <t>FLEH</t>
  </si>
  <si>
    <t>FRANKLIN FTSE EUROPE HEDGED</t>
  </si>
  <si>
    <t>FLEU</t>
  </si>
  <si>
    <t>FI ENHANCE EUR50 ETN SERIESB</t>
  </si>
  <si>
    <t>FLEX</t>
  </si>
  <si>
    <t>FLEX LTD</t>
  </si>
  <si>
    <t>FLFR</t>
  </si>
  <si>
    <t>FRANKLIN FTSE FRANCE ETF</t>
  </si>
  <si>
    <t>FLGB</t>
  </si>
  <si>
    <t>FRANKLIN FTSE UNITED KINGDOM</t>
  </si>
  <si>
    <t>FLGE</t>
  </si>
  <si>
    <t>FI LARGE CAP GROWTH ENHANCED</t>
  </si>
  <si>
    <t>FLGR</t>
  </si>
  <si>
    <t>FRANKLIN FTSE GERMANY ETF</t>
  </si>
  <si>
    <t>FLGT</t>
  </si>
  <si>
    <t>FULGENT GENETICS INC</t>
  </si>
  <si>
    <t>FLGV</t>
  </si>
  <si>
    <t>FRANKLIN LIBERTY US TR B ETF</t>
  </si>
  <si>
    <t>FLHK</t>
  </si>
  <si>
    <t>FRANKLIN FTSE HONG KONG ETF</t>
  </si>
  <si>
    <t>FLHY</t>
  </si>
  <si>
    <t>FRANKLIN LIBERTY HIGH YIELD</t>
  </si>
  <si>
    <t>FLIA</t>
  </si>
  <si>
    <t>FRANKLIN LIBERTY INTL AGG BO</t>
  </si>
  <si>
    <t>FLIC</t>
  </si>
  <si>
    <t>FIRST OF LONG ISLAND CORP</t>
  </si>
  <si>
    <t>FLIN</t>
  </si>
  <si>
    <t>FRANKLIN FTSE INDIA ETF</t>
  </si>
  <si>
    <t>FLIR</t>
  </si>
  <si>
    <t>FLIR SYSTEMS INC</t>
  </si>
  <si>
    <t>FLIY</t>
  </si>
  <si>
    <t>FRANKLIN FTSE ITALY ETF</t>
  </si>
  <si>
    <t>FLJH</t>
  </si>
  <si>
    <t>FRANKLIN FTSE JPN HEDGED ETF</t>
  </si>
  <si>
    <t>FLJP</t>
  </si>
  <si>
    <t>FRANKLIN FTSE JAPAN ETF</t>
  </si>
  <si>
    <t>FLKR</t>
  </si>
  <si>
    <t>FRANKLIN FTSE SOUTH KOREA</t>
  </si>
  <si>
    <t>FLL</t>
  </si>
  <si>
    <t>FULL HOUSE RESORTS INC</t>
  </si>
  <si>
    <t>FLLA</t>
  </si>
  <si>
    <t>FRANKLIN FTSE LATIN AMERICA</t>
  </si>
  <si>
    <t>FLLV</t>
  </si>
  <si>
    <t>FRANKLIN LIBERTY US LOW VOL</t>
  </si>
  <si>
    <t>FLM</t>
  </si>
  <si>
    <t>FIRST TRUST GLOBAL ENGINEERI</t>
  </si>
  <si>
    <t>FLMB</t>
  </si>
  <si>
    <t>FRANKLIN LIBERTY MUNI BD ETF</t>
  </si>
  <si>
    <t>FLMI</t>
  </si>
  <si>
    <t>FRANKLIN LIB INTER MUNI OPP</t>
  </si>
  <si>
    <t>FLMN</t>
  </si>
  <si>
    <t>FALCON MINERALS CORP</t>
  </si>
  <si>
    <t>FLMNW</t>
  </si>
  <si>
    <t>FLMX</t>
  </si>
  <si>
    <t>FRANKLIN FTSE MEXICO ETF</t>
  </si>
  <si>
    <t>FLN</t>
  </si>
  <si>
    <t>FIRST TRUST LATIN AMERICA</t>
  </si>
  <si>
    <t>FLNG</t>
  </si>
  <si>
    <t>FLEX LNG LTD</t>
  </si>
  <si>
    <t>FLNT</t>
  </si>
  <si>
    <t>FLUENT INC</t>
  </si>
  <si>
    <t>FLO</t>
  </si>
  <si>
    <t>FLOWERS FOODS INC</t>
  </si>
  <si>
    <t>FLOT</t>
  </si>
  <si>
    <t>ISHARES FLOATING RATE BOND E</t>
  </si>
  <si>
    <t>FLOW</t>
  </si>
  <si>
    <t>SPX FLOW INC</t>
  </si>
  <si>
    <t>FLQD</t>
  </si>
  <si>
    <t>FRANKLIN LIBERTYQ GLOBAL DIV</t>
  </si>
  <si>
    <t>FLQE</t>
  </si>
  <si>
    <t>FRANKLIN LIBERTYQ EMERGING</t>
  </si>
  <si>
    <t>FLQG</t>
  </si>
  <si>
    <t>FRANKLIN LIBERTYQ GLOBAL EQ</t>
  </si>
  <si>
    <t>FLQH</t>
  </si>
  <si>
    <t>FRANKLIN LIBERTYQ INT EQ HED</t>
  </si>
  <si>
    <t>FLQL</t>
  </si>
  <si>
    <t>FRANKLIN LIBERTYQ US EQUITY</t>
  </si>
  <si>
    <t>FLQM</t>
  </si>
  <si>
    <t>FRANKLIN LIBERTYQ MID CAP EQ</t>
  </si>
  <si>
    <t>FLQS</t>
  </si>
  <si>
    <t>FRANKLIN LIBERTYQ SMALL CAP</t>
  </si>
  <si>
    <t>FLR</t>
  </si>
  <si>
    <t>FLUOR CORP</t>
  </si>
  <si>
    <t>FLRN</t>
  </si>
  <si>
    <t>SPDR BBG BARC IG FLOATING RT</t>
  </si>
  <si>
    <t>FLRT</t>
  </si>
  <si>
    <t>PACIFIC GLOBAL SENIOR LOAN E</t>
  </si>
  <si>
    <t>FLRU</t>
  </si>
  <si>
    <t>FRANKLIN FTSE RUSSIA ETF</t>
  </si>
  <si>
    <t>FLS</t>
  </si>
  <si>
    <t>FLOWSERVE CORP</t>
  </si>
  <si>
    <t>FLSA</t>
  </si>
  <si>
    <t>FRANKLIN FTSE SAUDI ARABIA</t>
  </si>
  <si>
    <t>FLSP</t>
  </si>
  <si>
    <t>FRANKLIN LIBERTY SYSTEMATIC</t>
  </si>
  <si>
    <t>FLSW</t>
  </si>
  <si>
    <t>FRANKLIN FTSE SWITZERLAND</t>
  </si>
  <si>
    <t>FLT</t>
  </si>
  <si>
    <t>FLEETCOR TECHNOLOGIES INC</t>
  </si>
  <si>
    <t>FLTB</t>
  </si>
  <si>
    <t>FIDELITY LTD TERM BOND ETF</t>
  </si>
  <si>
    <t>FLTR</t>
  </si>
  <si>
    <t>VANECK INVGRD FLOATING RATE</t>
  </si>
  <si>
    <t>FLTW</t>
  </si>
  <si>
    <t>FRANKLIN FTSE TAIWAN ETF</t>
  </si>
  <si>
    <t>FLUD</t>
  </si>
  <si>
    <t>FRANKLIN LIBERTY UL SHT BOND</t>
  </si>
  <si>
    <t>FLUX</t>
  </si>
  <si>
    <t>FLUX POWER HOLDINGS INC</t>
  </si>
  <si>
    <t>FLV</t>
  </si>
  <si>
    <t>AMERICAN CENTURY FOCUSED LAR</t>
  </si>
  <si>
    <t>FLWS</t>
  </si>
  <si>
    <t>1-800-FLOWERS.COM INC-CL A</t>
  </si>
  <si>
    <t>FLXN</t>
  </si>
  <si>
    <t>FLEXION THERAPEUTICS INC</t>
  </si>
  <si>
    <t>FLXS</t>
  </si>
  <si>
    <t>FLEXSTEEL INDS</t>
  </si>
  <si>
    <t>FLY</t>
  </si>
  <si>
    <t>FLY LEASING LTD-ADR</t>
  </si>
  <si>
    <t>FLYT</t>
  </si>
  <si>
    <t>DIREXION FLIGHT TO SAFETY ST</t>
  </si>
  <si>
    <t>FLZA</t>
  </si>
  <si>
    <t>FRANKLIN FTSE SOUTH AFRICA</t>
  </si>
  <si>
    <t>FM</t>
  </si>
  <si>
    <t>ISHARES MSCI FRONTIER 100</t>
  </si>
  <si>
    <t>FMAO</t>
  </si>
  <si>
    <t>FARMERS &amp; MERCHANTS BANCO/OH</t>
  </si>
  <si>
    <t>FMAT</t>
  </si>
  <si>
    <t>FIDELITY MATERIALS ETF</t>
  </si>
  <si>
    <t>FMAY</t>
  </si>
  <si>
    <t>FT CBOE VEST US EQY BUFF-MAY</t>
  </si>
  <si>
    <t>FMB</t>
  </si>
  <si>
    <t>FIRST TRUST MANAGED MUNICIPA</t>
  </si>
  <si>
    <t>FMBH</t>
  </si>
  <si>
    <t>FIRST MID BANCSHARES INC</t>
  </si>
  <si>
    <t>FMBI</t>
  </si>
  <si>
    <t>FIRST MIDWEST BANCORP INC/IL</t>
  </si>
  <si>
    <t>FMBIO</t>
  </si>
  <si>
    <t>FMBIP</t>
  </si>
  <si>
    <t>FMC</t>
  </si>
  <si>
    <t>FMC CORP</t>
  </si>
  <si>
    <t>FMCI</t>
  </si>
  <si>
    <t>FORUM MERGER II CORP-CL A</t>
  </si>
  <si>
    <t>FMCIU</t>
  </si>
  <si>
    <t>FORUM MERGER II CORP</t>
  </si>
  <si>
    <t>FMCIW</t>
  </si>
  <si>
    <t>FMF</t>
  </si>
  <si>
    <t>FIRST TRUST MANAGED FUTURES</t>
  </si>
  <si>
    <t>FMHI</t>
  </si>
  <si>
    <t>FIRST TRUST MUNICIPAL HIGH I</t>
  </si>
  <si>
    <t>FMIL</t>
  </si>
  <si>
    <t>FIDELITY NEW MILLENNIUM ETF</t>
  </si>
  <si>
    <t>FMK</t>
  </si>
  <si>
    <t>FT MEGA CAP ALPHADEX FUND</t>
  </si>
  <si>
    <t>FMN</t>
  </si>
  <si>
    <t>FEDERATED HERMES PREMIER MUN</t>
  </si>
  <si>
    <t>FMNB</t>
  </si>
  <si>
    <t>FARMERS NATL BANC CORP</t>
  </si>
  <si>
    <t>FMO</t>
  </si>
  <si>
    <t>FIDUCIARY/CLAYM ENRGY INFRA</t>
  </si>
  <si>
    <t>FMS</t>
  </si>
  <si>
    <t>FRESENIUS MEDICAL CARE-ADR</t>
  </si>
  <si>
    <t>FMTX</t>
  </si>
  <si>
    <t>FORMA THERAPEUTICS HOLDINGS</t>
  </si>
  <si>
    <t>FMX</t>
  </si>
  <si>
    <t>FOMENTO ECONOMICO MEX-SP ADR</t>
  </si>
  <si>
    <t>FMY</t>
  </si>
  <si>
    <t>FIRST TRUST MORTGAGE INCOME</t>
  </si>
  <si>
    <t>FN</t>
  </si>
  <si>
    <t>FABRINET</t>
  </si>
  <si>
    <t>FNB</t>
  </si>
  <si>
    <t>FNB CORP</t>
  </si>
  <si>
    <t>FNB-E</t>
  </si>
  <si>
    <t>FNCB</t>
  </si>
  <si>
    <t>FNCB BANCORP INC</t>
  </si>
  <si>
    <t>FNCL</t>
  </si>
  <si>
    <t>FIDELITY FINANCIALS ETF</t>
  </si>
  <si>
    <t>FND</t>
  </si>
  <si>
    <t>FLOOR &amp; DECOR HOLDINGS INC-A</t>
  </si>
  <si>
    <t>FNDA</t>
  </si>
  <si>
    <t>SCHWAB FUNDAMENTAL SMALL CAP</t>
  </si>
  <si>
    <t>FNDB</t>
  </si>
  <si>
    <t>SCHWAB FUNDAMENTAL BROAD MKT</t>
  </si>
  <si>
    <t>FNDC</t>
  </si>
  <si>
    <t>SCHWAB FUNDAMENTAL INTL S/C</t>
  </si>
  <si>
    <t>FNDE</t>
  </si>
  <si>
    <t>SCHWAB FUNDAMENTAL EM L/C</t>
  </si>
  <si>
    <t>FNDF</t>
  </si>
  <si>
    <t>SCHWAB FUNDAMENTAL INTL L/C</t>
  </si>
  <si>
    <t>FNDX</t>
  </si>
  <si>
    <t>SCHWAB FUNDAMENTAL LARGE CAP</t>
  </si>
  <si>
    <t>FNF</t>
  </si>
  <si>
    <t>FIDELITY NATIONAL FINANCIAL</t>
  </si>
  <si>
    <t>FNGD</t>
  </si>
  <si>
    <t>MICROSECTORS FANG+ INDEX -3X</t>
  </si>
  <si>
    <t>FNGO</t>
  </si>
  <si>
    <t>MICROSECTORS FANG INDEX 2X L</t>
  </si>
  <si>
    <t>FNGS</t>
  </si>
  <si>
    <t>MICROSECTORS FANG+ ETNS</t>
  </si>
  <si>
    <t>FNGU</t>
  </si>
  <si>
    <t>MICROSECTORS FANG+ INDEX 3X</t>
  </si>
  <si>
    <t>FNGZ</t>
  </si>
  <si>
    <t>MICROSECTORS FANG INDEX 2X I</t>
  </si>
  <si>
    <t>FNHC</t>
  </si>
  <si>
    <t>FEDNAT HOLDING CO</t>
  </si>
  <si>
    <t>FNI</t>
  </si>
  <si>
    <t>FIRST TRUST CHINDIA ETF</t>
  </si>
  <si>
    <t>FNK</t>
  </si>
  <si>
    <t>FIRST TRUST MID CAP VALUE</t>
  </si>
  <si>
    <t>FNKO</t>
  </si>
  <si>
    <t>FUNKO INC-CLASS A</t>
  </si>
  <si>
    <t>FNLC</t>
  </si>
  <si>
    <t>FIRST BANCORP INC/ME</t>
  </si>
  <si>
    <t>FNOV</t>
  </si>
  <si>
    <t>FNV</t>
  </si>
  <si>
    <t>FRANCO-NEVADA CORP</t>
  </si>
  <si>
    <t>FNWB</t>
  </si>
  <si>
    <t>FIRST NORTHWEST BANCORP</t>
  </si>
  <si>
    <t>FNX</t>
  </si>
  <si>
    <t>FIRST TRUST MID CAP CORE ALP</t>
  </si>
  <si>
    <t>FNY</t>
  </si>
  <si>
    <t>FIRST TRUST MID CAP GROWTH</t>
  </si>
  <si>
    <t>FOCS</t>
  </si>
  <si>
    <t>FOCUS FINANCIAL PARTNERS-A</t>
  </si>
  <si>
    <t>FOE</t>
  </si>
  <si>
    <t>FERRO CORP</t>
  </si>
  <si>
    <t>FOF</t>
  </si>
  <si>
    <t>COHEN &amp; STEERS CLOSED-END OP</t>
  </si>
  <si>
    <t>FOLD</t>
  </si>
  <si>
    <t>AMICUS THERAPEUTICS INC</t>
  </si>
  <si>
    <t>FONR</t>
  </si>
  <si>
    <t>FONAR CORP</t>
  </si>
  <si>
    <t>FOR</t>
  </si>
  <si>
    <t>FORESTAR GROUP INC</t>
  </si>
  <si>
    <t>FORD</t>
  </si>
  <si>
    <t>FORWARD INDUSTRIES INC</t>
  </si>
  <si>
    <t>FORK</t>
  </si>
  <si>
    <t>FULING GLOBAL INC</t>
  </si>
  <si>
    <t>FORM</t>
  </si>
  <si>
    <t>FORMFACTOR INC</t>
  </si>
  <si>
    <t>FORR</t>
  </si>
  <si>
    <t>FORRESTER RESEARCH INC</t>
  </si>
  <si>
    <t>FORTY</t>
  </si>
  <si>
    <t>FORMULA SYSTEMS 1985-SP ADR</t>
  </si>
  <si>
    <t>FOSL</t>
  </si>
  <si>
    <t>FOSSIL GROUP INC</t>
  </si>
  <si>
    <t>FOUR</t>
  </si>
  <si>
    <t>SHIFT4 PAYMENTS INC-CLASS A</t>
  </si>
  <si>
    <t>FOVL</t>
  </si>
  <si>
    <t>ISHARES FOCUSED VALUE FACTOR</t>
  </si>
  <si>
    <t>FOX</t>
  </si>
  <si>
    <t>FOX CORP - CLASS B</t>
  </si>
  <si>
    <t>FOXA</t>
  </si>
  <si>
    <t>FOX CORP - CLASS A</t>
  </si>
  <si>
    <t>FOXF</t>
  </si>
  <si>
    <t>FOX FACTORY HOLDING CORP</t>
  </si>
  <si>
    <t>FPA</t>
  </si>
  <si>
    <t>FIRST TRUST ASIA PAC EX-JAPN</t>
  </si>
  <si>
    <t>FPAY</t>
  </si>
  <si>
    <t>FLEXSHOPPER INC</t>
  </si>
  <si>
    <t>FPE</t>
  </si>
  <si>
    <t>FT-PREFERRED SECUR &amp; INC ETF</t>
  </si>
  <si>
    <t>FPEI</t>
  </si>
  <si>
    <t>FIRST TRUST INSTITUTIONAL PR</t>
  </si>
  <si>
    <t>FPF</t>
  </si>
  <si>
    <t>FIRST TRUST INTERMEDIATE DUR</t>
  </si>
  <si>
    <t>FPH</t>
  </si>
  <si>
    <t>FIVE POINT HOLDINGS LLC-CL A</t>
  </si>
  <si>
    <t>FPI</t>
  </si>
  <si>
    <t>FARMLAND PARTNERS INC</t>
  </si>
  <si>
    <t>FPI-B</t>
  </si>
  <si>
    <t>FPL</t>
  </si>
  <si>
    <t>FIRST TRUST NEW OPPORTUNITIE</t>
  </si>
  <si>
    <t>FPRX</t>
  </si>
  <si>
    <t>FIVE PRIME THERAPEUTICS INC</t>
  </si>
  <si>
    <t>FPX</t>
  </si>
  <si>
    <t>FIRST TRUST US EQUITY OPPORT</t>
  </si>
  <si>
    <t>FPXE</t>
  </si>
  <si>
    <t>FIRST TRUST IPOX EUROPE EQUI</t>
  </si>
  <si>
    <t>FPXI</t>
  </si>
  <si>
    <t>FIRST TRUST INTERNATIONAL EQ</t>
  </si>
  <si>
    <t>FQAL</t>
  </si>
  <si>
    <t>FIDELITY QUALITY FACTOR ETF</t>
  </si>
  <si>
    <t>FR</t>
  </si>
  <si>
    <t>FIRST INDUSTRIAL REALTY TR</t>
  </si>
  <si>
    <t>FRA</t>
  </si>
  <si>
    <t>BLACKROCK FLOAT RT INCOME ST</t>
  </si>
  <si>
    <t>FRAF</t>
  </si>
  <si>
    <t>FRANKLIN FINANCIAL SERVICES</t>
  </si>
  <si>
    <t>FRAK</t>
  </si>
  <si>
    <t>VANECK UNCONVENT OIL &amp; GAS</t>
  </si>
  <si>
    <t>FRAN</t>
  </si>
  <si>
    <t>FRANCESCAS HOLDINGS CORP</t>
  </si>
  <si>
    <t>FRBA</t>
  </si>
  <si>
    <t>FIRST BANK/HAMILTON NJ</t>
  </si>
  <si>
    <t>FRBK</t>
  </si>
  <si>
    <t>REPUBLIC FIRST BANCORP INC</t>
  </si>
  <si>
    <t>FRC</t>
  </si>
  <si>
    <t>FIRST REPUBLIC BANK/CA</t>
  </si>
  <si>
    <t>FRC-F</t>
  </si>
  <si>
    <t>FRC-G</t>
  </si>
  <si>
    <t>FRC-H</t>
  </si>
  <si>
    <t>FRC-I</t>
  </si>
  <si>
    <t>FRC-J</t>
  </si>
  <si>
    <t>FRD</t>
  </si>
  <si>
    <t>FRIEDMAN INDUSTRIES</t>
  </si>
  <si>
    <t>FRDM</t>
  </si>
  <si>
    <t>FREEDOM 100 EMEGING MRKT ETF</t>
  </si>
  <si>
    <t>FREE</t>
  </si>
  <si>
    <t>WHOLE EARTH BRANDS INC</t>
  </si>
  <si>
    <t>FREEW</t>
  </si>
  <si>
    <t>FREL</t>
  </si>
  <si>
    <t>FIDELITY REAL ESTATE ETF</t>
  </si>
  <si>
    <t>FREQ</t>
  </si>
  <si>
    <t>FREQUENCY THERAPEUTICS INC</t>
  </si>
  <si>
    <t>FRG</t>
  </si>
  <si>
    <t>FRANCHISE GROUP INC</t>
  </si>
  <si>
    <t>FRGI</t>
  </si>
  <si>
    <t>FIESTA RESTAURANT GROUP</t>
  </si>
  <si>
    <t>FRHC</t>
  </si>
  <si>
    <t>FREEDOM HOLDING CORP/NV</t>
  </si>
  <si>
    <t>FRI</t>
  </si>
  <si>
    <t>FIRST TRUST S&amp;P REIT INDEX F</t>
  </si>
  <si>
    <t>FRLG</t>
  </si>
  <si>
    <t>LARGE CAP GROWTH INDEX-LINKE</t>
  </si>
  <si>
    <t>FRLN</t>
  </si>
  <si>
    <t>FREELINE THERAPEUTICS HOLDIN</t>
  </si>
  <si>
    <t>FRME</t>
  </si>
  <si>
    <t>FIRST MERCHANTS CORP</t>
  </si>
  <si>
    <t>FRO</t>
  </si>
  <si>
    <t>FRONTLINE LTD</t>
  </si>
  <si>
    <t>FRPH</t>
  </si>
  <si>
    <t>FRP HOLDINGS INC</t>
  </si>
  <si>
    <t>FRPT</t>
  </si>
  <si>
    <t>FRESHPET INC</t>
  </si>
  <si>
    <t>FRSX</t>
  </si>
  <si>
    <t>FORESIGHT AUTONOMOUS-SP ADR</t>
  </si>
  <si>
    <t>FRT</t>
  </si>
  <si>
    <t>FEDERAL REALTY INVS TRUST</t>
  </si>
  <si>
    <t>FRT-C</t>
  </si>
  <si>
    <t>FRTA</t>
  </si>
  <si>
    <t>FORTERRA INC</t>
  </si>
  <si>
    <t>FSBW</t>
  </si>
  <si>
    <t>FS BANCORP INC</t>
  </si>
  <si>
    <t>FSD</t>
  </si>
  <si>
    <t>FIRST TRUST HIGH INCOME LONG</t>
  </si>
  <si>
    <t>FSDC</t>
  </si>
  <si>
    <t>FS DEVELOPMENT CORP-A</t>
  </si>
  <si>
    <t>FSEA</t>
  </si>
  <si>
    <t>FIRST SEACOAST BANCORP</t>
  </si>
  <si>
    <t>FSFG</t>
  </si>
  <si>
    <t>FIRST SAVINGS FINANCIAL GRP</t>
  </si>
  <si>
    <t>FSI</t>
  </si>
  <si>
    <t>FLEXIBLE SOLUTIONS INTL INC</t>
  </si>
  <si>
    <t>FSK</t>
  </si>
  <si>
    <t>FS KKR CAPITAL CORP</t>
  </si>
  <si>
    <t>FSKR</t>
  </si>
  <si>
    <t>FS KKR CAPITAL CORP II</t>
  </si>
  <si>
    <t>FSLF</t>
  </si>
  <si>
    <t>FIRST EAGLE SENIOR LOAN FUND</t>
  </si>
  <si>
    <t>FSLR</t>
  </si>
  <si>
    <t>FIRST SOLAR INC</t>
  </si>
  <si>
    <t>FSLY</t>
  </si>
  <si>
    <t>FASTLY INC - CLASS A</t>
  </si>
  <si>
    <t>FSM</t>
  </si>
  <si>
    <t>FORTUNA SILVER MINES INC</t>
  </si>
  <si>
    <t>FSMB</t>
  </si>
  <si>
    <t>FIRST TRUST SHORT DUR MANAG</t>
  </si>
  <si>
    <t>FSMD</t>
  </si>
  <si>
    <t>FIDELITY SMALL-MID FACTOR</t>
  </si>
  <si>
    <t>FSP</t>
  </si>
  <si>
    <t>FRANKLIN STREET PROPERTIES C</t>
  </si>
  <si>
    <t>FSRV</t>
  </si>
  <si>
    <t>FINSERV ACQUISITION CORP-A</t>
  </si>
  <si>
    <t>FSRVU</t>
  </si>
  <si>
    <t>FINSERV ACQUISITION CORP</t>
  </si>
  <si>
    <t>FSRVW</t>
  </si>
  <si>
    <t>FSS</t>
  </si>
  <si>
    <t>FEDERAL SIGNAL CORP</t>
  </si>
  <si>
    <t>FST=</t>
  </si>
  <si>
    <t>FAST ACQUISITION CORP</t>
  </si>
  <si>
    <t>FSTA</t>
  </si>
  <si>
    <t>FIDELITY CON STAPLES ETF</t>
  </si>
  <si>
    <t>FSTR</t>
  </si>
  <si>
    <t>FOSTER (LB) CO-A</t>
  </si>
  <si>
    <t>FSV</t>
  </si>
  <si>
    <t>FIRSTSERVICE CORP</t>
  </si>
  <si>
    <t>FSZ</t>
  </si>
  <si>
    <t>FIRST TRUST SWITZERLAND</t>
  </si>
  <si>
    <t>FT</t>
  </si>
  <si>
    <t>FRANKLIN UNIVERSAL TRUST</t>
  </si>
  <si>
    <t>FTA</t>
  </si>
  <si>
    <t>FIRST TRUST L C VAL ALP</t>
  </si>
  <si>
    <t>FTAC</t>
  </si>
  <si>
    <t>FINTECH ACQUISITION CORP - A</t>
  </si>
  <si>
    <t>FTACU</t>
  </si>
  <si>
    <t>FINTECH ACQUISITION CORP III</t>
  </si>
  <si>
    <t>FTACW</t>
  </si>
  <si>
    <t>FTAG</t>
  </si>
  <si>
    <t>FIRST TRUST INDXX GLOBAL AGR</t>
  </si>
  <si>
    <t>FTAI</t>
  </si>
  <si>
    <t>FORTRESS TRANSPORTATION &amp; IN</t>
  </si>
  <si>
    <t>FTAI-A</t>
  </si>
  <si>
    <t>FTAI-B</t>
  </si>
  <si>
    <t>FTC</t>
  </si>
  <si>
    <t>FIRST TRUST LARGE CAP GROWTH</t>
  </si>
  <si>
    <t>FTCH</t>
  </si>
  <si>
    <t>FARFETCH LTD-CLASS A</t>
  </si>
  <si>
    <t>FTCS</t>
  </si>
  <si>
    <t>FIRST TRUST CAPITAL STRENGTH</t>
  </si>
  <si>
    <t>FTDR</t>
  </si>
  <si>
    <t>FRONTDOOR INC</t>
  </si>
  <si>
    <t>FTEC</t>
  </si>
  <si>
    <t>FIDELITY MSCI INFO TECH ETF</t>
  </si>
  <si>
    <t>FTEK</t>
  </si>
  <si>
    <t>FUEL TECH INC</t>
  </si>
  <si>
    <t>FTF</t>
  </si>
  <si>
    <t>FRANKLIN LTD DUR INC TR</t>
  </si>
  <si>
    <t>FTFT</t>
  </si>
  <si>
    <t>FUTURE FINTECH GROUP INC</t>
  </si>
  <si>
    <t>FTGC</t>
  </si>
  <si>
    <t>FIRST TRUST GLOBAL TACTICAL</t>
  </si>
  <si>
    <t>FTHI</t>
  </si>
  <si>
    <t>FTHI/FIRST TRUST EXCHANGE-TR</t>
  </si>
  <si>
    <t>FTHM</t>
  </si>
  <si>
    <t>FATHOM HOLDINGS INC</t>
  </si>
  <si>
    <t>FTHY</t>
  </si>
  <si>
    <t>FIRST TRUST HIGH YLD OPPORT</t>
  </si>
  <si>
    <t>FTI</t>
  </si>
  <si>
    <t>TECHNIPFMC PLC</t>
  </si>
  <si>
    <t>FTK</t>
  </si>
  <si>
    <t>FLOTEK INDUSTRIES INC</t>
  </si>
  <si>
    <t>FTLB</t>
  </si>
  <si>
    <t>FIRST TRUST EXCHANGE-TRADED</t>
  </si>
  <si>
    <t>FTLS</t>
  </si>
  <si>
    <t>FIRST TRUST LONG/SHORT EQTY</t>
  </si>
  <si>
    <t>FTNT</t>
  </si>
  <si>
    <t>FORTINET INC</t>
  </si>
  <si>
    <t>FTOCU</t>
  </si>
  <si>
    <t>FTAC OLYMPUS ACQUISITION COR</t>
  </si>
  <si>
    <t>FTRI</t>
  </si>
  <si>
    <t>FIRST TRUST INDXX GLOBAL NAT</t>
  </si>
  <si>
    <t>FTS</t>
  </si>
  <si>
    <t>FORTIS INC</t>
  </si>
  <si>
    <t>FTSD</t>
  </si>
  <si>
    <t>FRANKLIN LIBERTY SHORT DURAT</t>
  </si>
  <si>
    <t>FTSI</t>
  </si>
  <si>
    <t>FTS INTERNATIONAL INC</t>
  </si>
  <si>
    <t>FTSL</t>
  </si>
  <si>
    <t>FIRST TRUST SENIOR LOAN ETF</t>
  </si>
  <si>
    <t>FTSM</t>
  </si>
  <si>
    <t>FIRST TRUST ENH SHORT MAT FD</t>
  </si>
  <si>
    <t>FTV</t>
  </si>
  <si>
    <t>FORTIVE CORP</t>
  </si>
  <si>
    <t>FTV-A</t>
  </si>
  <si>
    <t>FTXD</t>
  </si>
  <si>
    <t>FIRST TRUST NASDAQ RETAIL ET</t>
  </si>
  <si>
    <t>FTXG</t>
  </si>
  <si>
    <t>FIRST TRUST NASDAQ FOOD &amp; BE</t>
  </si>
  <si>
    <t>FTXH</t>
  </si>
  <si>
    <t>FIRST TRUST NASDAQ PHARMACEU</t>
  </si>
  <si>
    <t>FTXL</t>
  </si>
  <si>
    <t>FIRST TRUST NASDAQ SEMICONDU</t>
  </si>
  <si>
    <t>FTXN</t>
  </si>
  <si>
    <t>FIRST TRUST NASDAQ OIL &amp; GAS</t>
  </si>
  <si>
    <t>FTXO</t>
  </si>
  <si>
    <t>FIRST TRUST NASDAQ BANK ETF</t>
  </si>
  <si>
    <t>FTXR</t>
  </si>
  <si>
    <t>FIRST TRUST NASDAQ TRANSPORT</t>
  </si>
  <si>
    <t>FUD</t>
  </si>
  <si>
    <t>ETRACS CMCI FOOD TR ETN</t>
  </si>
  <si>
    <t>FUE</t>
  </si>
  <si>
    <t>ELEMENTS ICE EXTRA BIOFUELS</t>
  </si>
  <si>
    <t>FUL</t>
  </si>
  <si>
    <t>H.B. FULLER CO.</t>
  </si>
  <si>
    <t>FULC</t>
  </si>
  <si>
    <t>FULCRUM THERAPEUTICS INC</t>
  </si>
  <si>
    <t>FULT</t>
  </si>
  <si>
    <t>FULTON FINANCIAL CORP</t>
  </si>
  <si>
    <t>FUMB</t>
  </si>
  <si>
    <t>FIRST TRUST ULTRA SHORT DUR</t>
  </si>
  <si>
    <t>FUN</t>
  </si>
  <si>
    <t>CEDAR FAIR LP</t>
  </si>
  <si>
    <t>FUNC</t>
  </si>
  <si>
    <t>FIRST UNITED CORP</t>
  </si>
  <si>
    <t>FUND</t>
  </si>
  <si>
    <t>SPROTT FOCUS TRUST INC</t>
  </si>
  <si>
    <t>FUNL</t>
  </si>
  <si>
    <t>CORNERCAP FUNDAMETRICS L-CAP</t>
  </si>
  <si>
    <t>FUSB</t>
  </si>
  <si>
    <t>FIRST US BANCSHARES INC</t>
  </si>
  <si>
    <t>FUSE</t>
  </si>
  <si>
    <t>FUSION ACQUISITION CORP-A</t>
  </si>
  <si>
    <t>FUSE+</t>
  </si>
  <si>
    <t>FUSE=</t>
  </si>
  <si>
    <t>FUSION ACQUISITION CORP</t>
  </si>
  <si>
    <t>FUSN</t>
  </si>
  <si>
    <t>FUSION PHARMACEUTICALS INC</t>
  </si>
  <si>
    <t>FUT</t>
  </si>
  <si>
    <t>PROSHARES MANAGED FUTURES ST</t>
  </si>
  <si>
    <t>FUTU</t>
  </si>
  <si>
    <t>FUTU HOLDINGS LTD-ADR</t>
  </si>
  <si>
    <t>FUTY</t>
  </si>
  <si>
    <t>FIDELITY US UTILITIES ETF</t>
  </si>
  <si>
    <t>FUV</t>
  </si>
  <si>
    <t>ARCIMOTO INC</t>
  </si>
  <si>
    <t>FV</t>
  </si>
  <si>
    <t>FIRST TRUST DW FOCUS 5 FUND</t>
  </si>
  <si>
    <t>FVAC</t>
  </si>
  <si>
    <t>FORTRESS VALUE ACQ-CLASS A</t>
  </si>
  <si>
    <t>FVAC+</t>
  </si>
  <si>
    <t>FVAC=</t>
  </si>
  <si>
    <t>FORTRESS VALUE ACQUISITION</t>
  </si>
  <si>
    <t>FVAL</t>
  </si>
  <si>
    <t>FIDELITY VALUE FACTOR ETF</t>
  </si>
  <si>
    <t>FVC</t>
  </si>
  <si>
    <t>FIRST TRUST DORSEY WRIGHT DY</t>
  </si>
  <si>
    <t>FVCB</t>
  </si>
  <si>
    <t>FVCBANKCORP INC</t>
  </si>
  <si>
    <t>FVD</t>
  </si>
  <si>
    <t>FIRST TRUST VALUE LINE DVD</t>
  </si>
  <si>
    <t>FVE</t>
  </si>
  <si>
    <t>FIVE STAR SENIOR LIVING INC</t>
  </si>
  <si>
    <t>FVL</t>
  </si>
  <si>
    <t>FIRST TRUST VALUE LINE 100</t>
  </si>
  <si>
    <t>FVRR</t>
  </si>
  <si>
    <t>FIVERR INTERNATIONAL LTD</t>
  </si>
  <si>
    <t>FWDB</t>
  </si>
  <si>
    <t>ADVISORSHARES FOLIOBEYOND SM</t>
  </si>
  <si>
    <t>FWONA</t>
  </si>
  <si>
    <t>LIBERTY MEDIA CORP-LIBERTY-A</t>
  </si>
  <si>
    <t>FWONK</t>
  </si>
  <si>
    <t>LIBERTY MEDIA CORP-LIBERTY-C</t>
  </si>
  <si>
    <t>FWP</t>
  </si>
  <si>
    <t>FORWARD PHARMA A/S-ADR</t>
  </si>
  <si>
    <t>FWRD</t>
  </si>
  <si>
    <t>FORWARD AIR CORP</t>
  </si>
  <si>
    <t>FXA</t>
  </si>
  <si>
    <t>INVESCO CURRENCYSHARES AUSTR</t>
  </si>
  <si>
    <t>FXB</t>
  </si>
  <si>
    <t>INVESCO CURRENCYSHARES BRITI</t>
  </si>
  <si>
    <t>FXC</t>
  </si>
  <si>
    <t>INVESCO CURRENCYSHARES CANAD</t>
  </si>
  <si>
    <t>FXD</t>
  </si>
  <si>
    <t>FIRST TRUST CONSUMER DISCRET</t>
  </si>
  <si>
    <t>FXE</t>
  </si>
  <si>
    <t>INVESCO CURRENCYSHARES EURO</t>
  </si>
  <si>
    <t>FXF</t>
  </si>
  <si>
    <t>INVESCO CURRENCYSHARES SWISS</t>
  </si>
  <si>
    <t>FXG</t>
  </si>
  <si>
    <t>FIRST TRUST CONSUMER STAPLES</t>
  </si>
  <si>
    <t>FXH</t>
  </si>
  <si>
    <t>FIRST TRUST HEALTH CARE ALPH</t>
  </si>
  <si>
    <t>FXI</t>
  </si>
  <si>
    <t>ISHARES CHINA LARGE-CAP ETF</t>
  </si>
  <si>
    <t>FXL</t>
  </si>
  <si>
    <t>FIRST TRUST TECHNOLOGY ALPHA</t>
  </si>
  <si>
    <t>FXN</t>
  </si>
  <si>
    <t>FIRST TRUST ENERGY ALPHADEX</t>
  </si>
  <si>
    <t>FXNC</t>
  </si>
  <si>
    <t>FIRST NATIONAL CORP/VA</t>
  </si>
  <si>
    <t>FXO</t>
  </si>
  <si>
    <t>FIRST TRUST FINANCIAL ALPHAD</t>
  </si>
  <si>
    <t>FXP</t>
  </si>
  <si>
    <t>PROSHARES ULTRASHORT FTSE CH</t>
  </si>
  <si>
    <t>FXR</t>
  </si>
  <si>
    <t>FIRST TRUST INDST/PRODUCERS</t>
  </si>
  <si>
    <t>FXU</t>
  </si>
  <si>
    <t>FIRST TRUST UTILITIES ALPHAD</t>
  </si>
  <si>
    <t>FXY</t>
  </si>
  <si>
    <t>INVESCO CURRENCYSHARES JAPAN</t>
  </si>
  <si>
    <t>FXZ</t>
  </si>
  <si>
    <t>FIRST TRUST MATERIALS ALPHAD</t>
  </si>
  <si>
    <t>FYC</t>
  </si>
  <si>
    <t>FIRST TRUST SMALL CAP GROWTH</t>
  </si>
  <si>
    <t>FYLD</t>
  </si>
  <si>
    <t>CAMBRIA FOREIGN SHAREHOLDER</t>
  </si>
  <si>
    <t>FYT</t>
  </si>
  <si>
    <t>FIRST TRUST SMALL CAP VAL</t>
  </si>
  <si>
    <t>FYX</t>
  </si>
  <si>
    <t>FIRST TRUST SMALL CAP CORE A</t>
  </si>
  <si>
    <t>G</t>
  </si>
  <si>
    <t>GENPACT LTD</t>
  </si>
  <si>
    <t>GAA</t>
  </si>
  <si>
    <t>CAMBRIA GLOBAL ASSET ALLOCAT</t>
  </si>
  <si>
    <t>GAB</t>
  </si>
  <si>
    <t>GABELLI EQUITY TRUST</t>
  </si>
  <si>
    <t>GAB-G</t>
  </si>
  <si>
    <t>GAB-H</t>
  </si>
  <si>
    <t>GAB-J</t>
  </si>
  <si>
    <t>GAB-K</t>
  </si>
  <si>
    <t>GABC</t>
  </si>
  <si>
    <t>GERMAN AMERICAN BANCORP</t>
  </si>
  <si>
    <t>GAIA</t>
  </si>
  <si>
    <t>GAIA INC</t>
  </si>
  <si>
    <t>GAIN</t>
  </si>
  <si>
    <t>GLADSTONE INVESTMENT CORP</t>
  </si>
  <si>
    <t>GAINL</t>
  </si>
  <si>
    <t>GAINM</t>
  </si>
  <si>
    <t>GAL</t>
  </si>
  <si>
    <t>SPDR SSGA GLOBAL ALLOCATION</t>
  </si>
  <si>
    <t>GALT</t>
  </si>
  <si>
    <t>GALECTIN THERAPEUTICS INC</t>
  </si>
  <si>
    <t>GAM</t>
  </si>
  <si>
    <t>GENERAL AMERICAN INVESTORS</t>
  </si>
  <si>
    <t>GAM-B</t>
  </si>
  <si>
    <t>GAMR</t>
  </si>
  <si>
    <t>WEDBUSH ETFMG VIDEO GAME TEC</t>
  </si>
  <si>
    <t>GAN</t>
  </si>
  <si>
    <t>GAN LTD</t>
  </si>
  <si>
    <t>GARS</t>
  </si>
  <si>
    <t>GARRISON CAPITAL INC</t>
  </si>
  <si>
    <t>GASS</t>
  </si>
  <si>
    <t>STEALTHGAS INC</t>
  </si>
  <si>
    <t>GATX</t>
  </si>
  <si>
    <t>GATX CORP</t>
  </si>
  <si>
    <t>GAU</t>
  </si>
  <si>
    <t>GALIANO GOLD INC</t>
  </si>
  <si>
    <t>GAZ</t>
  </si>
  <si>
    <t>IPATH SER B BBG NAT GAS TR</t>
  </si>
  <si>
    <t>GB</t>
  </si>
  <si>
    <t>GLOBAL BLUE GROUP HOLDING AG</t>
  </si>
  <si>
    <t>GB+</t>
  </si>
  <si>
    <t>GBAB</t>
  </si>
  <si>
    <t>GUGGENHEIM TAXABLE MUNICIPAL</t>
  </si>
  <si>
    <t>GBCI</t>
  </si>
  <si>
    <t>GLACIER BANCORP INC</t>
  </si>
  <si>
    <t>GBDC</t>
  </si>
  <si>
    <t>GOLUB CAPITAL BDC INC</t>
  </si>
  <si>
    <t>GBDV</t>
  </si>
  <si>
    <t>GLOBAL BETA SMART INCOME ETF</t>
  </si>
  <si>
    <t>GBF</t>
  </si>
  <si>
    <t>ISHARES GOVERNMENT/CREDIT BO</t>
  </si>
  <si>
    <t>GBGR</t>
  </si>
  <si>
    <t>GLOBAL BETA MOMENTUM-GROWTH</t>
  </si>
  <si>
    <t>GBIL</t>
  </si>
  <si>
    <t>GOLDMAN SACHS ACCESS TREASUR</t>
  </si>
  <si>
    <t>GBIO</t>
  </si>
  <si>
    <t>GENERATION BIO CO</t>
  </si>
  <si>
    <t>GBL</t>
  </si>
  <si>
    <t>GAMCO INVESTORS INC-A</t>
  </si>
  <si>
    <t>GBLI</t>
  </si>
  <si>
    <t>GLOBAL INDEMNITY GROUP LLC-A</t>
  </si>
  <si>
    <t>GBLIL</t>
  </si>
  <si>
    <t>GBLO</t>
  </si>
  <si>
    <t>GLOBAL BETA LOW BETA ETF</t>
  </si>
  <si>
    <t>GBR</t>
  </si>
  <si>
    <t>NEW CONCEPT ENERGY INC</t>
  </si>
  <si>
    <t>GBT</t>
  </si>
  <si>
    <t>GLOBAL BLOOD THERAPEUTICS IN</t>
  </si>
  <si>
    <t>GBUG</t>
  </si>
  <si>
    <t>IPATH GOLD ETN</t>
  </si>
  <si>
    <t>GBUY</t>
  </si>
  <si>
    <t>GOLDMAN SACHS NEW AGE CONSUM</t>
  </si>
  <si>
    <t>GBX</t>
  </si>
  <si>
    <t>GREENBRIER COMPANIES INC</t>
  </si>
  <si>
    <t>GCBC</t>
  </si>
  <si>
    <t>GREENE COUNTY BANCORP INC</t>
  </si>
  <si>
    <t>GCC</t>
  </si>
  <si>
    <t>WISDOMTREE CONTINUOUS COMMOD</t>
  </si>
  <si>
    <t>GCI</t>
  </si>
  <si>
    <t>GANNETT CO INC</t>
  </si>
  <si>
    <t>GCO</t>
  </si>
  <si>
    <t>GENESCO INC</t>
  </si>
  <si>
    <t>GCOW</t>
  </si>
  <si>
    <t>PACER GLOBAL CASH COWS DIVID</t>
  </si>
  <si>
    <t>GCP</t>
  </si>
  <si>
    <t>GCP APPLIED TECHNOLOGIES</t>
  </si>
  <si>
    <t>GCV</t>
  </si>
  <si>
    <t>GABELLI CONV AND INCOME SEC</t>
  </si>
  <si>
    <t>GD</t>
  </si>
  <si>
    <t>GENERAL DYNAMICS CORP</t>
  </si>
  <si>
    <t>GDAT</t>
  </si>
  <si>
    <t>GOLDMAN SACHS DATA-DRIVEN WO</t>
  </si>
  <si>
    <t>GDDY</t>
  </si>
  <si>
    <t>GODADDY INC - CLASS A</t>
  </si>
  <si>
    <t>GDEN</t>
  </si>
  <si>
    <t>GOLDEN ENTERTAINMENT INC</t>
  </si>
  <si>
    <t>GDL</t>
  </si>
  <si>
    <t>GDL FUND/THE</t>
  </si>
  <si>
    <t>GDL-C</t>
  </si>
  <si>
    <t>GDMA</t>
  </si>
  <si>
    <t>GADSDEN DYNAMIC MULTI-ASSET</t>
  </si>
  <si>
    <t>GDNA</t>
  </si>
  <si>
    <t>GOLDMAN SACHS HUMAN EVOLUTIO</t>
  </si>
  <si>
    <t>GDO</t>
  </si>
  <si>
    <t>WESTERN ASSET GL CORP DEF OP</t>
  </si>
  <si>
    <t>GDOT</t>
  </si>
  <si>
    <t>GREEN DOT CORP-CLASS A</t>
  </si>
  <si>
    <t>GDP</t>
  </si>
  <si>
    <t>GOODRICH PETROLEUM CORP</t>
  </si>
  <si>
    <t>GDS</t>
  </si>
  <si>
    <t>GDS HOLDINGS LTD - ADR</t>
  </si>
  <si>
    <t>GDV</t>
  </si>
  <si>
    <t>GABELLI DIVIDEND &amp; INCOME TR</t>
  </si>
  <si>
    <t>GDV-A</t>
  </si>
  <si>
    <t>GDV-G</t>
  </si>
  <si>
    <t>GDV-H</t>
  </si>
  <si>
    <t>GDVD</t>
  </si>
  <si>
    <t>PRNCPAL ACTV GLBL DV INC ETF</t>
  </si>
  <si>
    <t>GDX</t>
  </si>
  <si>
    <t>VANECK GOLD MINERS</t>
  </si>
  <si>
    <t>GDXJ</t>
  </si>
  <si>
    <t>VANECK JR GOLD MINERS</t>
  </si>
  <si>
    <t>GDYN</t>
  </si>
  <si>
    <t>GRID DYNAMICS HOLDINGS INC</t>
  </si>
  <si>
    <t>GDYNW</t>
  </si>
  <si>
    <t>GE</t>
  </si>
  <si>
    <t>GENERAL ELECTRIC CO</t>
  </si>
  <si>
    <t>GEC</t>
  </si>
  <si>
    <t>GREAT ELM CAPITAL GROUP INC</t>
  </si>
  <si>
    <t>GECC</t>
  </si>
  <si>
    <t>GREAT ELM CAPITAL CORP</t>
  </si>
  <si>
    <t>GECCL</t>
  </si>
  <si>
    <t>GECCM</t>
  </si>
  <si>
    <t>GECCN</t>
  </si>
  <si>
    <t>GEF</t>
  </si>
  <si>
    <t>GREIF INC-CL A</t>
  </si>
  <si>
    <t>GEF.B</t>
  </si>
  <si>
    <t>GREIF INC-CL B</t>
  </si>
  <si>
    <t>GEL</t>
  </si>
  <si>
    <t>GENESIS ENERGY L.P.</t>
  </si>
  <si>
    <t>GEM</t>
  </si>
  <si>
    <t>GOLDMAN SACHS ACTIVEBETA EM</t>
  </si>
  <si>
    <t>GEN</t>
  </si>
  <si>
    <t>GENESIS HEALTHCARE INC</t>
  </si>
  <si>
    <t>GENC</t>
  </si>
  <si>
    <t>GENCOR INDUSTRIES INC</t>
  </si>
  <si>
    <t>GENE</t>
  </si>
  <si>
    <t>GENETIC TECH LTD-SP ADR</t>
  </si>
  <si>
    <t>GENY</t>
  </si>
  <si>
    <t>PRINCIPAL MILLENNIALS ETF</t>
  </si>
  <si>
    <t>GEO</t>
  </si>
  <si>
    <t>GEO GROUP INC/THE</t>
  </si>
  <si>
    <t>GEOS</t>
  </si>
  <si>
    <t>GEOSPACE TECHNOLOGIES CORP</t>
  </si>
  <si>
    <t>GER</t>
  </si>
  <si>
    <t>GOLDMAN SACHS MLP &amp; ENERGY R</t>
  </si>
  <si>
    <t>GERM</t>
  </si>
  <si>
    <t>ETFMG TRTMNT TESTING ADV ETF</t>
  </si>
  <si>
    <t>GERN</t>
  </si>
  <si>
    <t>GERON CORP</t>
  </si>
  <si>
    <t>GES</t>
  </si>
  <si>
    <t>GUESS? INC</t>
  </si>
  <si>
    <t>GEVO</t>
  </si>
  <si>
    <t>GEVO INC</t>
  </si>
  <si>
    <t>GF</t>
  </si>
  <si>
    <t>NEW GERMANY FUND</t>
  </si>
  <si>
    <t>GFED</t>
  </si>
  <si>
    <t>GUARANTY FEDERAL BNCSHS INC</t>
  </si>
  <si>
    <t>GFF</t>
  </si>
  <si>
    <t>GRIFFON CORP</t>
  </si>
  <si>
    <t>GFI</t>
  </si>
  <si>
    <t>GOLD FIELDS LTD-SPONS ADR</t>
  </si>
  <si>
    <t>GFIN</t>
  </si>
  <si>
    <t>GOLDMAN SACHS FINANCE REIMAG</t>
  </si>
  <si>
    <t>GFL</t>
  </si>
  <si>
    <t>GFL ENVIRONMENTAL INC-SUB VT</t>
  </si>
  <si>
    <t>GFLU</t>
  </si>
  <si>
    <t>GFN</t>
  </si>
  <si>
    <t>GENERAL FINANCE CORP</t>
  </si>
  <si>
    <t>GFNCP</t>
  </si>
  <si>
    <t>GFNSL</t>
  </si>
  <si>
    <t>GFY</t>
  </si>
  <si>
    <t>WESTERN ASSET VAR RT STRAT</t>
  </si>
  <si>
    <t>GGAL</t>
  </si>
  <si>
    <t>GRUPO FINANCIERO GALICIA-ADR</t>
  </si>
  <si>
    <t>GGB</t>
  </si>
  <si>
    <t>GERDAU SA -SPON ADR</t>
  </si>
  <si>
    <t>GGG</t>
  </si>
  <si>
    <t>GRACO INC</t>
  </si>
  <si>
    <t>GGM</t>
  </si>
  <si>
    <t>GUGGENHEIM CREDIT ALLOCATION</t>
  </si>
  <si>
    <t>GGN</t>
  </si>
  <si>
    <t>GAMCO GLOBAL GOLD NATURAL RE</t>
  </si>
  <si>
    <t>GGN-B</t>
  </si>
  <si>
    <t>GGO</t>
  </si>
  <si>
    <t>GABELLI GO ANYWHERE TRUST</t>
  </si>
  <si>
    <t>GGO-A</t>
  </si>
  <si>
    <t>GGT</t>
  </si>
  <si>
    <t>GABELLI MULTIMEDIA TRUST INC</t>
  </si>
  <si>
    <t>GGT-E</t>
  </si>
  <si>
    <t>GGT-G</t>
  </si>
  <si>
    <t>GGZ</t>
  </si>
  <si>
    <t>GABELLI GLOBAL SMALL &amp; M</t>
  </si>
  <si>
    <t>GGZ-A</t>
  </si>
  <si>
    <t>GH</t>
  </si>
  <si>
    <t>GUARDANT HEALTH INC</t>
  </si>
  <si>
    <t>GHC</t>
  </si>
  <si>
    <t>GRAHAM HOLDINGS CO-CLASS B</t>
  </si>
  <si>
    <t>GHG</t>
  </si>
  <si>
    <t>GREENTREE HOSPITALITY GR-ADR</t>
  </si>
  <si>
    <t>GHIV</t>
  </si>
  <si>
    <t>GORES HOLDINGS IV INC-CL A</t>
  </si>
  <si>
    <t>GHIVU</t>
  </si>
  <si>
    <t>GORES HOLDINGS IV INC</t>
  </si>
  <si>
    <t>GHIVW</t>
  </si>
  <si>
    <t>GHL</t>
  </si>
  <si>
    <t>GREENHILL &amp; CO INC</t>
  </si>
  <si>
    <t>GHM</t>
  </si>
  <si>
    <t>GRAHAM CORP</t>
  </si>
  <si>
    <t>GHSI</t>
  </si>
  <si>
    <t>GUARDION HEALTH SCIENCES INC</t>
  </si>
  <si>
    <t>GHY</t>
  </si>
  <si>
    <t>PGIM GLOBAL HIGH YIELD FUND</t>
  </si>
  <si>
    <t>GHYB</t>
  </si>
  <si>
    <t>GOLDMAN SACHS ACCESS HY CORP</t>
  </si>
  <si>
    <t>GHYG</t>
  </si>
  <si>
    <t>ISHARES US&amp;INTL HIGH YIELD C</t>
  </si>
  <si>
    <t>GIB</t>
  </si>
  <si>
    <t>CGI INC</t>
  </si>
  <si>
    <t>GIFI</t>
  </si>
  <si>
    <t>GULF ISLAND FABRICATION INC</t>
  </si>
  <si>
    <t>GIGB</t>
  </si>
  <si>
    <t>GOLDMAN SACHS INV GRD CORP</t>
  </si>
  <si>
    <t>GIGE</t>
  </si>
  <si>
    <t>SOFI GIG ECONOMY ETF</t>
  </si>
  <si>
    <t>GIGM</t>
  </si>
  <si>
    <t>GIGAMEDIA LTD</t>
  </si>
  <si>
    <t>GII</t>
  </si>
  <si>
    <t>SPDR S&amp;P GLOBAL INFRASTRUCTU</t>
  </si>
  <si>
    <t>GIII</t>
  </si>
  <si>
    <t>G-III APPAREL GROUP LTD</t>
  </si>
  <si>
    <t>GIK</t>
  </si>
  <si>
    <t>GIGCAPITAL3 INC</t>
  </si>
  <si>
    <t>GIK+</t>
  </si>
  <si>
    <t>GIK=</t>
  </si>
  <si>
    <t>GIGCAPITAL3 INC - UNITS</t>
  </si>
  <si>
    <t>GIL</t>
  </si>
  <si>
    <t>GILDAN ACTIVEWEAR INC</t>
  </si>
  <si>
    <t>GILD</t>
  </si>
  <si>
    <t>GILEAD SCIENCES INC</t>
  </si>
  <si>
    <t>GILT</t>
  </si>
  <si>
    <t>GILAT SATELLITE NETWORKS LTD</t>
  </si>
  <si>
    <t>GIM</t>
  </si>
  <si>
    <t>TEMPLETON GLOBAL INCOME FUND</t>
  </si>
  <si>
    <t>GIS</t>
  </si>
  <si>
    <t>GENERAL MILLS INC</t>
  </si>
  <si>
    <t>GIX</t>
  </si>
  <si>
    <t>GIGCAPITAL2 INC</t>
  </si>
  <si>
    <t>GIX+</t>
  </si>
  <si>
    <t>GIX=</t>
  </si>
  <si>
    <t>GIX^</t>
  </si>
  <si>
    <t>GIGCAPITAL2 INC - RIGHTS</t>
  </si>
  <si>
    <t>GJH</t>
  </si>
  <si>
    <t>GJO</t>
  </si>
  <si>
    <t>GJP</t>
  </si>
  <si>
    <t>GJR</t>
  </si>
  <si>
    <t>GJS</t>
  </si>
  <si>
    <t>GJT</t>
  </si>
  <si>
    <t>GKOS</t>
  </si>
  <si>
    <t>GLAUKOS CORP</t>
  </si>
  <si>
    <t>GL</t>
  </si>
  <si>
    <t>GLOBE LIFE INC</t>
  </si>
  <si>
    <t>GL-C</t>
  </si>
  <si>
    <t>GLAD</t>
  </si>
  <si>
    <t>GLADSTONE CAPITAL CORP</t>
  </si>
  <si>
    <t>GLADD</t>
  </si>
  <si>
    <t>GLADL</t>
  </si>
  <si>
    <t>GLBS</t>
  </si>
  <si>
    <t>GLOBUS MARITIME LIMITED</t>
  </si>
  <si>
    <t>GLBZ</t>
  </si>
  <si>
    <t>GLEN BURNIE BANCORP</t>
  </si>
  <si>
    <t>GLCN</t>
  </si>
  <si>
    <t>VANECK VECTORS CHINA GROWTH</t>
  </si>
  <si>
    <t>GLD</t>
  </si>
  <si>
    <t>SPDR GOLD SHARES</t>
  </si>
  <si>
    <t>GLDD</t>
  </si>
  <si>
    <t>GREAT LAKES DREDGE &amp; DOCK CO</t>
  </si>
  <si>
    <t>GLDI</t>
  </si>
  <si>
    <t>X-LINKS GOLD SHRS COVRD CALL</t>
  </si>
  <si>
    <t>GLDM</t>
  </si>
  <si>
    <t>SPDR GOLD MINISHARES TRUST</t>
  </si>
  <si>
    <t>GLEO</t>
  </si>
  <si>
    <t>GALILEO ACQUISITION CORP</t>
  </si>
  <si>
    <t>GLEO+</t>
  </si>
  <si>
    <t>GLEO=</t>
  </si>
  <si>
    <t>GLG</t>
  </si>
  <si>
    <t>TD HOLDINGS INC</t>
  </si>
  <si>
    <t>GLIBA</t>
  </si>
  <si>
    <t>GCI LIBERTY INC - CLASS A</t>
  </si>
  <si>
    <t>GLIBP</t>
  </si>
  <si>
    <t>GLIF</t>
  </si>
  <si>
    <t>AGFIQ GLOBAL INFRASTRUCTURE</t>
  </si>
  <si>
    <t>GLIN</t>
  </si>
  <si>
    <t>VANECK VECTORS INDIA GROWTH</t>
  </si>
  <si>
    <t>GLL</t>
  </si>
  <si>
    <t>PROSHARES ULTRASHORT GOLD</t>
  </si>
  <si>
    <t>GLMD</t>
  </si>
  <si>
    <t>GALMED PHARMACEUTICALS LTD</t>
  </si>
  <si>
    <t>GLNG</t>
  </si>
  <si>
    <t>GOLAR LNG LTD</t>
  </si>
  <si>
    <t>GLO</t>
  </si>
  <si>
    <t>CLOUGH GLBL OPPORTUNITIES FD</t>
  </si>
  <si>
    <t>GLOB</t>
  </si>
  <si>
    <t>GLOBANT SA</t>
  </si>
  <si>
    <t>GLOG</t>
  </si>
  <si>
    <t>GASLOG LTD</t>
  </si>
  <si>
    <t>GLOG-A</t>
  </si>
  <si>
    <t>GLOP</t>
  </si>
  <si>
    <t>GASLOG PARTNERS LP</t>
  </si>
  <si>
    <t>GLOP-A</t>
  </si>
  <si>
    <t>GLOP-B</t>
  </si>
  <si>
    <t>GLOP-C</t>
  </si>
  <si>
    <t>GLP</t>
  </si>
  <si>
    <t>GLOBAL PARTNERS LP</t>
  </si>
  <si>
    <t>GLP-A</t>
  </si>
  <si>
    <t>GLPG</t>
  </si>
  <si>
    <t>GALAPAGOS NV-SPON ADR</t>
  </si>
  <si>
    <t>GLPI</t>
  </si>
  <si>
    <t>GAMING AND LEISURE PROPERTIE</t>
  </si>
  <si>
    <t>GLQ</t>
  </si>
  <si>
    <t>CLOUGH GLOBAL EQUITY FUND</t>
  </si>
  <si>
    <t>GLRE</t>
  </si>
  <si>
    <t>GREENLIGHT CAPITAL RE LTD-A</t>
  </si>
  <si>
    <t>GLT</t>
  </si>
  <si>
    <t>GLATFELTER</t>
  </si>
  <si>
    <t>GLTR</t>
  </si>
  <si>
    <t>ABERDEEN STANDARD PHYSICAL P</t>
  </si>
  <si>
    <t>GLU</t>
  </si>
  <si>
    <t>GABELLI GLOBAL UTIL &amp; INCOME</t>
  </si>
  <si>
    <t>GLU-A</t>
  </si>
  <si>
    <t>GLU-B</t>
  </si>
  <si>
    <t>GLUU</t>
  </si>
  <si>
    <t>GLU MOBILE INC</t>
  </si>
  <si>
    <t>GLV</t>
  </si>
  <si>
    <t>CLOUGH GLOBAL DIVIDEND AND I</t>
  </si>
  <si>
    <t>GLW</t>
  </si>
  <si>
    <t>CORNING INC</t>
  </si>
  <si>
    <t>GLYC</t>
  </si>
  <si>
    <t>GLYCOMIMETICS INC</t>
  </si>
  <si>
    <t>GM</t>
  </si>
  <si>
    <t>GENERAL MOTORS CO</t>
  </si>
  <si>
    <t>GMAB</t>
  </si>
  <si>
    <t>GENMAB A/S -SP ADR</t>
  </si>
  <si>
    <t>GMAN</t>
  </si>
  <si>
    <t>GOLDMAN SACHS MANUFACTURING</t>
  </si>
  <si>
    <t>GMBL</t>
  </si>
  <si>
    <t>ESPORTS ENTERTAINMENT GROUP</t>
  </si>
  <si>
    <t>GMBLW</t>
  </si>
  <si>
    <t>GMDA</t>
  </si>
  <si>
    <t>GAMIDA CELL LTD</t>
  </si>
  <si>
    <t>GME</t>
  </si>
  <si>
    <t>GAMESTOP CORP-CLASS A</t>
  </si>
  <si>
    <t>GMED</t>
  </si>
  <si>
    <t>GLOBUS MEDICAL INC - A</t>
  </si>
  <si>
    <t>GMF</t>
  </si>
  <si>
    <t>SPDR S&amp;P EMERGING ASIA PACIF</t>
  </si>
  <si>
    <t>GMHI</t>
  </si>
  <si>
    <t>GORES METROPOULOS INC-CL A</t>
  </si>
  <si>
    <t>GMHIU</t>
  </si>
  <si>
    <t>GORES METROPOULOS INC</t>
  </si>
  <si>
    <t>GMHIW</t>
  </si>
  <si>
    <t>GMLP</t>
  </si>
  <si>
    <t>GOLAR LNG PARTNERS LP</t>
  </si>
  <si>
    <t>GMLPP</t>
  </si>
  <si>
    <t>GMO</t>
  </si>
  <si>
    <t>GENERAL MOLY INC</t>
  </si>
  <si>
    <t>GMOM</t>
  </si>
  <si>
    <t>CAMBRIA GLOBAL MOMENTUM ETF</t>
  </si>
  <si>
    <t>GMRE</t>
  </si>
  <si>
    <t>GLOBAL MEDICAL REIT INC</t>
  </si>
  <si>
    <t>GMRE-A</t>
  </si>
  <si>
    <t>GMS</t>
  </si>
  <si>
    <t>GMS INC</t>
  </si>
  <si>
    <t>GMTA</t>
  </si>
  <si>
    <t>GMZ</t>
  </si>
  <si>
    <t>GOLDMAN SACHS MLP INCOME OPP</t>
  </si>
  <si>
    <t>GNAF</t>
  </si>
  <si>
    <t>MICROSECTORS FANG INDEX INVE</t>
  </si>
  <si>
    <t>GNCA</t>
  </si>
  <si>
    <t>GENOCEA BIOSCIENCES INC</t>
  </si>
  <si>
    <t>GNE</t>
  </si>
  <si>
    <t>GENIE ENERGY LTD-B</t>
  </si>
  <si>
    <t>GNE-A</t>
  </si>
  <si>
    <t>GNFT</t>
  </si>
  <si>
    <t>GENFIT-ADR</t>
  </si>
  <si>
    <t>GNK</t>
  </si>
  <si>
    <t>GENCO SHIPPING &amp; TRADING LTD</t>
  </si>
  <si>
    <t>GNL</t>
  </si>
  <si>
    <t>GLOBAL NET LEASE INC</t>
  </si>
  <si>
    <t>GNL-A</t>
  </si>
  <si>
    <t>GNL-B</t>
  </si>
  <si>
    <t>GNLN</t>
  </si>
  <si>
    <t>GREENLANE HOLDINGS INC - A</t>
  </si>
  <si>
    <t>GNMA</t>
  </si>
  <si>
    <t>ISHARES GNMA BOND ETF</t>
  </si>
  <si>
    <t>GNMK</t>
  </si>
  <si>
    <t>GENMARK DIAGNOSTICS INC</t>
  </si>
  <si>
    <t>GNOM</t>
  </si>
  <si>
    <t>GLOBAL X GENOMICS &amp; BIOTECHN</t>
  </si>
  <si>
    <t>GNPX</t>
  </si>
  <si>
    <t>GENPREX INC</t>
  </si>
  <si>
    <t>GNR</t>
  </si>
  <si>
    <t>SPDR S&amp;P GL NAT RESOURCES</t>
  </si>
  <si>
    <t>GNRC</t>
  </si>
  <si>
    <t>GENERAC HOLDINGS INC</t>
  </si>
  <si>
    <t>GNRS</t>
  </si>
  <si>
    <t>GREENROSE ACQUISITION CORP</t>
  </si>
  <si>
    <t>GNRSU</t>
  </si>
  <si>
    <t>GNRSW</t>
  </si>
  <si>
    <t>GNSS</t>
  </si>
  <si>
    <t>GENASYS INC</t>
  </si>
  <si>
    <t>GNT</t>
  </si>
  <si>
    <t>GAMCO NATURAL RESOURCES GOLD</t>
  </si>
  <si>
    <t>GNT-A</t>
  </si>
  <si>
    <t>GNTX</t>
  </si>
  <si>
    <t>GENTEX CORP</t>
  </si>
  <si>
    <t>GNTY</t>
  </si>
  <si>
    <t>GUARANTY BANCSHARES INC</t>
  </si>
  <si>
    <t>GNUS</t>
  </si>
  <si>
    <t>GENIUS BRANDS INTERNATIONAL</t>
  </si>
  <si>
    <t>GNW</t>
  </si>
  <si>
    <t>GENWORTH FINANCIAL INC-CL A</t>
  </si>
  <si>
    <t>GO</t>
  </si>
  <si>
    <t>GROCERY OUTLET HOLDING CORP</t>
  </si>
  <si>
    <t>GOAC=</t>
  </si>
  <si>
    <t>GO ACQUISITION CORP</t>
  </si>
  <si>
    <t>GOAT</t>
  </si>
  <si>
    <t>VANECK GLBL WIDE MOAT</t>
  </si>
  <si>
    <t>GOAU</t>
  </si>
  <si>
    <t>US GLB GLD &amp; METAL MNRS ETF</t>
  </si>
  <si>
    <t>GOCO</t>
  </si>
  <si>
    <t>GOHEALTH INC-CLASS A</t>
  </si>
  <si>
    <t>GOED</t>
  </si>
  <si>
    <t>1847 GOEDEKER INC</t>
  </si>
  <si>
    <t>GOEX</t>
  </si>
  <si>
    <t>GLOBAL X GOLD EXPLORERS ETF</t>
  </si>
  <si>
    <t>GOF</t>
  </si>
  <si>
    <t>GUGGENHEIM STRATEGIC OPPORTU</t>
  </si>
  <si>
    <t>GOGL</t>
  </si>
  <si>
    <t>GOLDEN OCEAN GROUP LTD</t>
  </si>
  <si>
    <t>GOGO</t>
  </si>
  <si>
    <t>GOGO INC</t>
  </si>
  <si>
    <t>GOL</t>
  </si>
  <si>
    <t>GOL LINHAS AEREAS INTEL-ADR</t>
  </si>
  <si>
    <t>GOLD</t>
  </si>
  <si>
    <t>BARRICK GOLD CORP</t>
  </si>
  <si>
    <t>GOLF</t>
  </si>
  <si>
    <t>ACUSHNET HOLDINGS CORP</t>
  </si>
  <si>
    <t>GOOD</t>
  </si>
  <si>
    <t>GLADSTONE COMMERCIAL CORP</t>
  </si>
  <si>
    <t>GOODM</t>
  </si>
  <si>
    <t>GOODN</t>
  </si>
  <si>
    <t>GOOG</t>
  </si>
  <si>
    <t>ALPHABET INC-CL C</t>
  </si>
  <si>
    <t>GOOGL</t>
  </si>
  <si>
    <t>ALPHABET INC-CL A</t>
  </si>
  <si>
    <t>GOOS</t>
  </si>
  <si>
    <t>CANADA GOOSE HOLDINGS INC</t>
  </si>
  <si>
    <t>GORO</t>
  </si>
  <si>
    <t>GOLD RESOURCE CORP</t>
  </si>
  <si>
    <t>GOSS</t>
  </si>
  <si>
    <t>GOSSAMER BIO INC</t>
  </si>
  <si>
    <t>GOVT</t>
  </si>
  <si>
    <t>ISHARES US TREASURY BOND ETF</t>
  </si>
  <si>
    <t>GP</t>
  </si>
  <si>
    <t>GREENPOWER MOTOR CO INC</t>
  </si>
  <si>
    <t>GPC</t>
  </si>
  <si>
    <t>GENUINE PARTS CO</t>
  </si>
  <si>
    <t>GPI</t>
  </si>
  <si>
    <t>GROUP 1 AUTOMOTIVE INC</t>
  </si>
  <si>
    <t>GPJA</t>
  </si>
  <si>
    <t>GPK</t>
  </si>
  <si>
    <t>GRAPHIC PACKAGING HOLDING CO</t>
  </si>
  <si>
    <t>GPL</t>
  </si>
  <si>
    <t>GREAT PANTHER MINING LTD</t>
  </si>
  <si>
    <t>GPM</t>
  </si>
  <si>
    <t>GUGGENHEIM ENHANCED EQUITY I</t>
  </si>
  <si>
    <t>GPMT</t>
  </si>
  <si>
    <t>GRANITE POINT MORTGAGE TRUST</t>
  </si>
  <si>
    <t>GPN</t>
  </si>
  <si>
    <t>GLOBAL PAYMENTS INC</t>
  </si>
  <si>
    <t>GPOR</t>
  </si>
  <si>
    <t>GULFPORT ENERGY CORP</t>
  </si>
  <si>
    <t>GPP</t>
  </si>
  <si>
    <t>GREEN PLAINS PARTNERS LP</t>
  </si>
  <si>
    <t>GPRE</t>
  </si>
  <si>
    <t>GREEN PLAINS INC</t>
  </si>
  <si>
    <t>GPRK</t>
  </si>
  <si>
    <t>GEOPARK LTD</t>
  </si>
  <si>
    <t>GPRO</t>
  </si>
  <si>
    <t>GOPRO INC-CLASS A</t>
  </si>
  <si>
    <t>GPS</t>
  </si>
  <si>
    <t>GAP INC/THE</t>
  </si>
  <si>
    <t>GPX</t>
  </si>
  <si>
    <t>GP STRATEGIES CORP</t>
  </si>
  <si>
    <t>GQRE</t>
  </si>
  <si>
    <t>FLEXSHARES GLOBAL QUALITY RE</t>
  </si>
  <si>
    <t>GRA</t>
  </si>
  <si>
    <t>WR GRACE &amp; CO</t>
  </si>
  <si>
    <t>GRAF</t>
  </si>
  <si>
    <t>GRAF INDUSTRIAL CORP</t>
  </si>
  <si>
    <t>GRAF+</t>
  </si>
  <si>
    <t>GRAF=</t>
  </si>
  <si>
    <t>GRAM</t>
  </si>
  <si>
    <t>GRANA Y MONTERO SA -SPON ADR</t>
  </si>
  <si>
    <t>GRBK</t>
  </si>
  <si>
    <t>GREEN BRICK PARTNERS INC</t>
  </si>
  <si>
    <t>GRC</t>
  </si>
  <si>
    <t>GORMAN-RUPP CO</t>
  </si>
  <si>
    <t>GRCY</t>
  </si>
  <si>
    <t>GREENCITY ACQUISITION CORP</t>
  </si>
  <si>
    <t>GRCYU</t>
  </si>
  <si>
    <t>GRCYW</t>
  </si>
  <si>
    <t>GREK</t>
  </si>
  <si>
    <t>GLOBAL X MSCI GREECE ETF</t>
  </si>
  <si>
    <t>GRES</t>
  </si>
  <si>
    <t>IQ GLOBAL RESOURCES ETF</t>
  </si>
  <si>
    <t>GRF</t>
  </si>
  <si>
    <t>EAGLE CAPITAL GROWTH FUND</t>
  </si>
  <si>
    <t>GRFS</t>
  </si>
  <si>
    <t>GRIFOLS SA-ADR</t>
  </si>
  <si>
    <t>GRID</t>
  </si>
  <si>
    <t>FIRST TRST NASD CL EDG SGIIF</t>
  </si>
  <si>
    <t>GRIF</t>
  </si>
  <si>
    <t>GRIFFIN INDUSTRIAL REALTY IN</t>
  </si>
  <si>
    <t>GRIL</t>
  </si>
  <si>
    <t>MUSCLE MAKER INC</t>
  </si>
  <si>
    <t>GRIN</t>
  </si>
  <si>
    <t>GRINDROD SHIPPING HOLDINGS L</t>
  </si>
  <si>
    <t>GRMN</t>
  </si>
  <si>
    <t>GARMIN LTD</t>
  </si>
  <si>
    <t>GRN</t>
  </si>
  <si>
    <t>IPATH SERIES B CARBON ETN</t>
  </si>
  <si>
    <t>GRNB</t>
  </si>
  <si>
    <t>VANECK GREEN BOND</t>
  </si>
  <si>
    <t>GRNQ</t>
  </si>
  <si>
    <t>GREENPRO CAPITAL CORP</t>
  </si>
  <si>
    <t>GRNV</t>
  </si>
  <si>
    <t>GREENVISION ACQUISITION CORP</t>
  </si>
  <si>
    <t>GRNVR</t>
  </si>
  <si>
    <t>GREENVISION ACQU CORP-RGT</t>
  </si>
  <si>
    <t>GRNVU</t>
  </si>
  <si>
    <t>GRNVW</t>
  </si>
  <si>
    <t>GROW</t>
  </si>
  <si>
    <t>U.S. GLOBAL INVESTORS INC-A</t>
  </si>
  <si>
    <t>GRP=</t>
  </si>
  <si>
    <t>GRANITE REAL ESTATE INVESTME</t>
  </si>
  <si>
    <t>GRPN</t>
  </si>
  <si>
    <t>GROUPON INC</t>
  </si>
  <si>
    <t>GRSVU</t>
  </si>
  <si>
    <t>GORES HOLDINGS V INC</t>
  </si>
  <si>
    <t>GRTS</t>
  </si>
  <si>
    <t>GRITSTONE ONCOLOGY INC</t>
  </si>
  <si>
    <t>GRTX</t>
  </si>
  <si>
    <t>GALERA THERAPEUTICS INC</t>
  </si>
  <si>
    <t>GRU</t>
  </si>
  <si>
    <t>ELEMENTS ICE EXTRA GRAINS TO</t>
  </si>
  <si>
    <t>GRUB</t>
  </si>
  <si>
    <t>GRUBHUB INC</t>
  </si>
  <si>
    <t>GRVY</t>
  </si>
  <si>
    <t>GRAVITY CO LTD-SPONSORED ADR</t>
  </si>
  <si>
    <t>GRWG</t>
  </si>
  <si>
    <t>GROWGENERATION CORP</t>
  </si>
  <si>
    <t>GRX</t>
  </si>
  <si>
    <t>GABELLI HEALTHCARE&amp;WELLNESS</t>
  </si>
  <si>
    <t>GRX-B</t>
  </si>
  <si>
    <t>GS</t>
  </si>
  <si>
    <t>GOLDMAN SACHS GROUP INC</t>
  </si>
  <si>
    <t>GS-A</t>
  </si>
  <si>
    <t>GS-C</t>
  </si>
  <si>
    <t>GS-D</t>
  </si>
  <si>
    <t>GS-J</t>
  </si>
  <si>
    <t>GS-K</t>
  </si>
  <si>
    <t>GS-N</t>
  </si>
  <si>
    <t>GSAH</t>
  </si>
  <si>
    <t>GS ACQUISITION HOLDINGS-A</t>
  </si>
  <si>
    <t>GSAH+</t>
  </si>
  <si>
    <t>GSAH=</t>
  </si>
  <si>
    <t>GS ACQUISITION HDS CORP II</t>
  </si>
  <si>
    <t>GSAT</t>
  </si>
  <si>
    <t>GLOBALSTAR INC</t>
  </si>
  <si>
    <t>GSBC</t>
  </si>
  <si>
    <t>GREAT SOUTHERN BANCORP INC</t>
  </si>
  <si>
    <t>GSBD</t>
  </si>
  <si>
    <t>GOLDMAN SACHS BDC INC</t>
  </si>
  <si>
    <t>GSEE</t>
  </si>
  <si>
    <t>GOLDMAN SACHS MARKETBETA EME</t>
  </si>
  <si>
    <t>GSEU</t>
  </si>
  <si>
    <t>GOLDMAN ACTIVEBTA EUR EQ ETF</t>
  </si>
  <si>
    <t>GSEW</t>
  </si>
  <si>
    <t>GOLDMAN SACHS EQL WGHT LARGE</t>
  </si>
  <si>
    <t>GSG</t>
  </si>
  <si>
    <t>ISHARES S&amp;P GSCI COMMODITY I</t>
  </si>
  <si>
    <t>GSH</t>
  </si>
  <si>
    <t>GUANGSHEN RAILWAY-SPONS ADR</t>
  </si>
  <si>
    <t>GSHD</t>
  </si>
  <si>
    <t>GOOSEHEAD INSURANCE INC -A</t>
  </si>
  <si>
    <t>GSID</t>
  </si>
  <si>
    <t>GOLDMAN SACHS MARKETBETA INT</t>
  </si>
  <si>
    <t>GSIE</t>
  </si>
  <si>
    <t>GOLDMAN SACHS ACTIVEBETA INT</t>
  </si>
  <si>
    <t>GSIG</t>
  </si>
  <si>
    <t>GOLDMAN SACHS ACCESS INVESTM</t>
  </si>
  <si>
    <t>GSIT</t>
  </si>
  <si>
    <t>GSI TECHNOLOGY INC</t>
  </si>
  <si>
    <t>GSJY</t>
  </si>
  <si>
    <t>GOLDMAN ACTIVEBETA JP EQ ETF</t>
  </si>
  <si>
    <t>GSK</t>
  </si>
  <si>
    <t>GLAXOSMITHKLINE PLC-SPON ADR</t>
  </si>
  <si>
    <t>GSKY</t>
  </si>
  <si>
    <t>GREENSKY INC-CLASS A</t>
  </si>
  <si>
    <t>GSL</t>
  </si>
  <si>
    <t>GLOBAL SHIP LEASE INC-CL A</t>
  </si>
  <si>
    <t>GSL-B</t>
  </si>
  <si>
    <t>GSLC</t>
  </si>
  <si>
    <t>GOLDMAN ACTIVEBETA US LC ETF</t>
  </si>
  <si>
    <t>GSLD</t>
  </si>
  <si>
    <t>GSM</t>
  </si>
  <si>
    <t>FERROGLOBE PLC</t>
  </si>
  <si>
    <t>GSMG</t>
  </si>
  <si>
    <t>GLORY STAR NEW MEDIA GROUP H</t>
  </si>
  <si>
    <t>GSMGW</t>
  </si>
  <si>
    <t>GSP</t>
  </si>
  <si>
    <t>IPATH GSCI TOTAL RETURN INDX</t>
  </si>
  <si>
    <t>GSS</t>
  </si>
  <si>
    <t>GOLDEN STAR RESOURCES LTD</t>
  </si>
  <si>
    <t>GSSC</t>
  </si>
  <si>
    <t>GOLDMAN SACHS ACTIVEBETA US</t>
  </si>
  <si>
    <t>GSST</t>
  </si>
  <si>
    <t>GOLDMAN SACHS ACCESS U/SHORT</t>
  </si>
  <si>
    <t>GSUM</t>
  </si>
  <si>
    <t>GRIDSUM HOLDING INC-ADR</t>
  </si>
  <si>
    <t>GSUS</t>
  </si>
  <si>
    <t>GOLDMAN SACHS MARKETBETA US</t>
  </si>
  <si>
    <t>GSV</t>
  </si>
  <si>
    <t>GOLD STANDARD VENTURES CORP</t>
  </si>
  <si>
    <t>GSX</t>
  </si>
  <si>
    <t>GSX TECHEDU INC- ADR</t>
  </si>
  <si>
    <t>GSY</t>
  </si>
  <si>
    <t>INVESCO ULTRA SHORT DURATION</t>
  </si>
  <si>
    <t>GT</t>
  </si>
  <si>
    <t>GOODYEAR TIRE &amp; RUBBER CO</t>
  </si>
  <si>
    <t>GTE</t>
  </si>
  <si>
    <t>GRAN TIERRA ENERGY INC</t>
  </si>
  <si>
    <t>GTEC</t>
  </si>
  <si>
    <t>GREENLAND TECHNOLOGIES HOLDI</t>
  </si>
  <si>
    <t>GTES</t>
  </si>
  <si>
    <t>GATES INDUSTRIAL CORP PLC</t>
  </si>
  <si>
    <t>GTH</t>
  </si>
  <si>
    <t>GENETRON HOLDINGS LTD</t>
  </si>
  <si>
    <t>GTHX</t>
  </si>
  <si>
    <t>G1 THERAPEUTICS INC</t>
  </si>
  <si>
    <t>GTIM</t>
  </si>
  <si>
    <t>GOOD TIMES RESTAURANTS INC</t>
  </si>
  <si>
    <t>GTIP</t>
  </si>
  <si>
    <t>GOLDMAN SACHS ACCESS INFLATI</t>
  </si>
  <si>
    <t>GTLS</t>
  </si>
  <si>
    <t>CHART INDUSTRIES INC</t>
  </si>
  <si>
    <t>GTN</t>
  </si>
  <si>
    <t>GRAY TELEVISION INC</t>
  </si>
  <si>
    <t>GTN.A</t>
  </si>
  <si>
    <t>GRAY TELEVISION INC-A</t>
  </si>
  <si>
    <t>GTO</t>
  </si>
  <si>
    <t>INVESCO TOTAL RETURN BOND ET</t>
  </si>
  <si>
    <t>GTS</t>
  </si>
  <si>
    <t>TRIPLE-S MANAGEMENT CORP-B</t>
  </si>
  <si>
    <t>GTT</t>
  </si>
  <si>
    <t>GTT COMMUNICATIONS INC</t>
  </si>
  <si>
    <t>GTX</t>
  </si>
  <si>
    <t>GARRETT MOTION INC</t>
  </si>
  <si>
    <t>GTY</t>
  </si>
  <si>
    <t>GETTY REALTY CORP</t>
  </si>
  <si>
    <t>GTYH</t>
  </si>
  <si>
    <t>GTY TECHNOLOGY HOLDINGS INC</t>
  </si>
  <si>
    <t>GUDB</t>
  </si>
  <si>
    <t>SAGE ESG INTERMEDIATE CREDIT</t>
  </si>
  <si>
    <t>GUNR</t>
  </si>
  <si>
    <t>FLEXSHARES GLOBAL UPSTREAM N</t>
  </si>
  <si>
    <t>GURE</t>
  </si>
  <si>
    <t>GULF RESOURCES INC</t>
  </si>
  <si>
    <t>GURU</t>
  </si>
  <si>
    <t>GLOBAL X GURU INDEX ETF</t>
  </si>
  <si>
    <t>GUSH</t>
  </si>
  <si>
    <t>GUT</t>
  </si>
  <si>
    <t>GABELLI UTILITY TRUST</t>
  </si>
  <si>
    <t>GUT-A</t>
  </si>
  <si>
    <t>GUT-C</t>
  </si>
  <si>
    <t>GV</t>
  </si>
  <si>
    <t>GOLDFIELD CORP</t>
  </si>
  <si>
    <t>GVA</t>
  </si>
  <si>
    <t>GRANITE CONSTRUCTION INC</t>
  </si>
  <si>
    <t>GVAL</t>
  </si>
  <si>
    <t>CAMBRIA GLOBAL VALUE ETF</t>
  </si>
  <si>
    <t>GVI</t>
  </si>
  <si>
    <t>ISHARES INTERMEDIATE GOVERNM</t>
  </si>
  <si>
    <t>GVIP</t>
  </si>
  <si>
    <t>GOLD SACHS HEDGE IND VIP ETF</t>
  </si>
  <si>
    <t>GVP</t>
  </si>
  <si>
    <t>GSE SYSTEMS INC</t>
  </si>
  <si>
    <t>GWB</t>
  </si>
  <si>
    <t>GREAT WESTERN BANCORP INC</t>
  </si>
  <si>
    <t>GWGH</t>
  </si>
  <si>
    <t>GWG HOLDINGS INC</t>
  </si>
  <si>
    <t>GWPH</t>
  </si>
  <si>
    <t>GW PHARMACEUTICALS -ADR</t>
  </si>
  <si>
    <t>GWRE</t>
  </si>
  <si>
    <t>GUIDEWIRE SOFTWARE INC</t>
  </si>
  <si>
    <t>GWRS</t>
  </si>
  <si>
    <t>GLOBAL WATER RESOURCES INC</t>
  </si>
  <si>
    <t>GWW</t>
  </si>
  <si>
    <t>WW GRAINGER INC</t>
  </si>
  <si>
    <t>GWX</t>
  </si>
  <si>
    <t>SPDR S&amp;P INTL SMALL CAP</t>
  </si>
  <si>
    <t>GXC</t>
  </si>
  <si>
    <t>SPDR S&amp;P CHINA ETF</t>
  </si>
  <si>
    <t>GXF</t>
  </si>
  <si>
    <t>GLOBAL X FTSE NORDIC REGION</t>
  </si>
  <si>
    <t>GXG</t>
  </si>
  <si>
    <t>GLOBAL X MSCI COLOMBIA ETF</t>
  </si>
  <si>
    <t>GXGX</t>
  </si>
  <si>
    <t>GX ACQUISITION CORP - CL A</t>
  </si>
  <si>
    <t>GXGXU</t>
  </si>
  <si>
    <t>GX ACQUISITION CORP</t>
  </si>
  <si>
    <t>GXGXW</t>
  </si>
  <si>
    <t>GXTG</t>
  </si>
  <si>
    <t>GLOBAL X THEMATIC GROWTH ETF</t>
  </si>
  <si>
    <t>GYC</t>
  </si>
  <si>
    <t>GYLD</t>
  </si>
  <si>
    <t>ARROW DOW JONES GLOBAL YIELD</t>
  </si>
  <si>
    <t>GYRO</t>
  </si>
  <si>
    <t>GYRODYNE LLC</t>
  </si>
  <si>
    <t>H</t>
  </si>
  <si>
    <t>HYATT HOTELS CORP - CL A</t>
  </si>
  <si>
    <t>HA</t>
  </si>
  <si>
    <t>HAWAIIAN HOLDINGS INC</t>
  </si>
  <si>
    <t>HACK</t>
  </si>
  <si>
    <t>ETFMG PRIME CYBER SECURITY E</t>
  </si>
  <si>
    <t>HAE</t>
  </si>
  <si>
    <t>HAEMONETICS CORP/MASS</t>
  </si>
  <si>
    <t>HAFC</t>
  </si>
  <si>
    <t>HANMI FINANCIAL CORPORATION</t>
  </si>
  <si>
    <t>HAIL</t>
  </si>
  <si>
    <t>SPDR S&amp;P KENSHO SMART MOBILI</t>
  </si>
  <si>
    <t>HAIN</t>
  </si>
  <si>
    <t>HAIN CELESTIAL GROUP INC</t>
  </si>
  <si>
    <t>HAL</t>
  </si>
  <si>
    <t>HALLIBURTON CO</t>
  </si>
  <si>
    <t>HALL</t>
  </si>
  <si>
    <t>HALLMARK FINL SERVICES INC</t>
  </si>
  <si>
    <t>HALO</t>
  </si>
  <si>
    <t>HALOZYME THERAPEUTICS INC</t>
  </si>
  <si>
    <t>HAP</t>
  </si>
  <si>
    <t>VANECK NATURAL RESOURCES</t>
  </si>
  <si>
    <t>HAPP</t>
  </si>
  <si>
    <t>HAPPINESS BIOTECH GROUP LTD</t>
  </si>
  <si>
    <t>HARP</t>
  </si>
  <si>
    <t>HARPOON THERAPEUTICS INC</t>
  </si>
  <si>
    <t>HAS</t>
  </si>
  <si>
    <t>HASBRO INC</t>
  </si>
  <si>
    <t>HASI</t>
  </si>
  <si>
    <t>HANNON ARMSTRONG SUSTAINABLE</t>
  </si>
  <si>
    <t>HAUZ</t>
  </si>
  <si>
    <t>XTRACKERS INTL REAL ESTATE</t>
  </si>
  <si>
    <t>HAWX</t>
  </si>
  <si>
    <t>ISHARES CUR HDG MSCI ACWI-X</t>
  </si>
  <si>
    <t>HAYN</t>
  </si>
  <si>
    <t>HAYNES INTERNATIONAL INC</t>
  </si>
  <si>
    <t>HBAN</t>
  </si>
  <si>
    <t>HUNTINGTON BANCSHARES INC</t>
  </si>
  <si>
    <t>HBANN</t>
  </si>
  <si>
    <t>HBANO</t>
  </si>
  <si>
    <t>HBB</t>
  </si>
  <si>
    <t>HAMILTON BEACH BRAND-A</t>
  </si>
  <si>
    <t>HBCP</t>
  </si>
  <si>
    <t>HOME BANCORP INC</t>
  </si>
  <si>
    <t>HBI</t>
  </si>
  <si>
    <t>HANESBRANDS INC</t>
  </si>
  <si>
    <t>HBIO</t>
  </si>
  <si>
    <t>HARVARD BIOSCIENCE INC</t>
  </si>
  <si>
    <t>HBM</t>
  </si>
  <si>
    <t>HUDBAY MINERALS INC</t>
  </si>
  <si>
    <t>HBMD</t>
  </si>
  <si>
    <t>HOWARD BANCORP INC</t>
  </si>
  <si>
    <t>HBNC</t>
  </si>
  <si>
    <t>HORIZON BANCORP INC/IN</t>
  </si>
  <si>
    <t>HBP</t>
  </si>
  <si>
    <t>HUTTIG BUILDING PRODUCTS INC</t>
  </si>
  <si>
    <t>HBT</t>
  </si>
  <si>
    <t>HBT FINANCIAL INC/DE</t>
  </si>
  <si>
    <t>HCA</t>
  </si>
  <si>
    <t>HCA HEALTHCARE INC</t>
  </si>
  <si>
    <t>HCAC</t>
  </si>
  <si>
    <t>HENNESSY CAPITAL ACQUISITI-A</t>
  </si>
  <si>
    <t>HCACU</t>
  </si>
  <si>
    <t>HENNESSY CAPITAL ACQUISITION</t>
  </si>
  <si>
    <t>HCACW</t>
  </si>
  <si>
    <t>HCAP</t>
  </si>
  <si>
    <t>HARVEST CAPITAL CREDIT CORP</t>
  </si>
  <si>
    <t>HCAPZ</t>
  </si>
  <si>
    <t>HCAT</t>
  </si>
  <si>
    <t>HEALTH CATALYST INC</t>
  </si>
  <si>
    <t>HCC</t>
  </si>
  <si>
    <t>WARRIOR MET COAL INC</t>
  </si>
  <si>
    <t>HCCH</t>
  </si>
  <si>
    <t>HL ACQUISITIONS CORP</t>
  </si>
  <si>
    <t>HCCHR</t>
  </si>
  <si>
    <t>HL ACQUISITIONS CORP-RIGHTS</t>
  </si>
  <si>
    <t>HCCHU</t>
  </si>
  <si>
    <t>HCCHW</t>
  </si>
  <si>
    <t>HCCI</t>
  </si>
  <si>
    <t>HERITAGE-CRYSTAL CLEAN INC</t>
  </si>
  <si>
    <t>HCCO</t>
  </si>
  <si>
    <t>HEALTHCARE MERGER CORP-A</t>
  </si>
  <si>
    <t>HCCOU</t>
  </si>
  <si>
    <t>HEALTHCARE MERGER CORP</t>
  </si>
  <si>
    <t>HCCOW</t>
  </si>
  <si>
    <t>HCDI</t>
  </si>
  <si>
    <t>HARBOR CUSTOM DEVELOPMENT</t>
  </si>
  <si>
    <t>HCFT</t>
  </si>
  <si>
    <t>HUNT COMPANIES FINANCE TRUST</t>
  </si>
  <si>
    <t>HCHC</t>
  </si>
  <si>
    <t>HC2 HOLDINGS INC</t>
  </si>
  <si>
    <t>HCI</t>
  </si>
  <si>
    <t>HCI GROUP INC</t>
  </si>
  <si>
    <t>HCKT</t>
  </si>
  <si>
    <t>HACKETT GROUP INC/THE</t>
  </si>
  <si>
    <t>HCM</t>
  </si>
  <si>
    <t>HUTCHISON CHINA MEDITECH-ADR</t>
  </si>
  <si>
    <t>HCRB</t>
  </si>
  <si>
    <t>HARTFORD CORE BOND ETF</t>
  </si>
  <si>
    <t>HCSG</t>
  </si>
  <si>
    <t>HEALTHCARE SERVICES GROUP</t>
  </si>
  <si>
    <t>HCXY</t>
  </si>
  <si>
    <t>HCXZ</t>
  </si>
  <si>
    <t>HD</t>
  </si>
  <si>
    <t>HOME DEPOT INC</t>
  </si>
  <si>
    <t>HDAW</t>
  </si>
  <si>
    <t>HDB</t>
  </si>
  <si>
    <t>HDFC BANK LTD-ADR</t>
  </si>
  <si>
    <t>HDEF</t>
  </si>
  <si>
    <t>XTRACKERS MSCI EAFE HIGH DIV</t>
  </si>
  <si>
    <t>HDG</t>
  </si>
  <si>
    <t>PROSHARES HEDGE REPLICAT ETF</t>
  </si>
  <si>
    <t>HDGE</t>
  </si>
  <si>
    <t>ADVISORSHARES RANGER EQ BEAR</t>
  </si>
  <si>
    <t>HDIV</t>
  </si>
  <si>
    <t>QRAFT AI-ENHANCED US HIGH DI</t>
  </si>
  <si>
    <t>HDLB</t>
  </si>
  <si>
    <t>ETRACS 2X HI DIV L-VOL ETN-B</t>
  </si>
  <si>
    <t>HDMV</t>
  </si>
  <si>
    <t>FT HORIZON MGD VOL D INT ETF</t>
  </si>
  <si>
    <t>HDS</t>
  </si>
  <si>
    <t>HD SUPPLY HOLDINGS INC</t>
  </si>
  <si>
    <t>HDSN</t>
  </si>
  <si>
    <t>HUDSON TECHNOLOGIES INC</t>
  </si>
  <si>
    <t>HDV</t>
  </si>
  <si>
    <t>ISHARES CORE HIGH DIVIDEND E</t>
  </si>
  <si>
    <t>HE</t>
  </si>
  <si>
    <t>HAWAIIAN ELECTRIC INDS</t>
  </si>
  <si>
    <t>HEAR</t>
  </si>
  <si>
    <t>TURTLE BEACH CORP</t>
  </si>
  <si>
    <t>HEBT</t>
  </si>
  <si>
    <t>HEBRON TECHNOLOGY CO LTD - A</t>
  </si>
  <si>
    <t>HEC</t>
  </si>
  <si>
    <t>HUDSON EXECUTIVE INVEST-CL A</t>
  </si>
  <si>
    <t>HECCU</t>
  </si>
  <si>
    <t>HUDSON EXECUTIVE INVESTMENT</t>
  </si>
  <si>
    <t>HECCW</t>
  </si>
  <si>
    <t>HEDJ</t>
  </si>
  <si>
    <t>WISDOMTREE EUROPE HEDGED EQU</t>
  </si>
  <si>
    <t>HEEM</t>
  </si>
  <si>
    <t>ISHARES CRNCY HEDGD MSCI EM</t>
  </si>
  <si>
    <t>HEES</t>
  </si>
  <si>
    <t>H&amp;E EQUIPMENT SERVICES INC</t>
  </si>
  <si>
    <t>HEFA</t>
  </si>
  <si>
    <t>ISHA CURR HEDGED MSCI EAFE</t>
  </si>
  <si>
    <t>HEI</t>
  </si>
  <si>
    <t>HEICO CORP</t>
  </si>
  <si>
    <t>HEI.A</t>
  </si>
  <si>
    <t>HEICO CORP-CLASS A</t>
  </si>
  <si>
    <t>HELE</t>
  </si>
  <si>
    <t>HELEN OF TROY LTD</t>
  </si>
  <si>
    <t>HELX</t>
  </si>
  <si>
    <t>FRANKLIN GENOMIC ADVANCEMENT</t>
  </si>
  <si>
    <t>HEP</t>
  </si>
  <si>
    <t>HOLLY ENERGY PARTNERS LP</t>
  </si>
  <si>
    <t>HEPA</t>
  </si>
  <si>
    <t>HEPION PHARMACEUTICALS INC</t>
  </si>
  <si>
    <t>HEQ</t>
  </si>
  <si>
    <t>JOHN HANCOCK HEDGED EQUITY &amp;</t>
  </si>
  <si>
    <t>HERD</t>
  </si>
  <si>
    <t>PACER CASH COWS FUND OF FUND</t>
  </si>
  <si>
    <t>HERO</t>
  </si>
  <si>
    <t>GLOBAL X VIDEO GAMES&amp; ESPORT</t>
  </si>
  <si>
    <t>HES</t>
  </si>
  <si>
    <t>HESS CORP</t>
  </si>
  <si>
    <t>HESM</t>
  </si>
  <si>
    <t>HESS MIDSTREAM LP - CLASS A</t>
  </si>
  <si>
    <t>HEWC</t>
  </si>
  <si>
    <t>ISHARES CURR HDG MSCI CANADA</t>
  </si>
  <si>
    <t>HEWG</t>
  </si>
  <si>
    <t>ISHA HEDGED MSCI GERMANY</t>
  </si>
  <si>
    <t>HEWJ</t>
  </si>
  <si>
    <t>ISHA CURR HEDGED MSCI JAPAN</t>
  </si>
  <si>
    <t>HEWU</t>
  </si>
  <si>
    <t>ISHARES CURR HEDGED MSCI UK</t>
  </si>
  <si>
    <t>HEWW</t>
  </si>
  <si>
    <t>ISHARES CURR HDG MSCI MEXICO</t>
  </si>
  <si>
    <t>HEXO</t>
  </si>
  <si>
    <t>HEXO CORP</t>
  </si>
  <si>
    <t>HEZU</t>
  </si>
  <si>
    <t>ISHARES CURRENCY HEDGED MSCI</t>
  </si>
  <si>
    <t>HFBL</t>
  </si>
  <si>
    <t>HOME FEDERAL BANCORP INC/LA</t>
  </si>
  <si>
    <t>HFC</t>
  </si>
  <si>
    <t>HOLLYFRONTIER CORP</t>
  </si>
  <si>
    <t>HFFG</t>
  </si>
  <si>
    <t>HF FOODS GROUP INC</t>
  </si>
  <si>
    <t>HFRO</t>
  </si>
  <si>
    <t>HIGHLAND INCOME FUND</t>
  </si>
  <si>
    <t>HFRO-A</t>
  </si>
  <si>
    <t>HFWA</t>
  </si>
  <si>
    <t>HERITAGE FINANCIAL CORP</t>
  </si>
  <si>
    <t>HFXI</t>
  </si>
  <si>
    <t>IQ 50PCT HEDGED FTSE INT ETF</t>
  </si>
  <si>
    <t>HGBL</t>
  </si>
  <si>
    <t>HERITAGE GLOBAL INC</t>
  </si>
  <si>
    <t>HGH</t>
  </si>
  <si>
    <t>HGLB</t>
  </si>
  <si>
    <t>HIGHLAND GLOBAL ALLOCATION</t>
  </si>
  <si>
    <t>HGSH</t>
  </si>
  <si>
    <t>CHINA HGS REAL ESTATE INC</t>
  </si>
  <si>
    <t>HGV</t>
  </si>
  <si>
    <t>HILTON GRAND VACATIONS INC</t>
  </si>
  <si>
    <t>HHC</t>
  </si>
  <si>
    <t>HOWARD HUGHES CORP/THE</t>
  </si>
  <si>
    <t>HHR</t>
  </si>
  <si>
    <t>HEADHUNTER GROUP PLC-ADR</t>
  </si>
  <si>
    <t>HHT</t>
  </si>
  <si>
    <t>COLOR STAR TECHNOLOGY CO LTD</t>
  </si>
  <si>
    <t>HI</t>
  </si>
  <si>
    <t>HILLENBRAND INC</t>
  </si>
  <si>
    <t>HIBB</t>
  </si>
  <si>
    <t>HIBBETT SPORTS INC</t>
  </si>
  <si>
    <t>HIBL</t>
  </si>
  <si>
    <t>DIREXION DAILY S&amp;P 500 HIGH</t>
  </si>
  <si>
    <t>HIBS</t>
  </si>
  <si>
    <t>HIE</t>
  </si>
  <si>
    <t>MILLER/HOWARD HIGH INCOME EQ</t>
  </si>
  <si>
    <t>HIFS</t>
  </si>
  <si>
    <t>HINGHAM INSTITUTION FOR SVGS</t>
  </si>
  <si>
    <t>HIG</t>
  </si>
  <si>
    <t>HARTFORD FINANCIAL SVCS GRP</t>
  </si>
  <si>
    <t>HIG-G</t>
  </si>
  <si>
    <t>HIHO</t>
  </si>
  <si>
    <t>HIGHWAY HOLDINGS LTD</t>
  </si>
  <si>
    <t>HII</t>
  </si>
  <si>
    <t>HUNTINGTON INGALLS INDUSTRIE</t>
  </si>
  <si>
    <t>HIL</t>
  </si>
  <si>
    <t>HILL INTERNATIONAL INC</t>
  </si>
  <si>
    <t>HIMX</t>
  </si>
  <si>
    <t>HIMAX TECHNOLOGIES INC-ADR</t>
  </si>
  <si>
    <t>HIO</t>
  </si>
  <si>
    <t>WESTERN ASSET HI INC OPPORT</t>
  </si>
  <si>
    <t>HIPR</t>
  </si>
  <si>
    <t>DIREXION HIGH GROWTH ETF</t>
  </si>
  <si>
    <t>HIPS</t>
  </si>
  <si>
    <t>GRANITESHARES HIPS US HIGH I</t>
  </si>
  <si>
    <t>HIW</t>
  </si>
  <si>
    <t>HIGHWOODS PROPERTIES INC</t>
  </si>
  <si>
    <t>HIX</t>
  </si>
  <si>
    <t>WESTERN ASSET HIGH INC II</t>
  </si>
  <si>
    <t>HJLI</t>
  </si>
  <si>
    <t>HANCOCK JAFFE LABORATORIES I</t>
  </si>
  <si>
    <t>HJLIW</t>
  </si>
  <si>
    <t>HJPX</t>
  </si>
  <si>
    <t>ISHARES CUR HEDG JPX-NIK 400</t>
  </si>
  <si>
    <t>HKIB</t>
  </si>
  <si>
    <t>AMTD INTERNATIONAL INC -ADR</t>
  </si>
  <si>
    <t>HL</t>
  </si>
  <si>
    <t>HECLA MINING CO</t>
  </si>
  <si>
    <t>HL-B</t>
  </si>
  <si>
    <t>HLAL</t>
  </si>
  <si>
    <t>WAHED FTSE USA SHARIAH ETF</t>
  </si>
  <si>
    <t>HLF</t>
  </si>
  <si>
    <t>HERBALIFE NUTRITION LTD</t>
  </si>
  <si>
    <t>HLG</t>
  </si>
  <si>
    <t>HAILIANG EDUCATION GROUP-ADR</t>
  </si>
  <si>
    <t>HLI</t>
  </si>
  <si>
    <t>HOULIHAN LOKEY INC</t>
  </si>
  <si>
    <t>HLIO</t>
  </si>
  <si>
    <t>HELIOS TECHNOLOGIES INC</t>
  </si>
  <si>
    <t>HLIT</t>
  </si>
  <si>
    <t>HARMONIC INC</t>
  </si>
  <si>
    <t>HLM-</t>
  </si>
  <si>
    <t>HLNE</t>
  </si>
  <si>
    <t>HAMILTON LANE INC-CLASS A</t>
  </si>
  <si>
    <t>HLT</t>
  </si>
  <si>
    <t>HILTON WORLDWIDE HOLDINGS IN</t>
  </si>
  <si>
    <t>HLX</t>
  </si>
  <si>
    <t>HELIX ENERGY SOLUTIONS GROUP</t>
  </si>
  <si>
    <t>HMC</t>
  </si>
  <si>
    <t>HONDA MOTOR CO LTD-SPONS ADR</t>
  </si>
  <si>
    <t>HMG</t>
  </si>
  <si>
    <t>HMG COURTLAND PROPERTIES</t>
  </si>
  <si>
    <t>HMHC</t>
  </si>
  <si>
    <t>HOUGHTON MIFFLIN HARCOURT CO</t>
  </si>
  <si>
    <t>HMI</t>
  </si>
  <si>
    <t>HUAMI CORP - ADR</t>
  </si>
  <si>
    <t>HMLP</t>
  </si>
  <si>
    <t>HOEGH LNG PARTNERS LP</t>
  </si>
  <si>
    <t>HMLP-A</t>
  </si>
  <si>
    <t>HMN</t>
  </si>
  <si>
    <t>HORACE MANN EDUCATORS</t>
  </si>
  <si>
    <t>HMNF</t>
  </si>
  <si>
    <t>HMN FINANCIAL INC</t>
  </si>
  <si>
    <t>HMOP</t>
  </si>
  <si>
    <t>HARTFORD MUNI OPPORTUNITY ET</t>
  </si>
  <si>
    <t>HMST</t>
  </si>
  <si>
    <t>HOMESTREET INC</t>
  </si>
  <si>
    <t>HMSY</t>
  </si>
  <si>
    <t>HMS HOLDINGS CORP</t>
  </si>
  <si>
    <t>HMTV</t>
  </si>
  <si>
    <t>HEMISPHERE MEDIA GROUP INC</t>
  </si>
  <si>
    <t>HMY</t>
  </si>
  <si>
    <t>HARMONY GOLD MNG-SPON ADR</t>
  </si>
  <si>
    <t>HNDL</t>
  </si>
  <si>
    <t>NASDAQ 7 HANDL INDEX ETF</t>
  </si>
  <si>
    <t>HNGR</t>
  </si>
  <si>
    <t>HANGER INC</t>
  </si>
  <si>
    <t>HNI</t>
  </si>
  <si>
    <t>HNI CORP</t>
  </si>
  <si>
    <t>HNNA</t>
  </si>
  <si>
    <t>HENNESSY ADVISORS INC</t>
  </si>
  <si>
    <t>HNP</t>
  </si>
  <si>
    <t>HUANENG POWER INTL-SPONS ADR</t>
  </si>
  <si>
    <t>HNRG</t>
  </si>
  <si>
    <t>HALLADOR ENERGY CO</t>
  </si>
  <si>
    <t>HNW</t>
  </si>
  <si>
    <t>PIONEER DIVERSIFIED HIGH INC</t>
  </si>
  <si>
    <t>HOFT</t>
  </si>
  <si>
    <t>HOOKER FURNITURE CORP</t>
  </si>
  <si>
    <t>HOFV</t>
  </si>
  <si>
    <t>HALL OF FAME RESORT &amp; ENTERT</t>
  </si>
  <si>
    <t>HOFVW</t>
  </si>
  <si>
    <t>HOG</t>
  </si>
  <si>
    <t>HARLEY-DAVIDSON INC</t>
  </si>
  <si>
    <t>HOLD</t>
  </si>
  <si>
    <t>ADVISORSHARES SAGE CORE RESE</t>
  </si>
  <si>
    <t>HOLI</t>
  </si>
  <si>
    <t>HOLLYSYS AUTOMATION TECHNOLO</t>
  </si>
  <si>
    <t>HOLUU</t>
  </si>
  <si>
    <t>HOLICITY INC</t>
  </si>
  <si>
    <t>HOLX</t>
  </si>
  <si>
    <t>HOLOGIC INC</t>
  </si>
  <si>
    <t>HOMB</t>
  </si>
  <si>
    <t>HOME BANCSHARES INC</t>
  </si>
  <si>
    <t>HOME</t>
  </si>
  <si>
    <t>AT HOME GROUP INC</t>
  </si>
  <si>
    <t>HOMZ</t>
  </si>
  <si>
    <t>HOYA CAPITAL HOUSING ETF</t>
  </si>
  <si>
    <t>HON</t>
  </si>
  <si>
    <t>HONEYWELL INTERNATIONAL INC</t>
  </si>
  <si>
    <t>HONE</t>
  </si>
  <si>
    <t>HARBORONE BANCORP INC</t>
  </si>
  <si>
    <t>HOOK</t>
  </si>
  <si>
    <t>HOOKIPA PHARMA INC</t>
  </si>
  <si>
    <t>HOPE</t>
  </si>
  <si>
    <t>HOPE BANCORP INC</t>
  </si>
  <si>
    <t>HOTH</t>
  </si>
  <si>
    <t>HOTH THERAPEUTICS INC</t>
  </si>
  <si>
    <t>HOV</t>
  </si>
  <si>
    <t>HOVNANIAN ENTERPRISES-A</t>
  </si>
  <si>
    <t>HOVNP</t>
  </si>
  <si>
    <t>HP</t>
  </si>
  <si>
    <t>HELMERICH &amp; PAYNE</t>
  </si>
  <si>
    <t>HPE</t>
  </si>
  <si>
    <t>HEWLETT PACKARD ENTERPRISE</t>
  </si>
  <si>
    <t>HPF</t>
  </si>
  <si>
    <t>JOHN HANCOCK PFD INCOME II</t>
  </si>
  <si>
    <t>HPI</t>
  </si>
  <si>
    <t>JOHN HANCOCK PFD INCOME FD</t>
  </si>
  <si>
    <t>HPK</t>
  </si>
  <si>
    <t>HIGHPEAK ENERGY INC</t>
  </si>
  <si>
    <t>HPKEW</t>
  </si>
  <si>
    <t>HPP</t>
  </si>
  <si>
    <t>HUDSON PACIFIC PROPERTIES IN</t>
  </si>
  <si>
    <t>HPQ</t>
  </si>
  <si>
    <t>HP INC</t>
  </si>
  <si>
    <t>HPR</t>
  </si>
  <si>
    <t>HIGHPOINT RESOURCES CORP</t>
  </si>
  <si>
    <t>HPS</t>
  </si>
  <si>
    <t>JOHN HANCOCK PFD INCOME III</t>
  </si>
  <si>
    <t>HPX</t>
  </si>
  <si>
    <t>HPX CORP-A</t>
  </si>
  <si>
    <t>HPX+</t>
  </si>
  <si>
    <t>HPX=</t>
  </si>
  <si>
    <t>HPX CORP</t>
  </si>
  <si>
    <t>HQH</t>
  </si>
  <si>
    <t>TEKLA HEALTHCARE INVESTORS</t>
  </si>
  <si>
    <t>HQI</t>
  </si>
  <si>
    <t>HIREQUEST INC</t>
  </si>
  <si>
    <t>HQL</t>
  </si>
  <si>
    <t>TEKLA LIFE SCIENCES INVESTOR</t>
  </si>
  <si>
    <t>HQY</t>
  </si>
  <si>
    <t>HEALTHEQUITY INC</t>
  </si>
  <si>
    <t>HR</t>
  </si>
  <si>
    <t>HEALTHCARE REALTY TRUST INC</t>
  </si>
  <si>
    <t>HRB</t>
  </si>
  <si>
    <t>H&amp;R BLOCK INC</t>
  </si>
  <si>
    <t>HRC</t>
  </si>
  <si>
    <t>HILL-ROM HOLDINGS INC</t>
  </si>
  <si>
    <t>HRI</t>
  </si>
  <si>
    <t>HERC HOLDINGS INC</t>
  </si>
  <si>
    <t>HRL</t>
  </si>
  <si>
    <t>HORMEL FOODS CORP</t>
  </si>
  <si>
    <t>HRMY</t>
  </si>
  <si>
    <t>HARMONY BIOSCIENCES HOLDINGS</t>
  </si>
  <si>
    <t>HROW</t>
  </si>
  <si>
    <t>HARROW HEALTH INC</t>
  </si>
  <si>
    <t>HRTG</t>
  </si>
  <si>
    <t>HERITAGE INSURANCE HOLDINGS</t>
  </si>
  <si>
    <t>HRTX</t>
  </si>
  <si>
    <t>HERON THERAPEUTICS INC</t>
  </si>
  <si>
    <t>HRZN</t>
  </si>
  <si>
    <t>HORIZON TECHNOLOGY FINANCE C</t>
  </si>
  <si>
    <t>HSAQ</t>
  </si>
  <si>
    <t>HEALTH SCIENCES ACQUISITIONS</t>
  </si>
  <si>
    <t>HSBC</t>
  </si>
  <si>
    <t>HSBC HOLDINGS PLC-SPONS ADR</t>
  </si>
  <si>
    <t>HSBC-A</t>
  </si>
  <si>
    <t>HSC</t>
  </si>
  <si>
    <t>HARSCO CORP</t>
  </si>
  <si>
    <t>HSCZ</t>
  </si>
  <si>
    <t>ISHARES CUR HDG MSCI EAFE SM</t>
  </si>
  <si>
    <t>HSDT</t>
  </si>
  <si>
    <t>HELIUS MEDICAL TECHNOLOGIES</t>
  </si>
  <si>
    <t>HSIC</t>
  </si>
  <si>
    <t>HENRY SCHEIN INC</t>
  </si>
  <si>
    <t>HSII</t>
  </si>
  <si>
    <t>HEIDRICK &amp; STRUGGLES INTL</t>
  </si>
  <si>
    <t>HSKA</t>
  </si>
  <si>
    <t>HESKA CORP</t>
  </si>
  <si>
    <t>HSMV</t>
  </si>
  <si>
    <t>FIRST TRUST HORIZON MANAGED</t>
  </si>
  <si>
    <t>HSON</t>
  </si>
  <si>
    <t>HUDSON GLOBAL INC</t>
  </si>
  <si>
    <t>HSRT</t>
  </si>
  <si>
    <t>HARTFORD SHORT DURATION ETF</t>
  </si>
  <si>
    <t>HST</t>
  </si>
  <si>
    <t>HOST HOTELS &amp; RESORTS INC</t>
  </si>
  <si>
    <t>HSTM</t>
  </si>
  <si>
    <t>HEALTHSTREAM INC</t>
  </si>
  <si>
    <t>HSTO</t>
  </si>
  <si>
    <t>HISTOGEN INC</t>
  </si>
  <si>
    <t>HSY</t>
  </si>
  <si>
    <t>HERSHEY CO/THE</t>
  </si>
  <si>
    <t>HT</t>
  </si>
  <si>
    <t>HERSHA HOSPITALITY TRUST</t>
  </si>
  <si>
    <t>HT-C</t>
  </si>
  <si>
    <t>HT-D</t>
  </si>
  <si>
    <t>HT-E</t>
  </si>
  <si>
    <t>HTA</t>
  </si>
  <si>
    <t>HEALTHCARE TRUST OF AME-CL A</t>
  </si>
  <si>
    <t>HTAB</t>
  </si>
  <si>
    <t>HARTFORD SCHRODERS TAX AWARE</t>
  </si>
  <si>
    <t>HTBI</t>
  </si>
  <si>
    <t>HOMETRUST BANCSHARES INC</t>
  </si>
  <si>
    <t>HTBK</t>
  </si>
  <si>
    <t>HERITAGE COMMERCE CORP</t>
  </si>
  <si>
    <t>HTBX</t>
  </si>
  <si>
    <t>HEAT BIOLOGICS INC</t>
  </si>
  <si>
    <t>HTD</t>
  </si>
  <si>
    <t>JOHN HANCOCK T/A DVD INCOME</t>
  </si>
  <si>
    <t>HTEC</t>
  </si>
  <si>
    <t>ROBO GLOBAL HEALTHCARE TECH</t>
  </si>
  <si>
    <t>HTFA</t>
  </si>
  <si>
    <t>HTGC</t>
  </si>
  <si>
    <t>HERCULES CAPITAL INC</t>
  </si>
  <si>
    <t>HTGM</t>
  </si>
  <si>
    <t>HTG MOLECULAR DIAGNOSTICS</t>
  </si>
  <si>
    <t>HTH</t>
  </si>
  <si>
    <t>HILLTOP HOLDINGS INC</t>
  </si>
  <si>
    <t>HTHT</t>
  </si>
  <si>
    <t>HUAZHU GROUP LTD-ADR</t>
  </si>
  <si>
    <t>HTIA</t>
  </si>
  <si>
    <t>HTLD</t>
  </si>
  <si>
    <t>HEARTLAND EXPRESS INC</t>
  </si>
  <si>
    <t>HTLF</t>
  </si>
  <si>
    <t>HEARTLAND FINANCIAL USA INC</t>
  </si>
  <si>
    <t>HTLFP</t>
  </si>
  <si>
    <t>HTRB</t>
  </si>
  <si>
    <t>HARTFORD TOTAL RTRN BOND ETF</t>
  </si>
  <si>
    <t>HTUS</t>
  </si>
  <si>
    <t>HULL TACTICAL US ETF</t>
  </si>
  <si>
    <t>HTY</t>
  </si>
  <si>
    <t>JOHN HANCOCK TAX-ADVANTAGED</t>
  </si>
  <si>
    <t>HTZ</t>
  </si>
  <si>
    <t>HERTZ GLOBAL HOLDINGS INC</t>
  </si>
  <si>
    <t>HUBB</t>
  </si>
  <si>
    <t>HUBBELL INC</t>
  </si>
  <si>
    <t>HUBG</t>
  </si>
  <si>
    <t>HUB GROUP INC-CL A</t>
  </si>
  <si>
    <t>HUBS</t>
  </si>
  <si>
    <t>HUBSPOT INC</t>
  </si>
  <si>
    <t>HUD</t>
  </si>
  <si>
    <t>HUDSON LTD-CLASS A</t>
  </si>
  <si>
    <t>HUGE</t>
  </si>
  <si>
    <t>FSD PHARMA INC-CLASS B</t>
  </si>
  <si>
    <t>HUIZ</t>
  </si>
  <si>
    <t>HUIZE HOLDING LTD-ADR</t>
  </si>
  <si>
    <t>HUM</t>
  </si>
  <si>
    <t>HUMANA INC</t>
  </si>
  <si>
    <t>HUN</t>
  </si>
  <si>
    <t>HUNTSMAN CORP</t>
  </si>
  <si>
    <t>HURC</t>
  </si>
  <si>
    <t>HURCO COMPANIES INC</t>
  </si>
  <si>
    <t>HURN</t>
  </si>
  <si>
    <t>HURON CONSULTING GROUP INC</t>
  </si>
  <si>
    <t>HUSA</t>
  </si>
  <si>
    <t>HOUSTON AMERICAN ENERGY CORP</t>
  </si>
  <si>
    <t>HUSN</t>
  </si>
  <si>
    <t>HUDSON CAPITAL INC</t>
  </si>
  <si>
    <t>HUSV</t>
  </si>
  <si>
    <t>FT HORIZON MNGD VOL DOM ETF</t>
  </si>
  <si>
    <t>HUYA</t>
  </si>
  <si>
    <t>HUYA INC-ADR</t>
  </si>
  <si>
    <t>HVBC</t>
  </si>
  <si>
    <t>HV BANCORP INC</t>
  </si>
  <si>
    <t>HVT</t>
  </si>
  <si>
    <t>HAVERTY FURNITURE</t>
  </si>
  <si>
    <t>HVT.A</t>
  </si>
  <si>
    <t>HAVERTY FURNITURE COS-CL A</t>
  </si>
  <si>
    <t>HWBK</t>
  </si>
  <si>
    <t>HAWTHORN BANCSHARES INC</t>
  </si>
  <si>
    <t>HWC</t>
  </si>
  <si>
    <t>HANCOCK WHITNEY CORP</t>
  </si>
  <si>
    <t>HWCC</t>
  </si>
  <si>
    <t>HOUSTON WIRE &amp; CABLE CO</t>
  </si>
  <si>
    <t>HWCPL</t>
  </si>
  <si>
    <t>HWCPZ</t>
  </si>
  <si>
    <t>HWKN</t>
  </si>
  <si>
    <t>HAWKINS INC</t>
  </si>
  <si>
    <t>HWM</t>
  </si>
  <si>
    <t>HOWMET AEROSPACE INC</t>
  </si>
  <si>
    <t>HWM-</t>
  </si>
  <si>
    <t>HX</t>
  </si>
  <si>
    <t>HEXINDAI INC-ADR</t>
  </si>
  <si>
    <t>HXL</t>
  </si>
  <si>
    <t>HEXCEL CORP</t>
  </si>
  <si>
    <t>HY</t>
  </si>
  <si>
    <t>HYSTER-YALE MATERIALS</t>
  </si>
  <si>
    <t>HYAC</t>
  </si>
  <si>
    <t>HAYMAKER ACQ CORP II - CL A</t>
  </si>
  <si>
    <t>HYACU</t>
  </si>
  <si>
    <t>HAYMAKER ACQUISITION CORP II</t>
  </si>
  <si>
    <t>HYACW</t>
  </si>
  <si>
    <t>HYB</t>
  </si>
  <si>
    <t>NEW AMERICA HIGH INCOME FUND</t>
  </si>
  <si>
    <t>HYD</t>
  </si>
  <si>
    <t>VANECK VECTORS HY MUNI ETF</t>
  </si>
  <si>
    <t>HYDB</t>
  </si>
  <si>
    <t>ISHARES HIGH YIELD BOND FACT</t>
  </si>
  <si>
    <t>HYDW</t>
  </si>
  <si>
    <t>XTRS LOW BETA HI YIELD ETF</t>
  </si>
  <si>
    <t>HYEM</t>
  </si>
  <si>
    <t>VANECK EM HIGH YIELD BOND</t>
  </si>
  <si>
    <t>HYG</t>
  </si>
  <si>
    <t>ISHARES IBOXX HIGH YLD CORP</t>
  </si>
  <si>
    <t>HYGH</t>
  </si>
  <si>
    <t>ISHARES INT RATE HEDG HY ETF</t>
  </si>
  <si>
    <t>HYGV</t>
  </si>
  <si>
    <t>FLEXSHARES HIGH YIELD VALUE</t>
  </si>
  <si>
    <t>HYHG</t>
  </si>
  <si>
    <t>PROSHARES HIGH YIELD INTERES</t>
  </si>
  <si>
    <t>HYI</t>
  </si>
  <si>
    <t>WESTERN ASSET HIGH YIELD DEF</t>
  </si>
  <si>
    <t>HYLB</t>
  </si>
  <si>
    <t>XTRACKERS USD HIGH YIELD COR</t>
  </si>
  <si>
    <t>HYLD</t>
  </si>
  <si>
    <t>HIGH YIELD ETF</t>
  </si>
  <si>
    <t>HYLS</t>
  </si>
  <si>
    <t>FT TACTICAL HIGH YIELD ETF</t>
  </si>
  <si>
    <t>HYLV</t>
  </si>
  <si>
    <t>IQ S&amp;P HY LOW VOL BOND ETF</t>
  </si>
  <si>
    <t>HYMB</t>
  </si>
  <si>
    <t>SPDR NUVEEN BLOOMBERG H/Y M</t>
  </si>
  <si>
    <t>HYMC</t>
  </si>
  <si>
    <t>HYCROFT MINING HOLDING CORP</t>
  </si>
  <si>
    <t>HYMCW</t>
  </si>
  <si>
    <t>HYMCZ</t>
  </si>
  <si>
    <t>HYRE</t>
  </si>
  <si>
    <t>HYRECAR INC</t>
  </si>
  <si>
    <t>HYS</t>
  </si>
  <si>
    <t>PIMCO 0-5 YEAR H/Y CORP BOND</t>
  </si>
  <si>
    <t>HYT</t>
  </si>
  <si>
    <t>BLACKROCK CORP HI YLD</t>
  </si>
  <si>
    <t>HYTR</t>
  </si>
  <si>
    <t>CP HIGH YIELD TREND ETF</t>
  </si>
  <si>
    <t>HYUP</t>
  </si>
  <si>
    <t>XTRS HI BETA HI YIELD ETF</t>
  </si>
  <si>
    <t>HYXE</t>
  </si>
  <si>
    <t>ISHARES IBOXX HY EX-O&amp;G ETF</t>
  </si>
  <si>
    <t>HYXU</t>
  </si>
  <si>
    <t>ISHARES INTERNATIONAL HIGH Y</t>
  </si>
  <si>
    <t>HYZD</t>
  </si>
  <si>
    <t>WISDOMTREE INTEREST RATE HED</t>
  </si>
  <si>
    <t>HZAC=</t>
  </si>
  <si>
    <t>HORIZON ACQUISITION CORP</t>
  </si>
  <si>
    <t>HZN</t>
  </si>
  <si>
    <t>HORIZON GLOBAL CORP</t>
  </si>
  <si>
    <t>HZNP</t>
  </si>
  <si>
    <t>HORIZON THERAPEUTICS PLC</t>
  </si>
  <si>
    <t>HZO</t>
  </si>
  <si>
    <t>MARINEMAX INC</t>
  </si>
  <si>
    <t>IAA</t>
  </si>
  <si>
    <t>IAA INC</t>
  </si>
  <si>
    <t>IAC</t>
  </si>
  <si>
    <t>IAC/INTERACTIVECORP</t>
  </si>
  <si>
    <t>IAE</t>
  </si>
  <si>
    <t>VOYA ASIA PAC HI DVD EQ INC</t>
  </si>
  <si>
    <t>IAF</t>
  </si>
  <si>
    <t>ABERDEEN AUSTRALIA EQUITY FD</t>
  </si>
  <si>
    <t>IAG</t>
  </si>
  <si>
    <t>IAMGOLD CORP</t>
  </si>
  <si>
    <t>IAGG</t>
  </si>
  <si>
    <t>ISHARES INTL AGGREGATE BOND</t>
  </si>
  <si>
    <t>IAI</t>
  </si>
  <si>
    <t>ISHARES U.S. BROKER-DEALERS</t>
  </si>
  <si>
    <t>IAK</t>
  </si>
  <si>
    <t>ISHARES U.S. INSURANCE ETF</t>
  </si>
  <si>
    <t>IART</t>
  </si>
  <si>
    <t>INTEGRA LIFESCIENCES HOLDING</t>
  </si>
  <si>
    <t>IAT</t>
  </si>
  <si>
    <t>ISHARES US REGIONAL BANKS ET</t>
  </si>
  <si>
    <t>IAU</t>
  </si>
  <si>
    <t>ISHARES GOLD TRUST</t>
  </si>
  <si>
    <t>IAUF</t>
  </si>
  <si>
    <t>ISHARES GOLD STRATEGY ETF</t>
  </si>
  <si>
    <t>IBA</t>
  </si>
  <si>
    <t>INDUSTRIAS BACHOCO SAB SP AD</t>
  </si>
  <si>
    <t>IBB</t>
  </si>
  <si>
    <t>ISHARES NASDAQ BIOTECHNOLOGY</t>
  </si>
  <si>
    <t>IBBJ</t>
  </si>
  <si>
    <t>DEFIANCE NASDAQ JR BIOTECH</t>
  </si>
  <si>
    <t>IBCE</t>
  </si>
  <si>
    <t>ISHARES IBONDS MAR 2023 TERM</t>
  </si>
  <si>
    <t>IBCP</t>
  </si>
  <si>
    <t>INDEPENDENT BANK CORP - MICH</t>
  </si>
  <si>
    <t>IBD</t>
  </si>
  <si>
    <t>INSPIRE CORPORATE BOND IMPAC</t>
  </si>
  <si>
    <t>IBDD</t>
  </si>
  <si>
    <t>IBDL</t>
  </si>
  <si>
    <t>ISHARES IBONDS DEC 2020 TERM</t>
  </si>
  <si>
    <t>IBDM</t>
  </si>
  <si>
    <t>ISHARES IBONDS DEC 2021 TERM</t>
  </si>
  <si>
    <t>IBDN</t>
  </si>
  <si>
    <t>ISHARES IBONDS DEC 2022 TERM</t>
  </si>
  <si>
    <t>IBDO</t>
  </si>
  <si>
    <t>ISHARES IBONDS DEC 2023 TERM</t>
  </si>
  <si>
    <t>IBDP</t>
  </si>
  <si>
    <t>ISHARES IBONDS DEC 2024 TERM</t>
  </si>
  <si>
    <t>IBDQ</t>
  </si>
  <si>
    <t>ISHARES IBONDS DEC 2025 TERM</t>
  </si>
  <si>
    <t>IBDR</t>
  </si>
  <si>
    <t>ISHARES IBONDS DEC 2026 TERM</t>
  </si>
  <si>
    <t>IBDS</t>
  </si>
  <si>
    <t>ISHRS IBNDS DEC 27 CORP ETF</t>
  </si>
  <si>
    <t>IBDT</t>
  </si>
  <si>
    <t>ISHARES IBONDS DEC 2028 ETF</t>
  </si>
  <si>
    <t>IBDU</t>
  </si>
  <si>
    <t>ISHARES IBONDS DEC 2029 TERM</t>
  </si>
  <si>
    <t>IBDV</t>
  </si>
  <si>
    <t>ISHARES IBONDS DEC 2030 CORP</t>
  </si>
  <si>
    <t>IBEX</t>
  </si>
  <si>
    <t>IBEX LTD</t>
  </si>
  <si>
    <t>IBHA</t>
  </si>
  <si>
    <t>ISHARES IBONDS 2021 H/Y INC</t>
  </si>
  <si>
    <t>IBHB</t>
  </si>
  <si>
    <t>ISHARES IBONDS 2022 H/Y INC</t>
  </si>
  <si>
    <t>IBHC</t>
  </si>
  <si>
    <t>ISHARES IBONDS 2023 H/Y INC</t>
  </si>
  <si>
    <t>IBHD</t>
  </si>
  <si>
    <t>ISHARES IBONDS 2024 H/Y INC</t>
  </si>
  <si>
    <t>IBHE</t>
  </si>
  <si>
    <t>ISHARES IBONDS 2025 H/Y INC</t>
  </si>
  <si>
    <t>IBIO</t>
  </si>
  <si>
    <t>IBIO INC</t>
  </si>
  <si>
    <t>IBKR</t>
  </si>
  <si>
    <t>INTERACTIVE BROKERS GRO-CL A</t>
  </si>
  <si>
    <t>IBM</t>
  </si>
  <si>
    <t>INTL BUSINESS MACHINES CORP</t>
  </si>
  <si>
    <t>IBMJ</t>
  </si>
  <si>
    <t>IBMK</t>
  </si>
  <si>
    <t>IBML</t>
  </si>
  <si>
    <t>ISHARES DEC 2023 MUNI BD ETF</t>
  </si>
  <si>
    <t>IBMM</t>
  </si>
  <si>
    <t>IBMN</t>
  </si>
  <si>
    <t>IBMO</t>
  </si>
  <si>
    <t>IBMP</t>
  </si>
  <si>
    <t>ISHARES IBONDS DEC 2027 TERM</t>
  </si>
  <si>
    <t>IBMQ</t>
  </si>
  <si>
    <t>ISHARES IBONDS DEC 2028 MUNI</t>
  </si>
  <si>
    <t>IBN</t>
  </si>
  <si>
    <t>ICICI BANK LTD-SPON ADR</t>
  </si>
  <si>
    <t>IBND</t>
  </si>
  <si>
    <t>SPDR BBG BARC INTL CORP BOND</t>
  </si>
  <si>
    <t>IBOC</t>
  </si>
  <si>
    <t>INTERNATIONAL BANCSHARES CRP</t>
  </si>
  <si>
    <t>IBP</t>
  </si>
  <si>
    <t>INSTALLED BUILDING PRODUCTS</t>
  </si>
  <si>
    <t>IBTA</t>
  </si>
  <si>
    <t>IBTB</t>
  </si>
  <si>
    <t>IBTD</t>
  </si>
  <si>
    <t>IBTE</t>
  </si>
  <si>
    <t>IBTF</t>
  </si>
  <si>
    <t>IBTG</t>
  </si>
  <si>
    <t>IBTH</t>
  </si>
  <si>
    <t>IBTI</t>
  </si>
  <si>
    <t>ISHARES IBONDS DEC 2028 TERM</t>
  </si>
  <si>
    <t>IBTJ</t>
  </si>
  <si>
    <t>IBTK</t>
  </si>
  <si>
    <t>ISHARES IBONDS DEC 2030 TREA</t>
  </si>
  <si>
    <t>IBTX</t>
  </si>
  <si>
    <t>INDEPENDENT BANK GROUP INC</t>
  </si>
  <si>
    <t>IBUY</t>
  </si>
  <si>
    <t>AMPLIFY ONLINE RETAIL ETF</t>
  </si>
  <si>
    <t>ICAD</t>
  </si>
  <si>
    <t>ICAD INC</t>
  </si>
  <si>
    <t>ICBK</t>
  </si>
  <si>
    <t>COUNTY BANCORP INC</t>
  </si>
  <si>
    <t>ICCC</t>
  </si>
  <si>
    <t>IMMUCELL CORP</t>
  </si>
  <si>
    <t>ICCH</t>
  </si>
  <si>
    <t>ICC HOLDINGS INC</t>
  </si>
  <si>
    <t>ICD</t>
  </si>
  <si>
    <t>INDEPENDENCE CONTRACT DRILLI</t>
  </si>
  <si>
    <t>ICE</t>
  </si>
  <si>
    <t>INTERCONTINENTAL EXCHANGE IN</t>
  </si>
  <si>
    <t>ICF</t>
  </si>
  <si>
    <t>ISHARES COHEN &amp; STEERS REIT</t>
  </si>
  <si>
    <t>ICFI</t>
  </si>
  <si>
    <t>ICF INTERNATIONAL INC</t>
  </si>
  <si>
    <t>ICHR</t>
  </si>
  <si>
    <t>ICHOR HOLDINGS LTD</t>
  </si>
  <si>
    <t>ICL</t>
  </si>
  <si>
    <t>ICL GROUP LTD</t>
  </si>
  <si>
    <t>ICLK</t>
  </si>
  <si>
    <t>ICLICK INTERACTIVE ASIA-ADR</t>
  </si>
  <si>
    <t>ICLN</t>
  </si>
  <si>
    <t>ISHARES GLOBAL CLEAN ENERGY</t>
  </si>
  <si>
    <t>ICLR</t>
  </si>
  <si>
    <t>ICON PLC</t>
  </si>
  <si>
    <t>ICMB</t>
  </si>
  <si>
    <t>INVESTCORP CREDIT MANAGEMENT</t>
  </si>
  <si>
    <t>ICOL</t>
  </si>
  <si>
    <t>ISHARES MSCI COLOMBIA ETF</t>
  </si>
  <si>
    <t>ICON</t>
  </si>
  <si>
    <t>ICONIX BRAND GROUP INC</t>
  </si>
  <si>
    <t>ICOW</t>
  </si>
  <si>
    <t>PACER DEVELOPED MARKETS INTE</t>
  </si>
  <si>
    <t>ICPT</t>
  </si>
  <si>
    <t>INTERCEPT PHARMACEUTICALS IN</t>
  </si>
  <si>
    <t>ICSH</t>
  </si>
  <si>
    <t>ISHARES ULTRA SHORT-TERM BON</t>
  </si>
  <si>
    <t>ICUI</t>
  </si>
  <si>
    <t>ICU MEDICAL INC</t>
  </si>
  <si>
    <t>ICVT</t>
  </si>
  <si>
    <t>ISHARES CONVERTIBLE BOND ETF</t>
  </si>
  <si>
    <t>IDA</t>
  </si>
  <si>
    <t>IDACORP INC</t>
  </si>
  <si>
    <t>IDCC</t>
  </si>
  <si>
    <t>INTERDIGITAL INC</t>
  </si>
  <si>
    <t>IDE</t>
  </si>
  <si>
    <t>VOYA INFRASTRUCTURE INDUSTRI</t>
  </si>
  <si>
    <t>IDEV</t>
  </si>
  <si>
    <t>ISHARES CORE MSCI DEV MKTS</t>
  </si>
  <si>
    <t>IDEX</t>
  </si>
  <si>
    <t>IDEANOMICS INC</t>
  </si>
  <si>
    <t>IDHD</t>
  </si>
  <si>
    <t>INVESCO S&amp;P INTERNATIONAL DE</t>
  </si>
  <si>
    <t>IDHQ</t>
  </si>
  <si>
    <t>IDIV</t>
  </si>
  <si>
    <t>METAURUS US EQUITY CUMULATIV</t>
  </si>
  <si>
    <t>IDLB</t>
  </si>
  <si>
    <t>INVESCO FTSE INTERNATIONAL L</t>
  </si>
  <si>
    <t>IDLV</t>
  </si>
  <si>
    <t>IDMO</t>
  </si>
  <si>
    <t>IDN</t>
  </si>
  <si>
    <t>INTELLICHECK INC</t>
  </si>
  <si>
    <t>IDNA</t>
  </si>
  <si>
    <t>ISHARES GEN-IMMUNOLOGY HLTH</t>
  </si>
  <si>
    <t>IDOG</t>
  </si>
  <si>
    <t>ALPS INTERNATIONAL SECTOR DI</t>
  </si>
  <si>
    <t>IDRA</t>
  </si>
  <si>
    <t>IDERA PHARMACEUTICALS INC</t>
  </si>
  <si>
    <t>IDRV</t>
  </si>
  <si>
    <t>ISHARES SELF-DRIVING EV&amp;TECH</t>
  </si>
  <si>
    <t>IDT</t>
  </si>
  <si>
    <t>IDT CORP-CLASS B</t>
  </si>
  <si>
    <t>IDU</t>
  </si>
  <si>
    <t>ISHARES US UTILITIES ETF</t>
  </si>
  <si>
    <t>IDV</t>
  </si>
  <si>
    <t>ISHARES INTERNATIONAL SELECT</t>
  </si>
  <si>
    <t>IDX</t>
  </si>
  <si>
    <t>VANECK INDONESIA INDEX</t>
  </si>
  <si>
    <t>IDXG</t>
  </si>
  <si>
    <t>INTERPACE BIOSCIENCES INC</t>
  </si>
  <si>
    <t>IDXX</t>
  </si>
  <si>
    <t>IDEXX LABORATORIES INC</t>
  </si>
  <si>
    <t>IDY</t>
  </si>
  <si>
    <t>PACIFIC GLOBAL INTERNATIONAL</t>
  </si>
  <si>
    <t>IDYA</t>
  </si>
  <si>
    <t>IDEAYA BIOSCIENCES INC</t>
  </si>
  <si>
    <t>IEA</t>
  </si>
  <si>
    <t>INFRASTRUCTURE AND ENERGY AL</t>
  </si>
  <si>
    <t>IEAWW</t>
  </si>
  <si>
    <t>IEC</t>
  </si>
  <si>
    <t>IEC ELECTRONICS CORP</t>
  </si>
  <si>
    <t>IECS</t>
  </si>
  <si>
    <t>ISHARES EVOLVED US CONSUMER</t>
  </si>
  <si>
    <t>IEDI</t>
  </si>
  <si>
    <t>ISHARES EVOLVED US DISCRETIO</t>
  </si>
  <si>
    <t>IEF</t>
  </si>
  <si>
    <t>ISHARES 7-10 YEAR TREASURY B</t>
  </si>
  <si>
    <t>IEFA</t>
  </si>
  <si>
    <t>ISHARES CORE MSCI EAFE ETF</t>
  </si>
  <si>
    <t>IEFN</t>
  </si>
  <si>
    <t>ISHARES EVOLVED US FINANCIAL</t>
  </si>
  <si>
    <t>IEHS</t>
  </si>
  <si>
    <t>ISHARES EVOLVED US HEALTHCAR</t>
  </si>
  <si>
    <t>IEI</t>
  </si>
  <si>
    <t>ISHARES 3-7 YEAR TREASURY BO</t>
  </si>
  <si>
    <t>IEIH</t>
  </si>
  <si>
    <t>ISHARES EVOLVED US INNOVATIV</t>
  </si>
  <si>
    <t>IEME</t>
  </si>
  <si>
    <t>ISHARES EVOLVED US MEDIA AND</t>
  </si>
  <si>
    <t>IEMG</t>
  </si>
  <si>
    <t>ISHARES CORE MSCI EMERGING</t>
  </si>
  <si>
    <t>IEO</t>
  </si>
  <si>
    <t>ISHARES U.S. OIL &amp; GAS EXPLO</t>
  </si>
  <si>
    <t>IEP</t>
  </si>
  <si>
    <t>ICAHN ENTERPRISES LP</t>
  </si>
  <si>
    <t>IESC</t>
  </si>
  <si>
    <t>IES HOLDINGS INC</t>
  </si>
  <si>
    <t>IETC</t>
  </si>
  <si>
    <t>ISHARES EVOLVED US TECHNOLOG</t>
  </si>
  <si>
    <t>IEUR</t>
  </si>
  <si>
    <t>ISHARES CORE MSCI EUROPE</t>
  </si>
  <si>
    <t>IEUS</t>
  </si>
  <si>
    <t>ISHARES MSCI EUROPE SMALL-CA</t>
  </si>
  <si>
    <t>IEV</t>
  </si>
  <si>
    <t>ISHARES EUROPE ETF</t>
  </si>
  <si>
    <t>IEX</t>
  </si>
  <si>
    <t>IDEX CORP</t>
  </si>
  <si>
    <t>IEZ</t>
  </si>
  <si>
    <t>ISHARES U.S. OIL EQUIPMENT &amp;</t>
  </si>
  <si>
    <t>IFF</t>
  </si>
  <si>
    <t>INTL FLAVORS &amp; FRAGRANCES</t>
  </si>
  <si>
    <t>IFFT</t>
  </si>
  <si>
    <t>IFGL</t>
  </si>
  <si>
    <t>ISHARES INTERNATIONAL DEVELO</t>
  </si>
  <si>
    <t>IFMK</t>
  </si>
  <si>
    <t>IFRESH INC</t>
  </si>
  <si>
    <t>IFN</t>
  </si>
  <si>
    <t>INDIA FUND INC</t>
  </si>
  <si>
    <t>IFRA</t>
  </si>
  <si>
    <t>ISHARES US INFRASTRUCTURE</t>
  </si>
  <si>
    <t>IFRX</t>
  </si>
  <si>
    <t>INFLARX NV</t>
  </si>
  <si>
    <t>IFS</t>
  </si>
  <si>
    <t>INTERCORP FINANCIAL SERVICES</t>
  </si>
  <si>
    <t>IFV</t>
  </si>
  <si>
    <t>FIRST TRUST DW FOCUS 5 INTL</t>
  </si>
  <si>
    <t>IG</t>
  </si>
  <si>
    <t>PRINCIPAL INVESTMENT GRADE</t>
  </si>
  <si>
    <t>IGA</t>
  </si>
  <si>
    <t>VOYA GLOBAL ADVANTAGE AND PR</t>
  </si>
  <si>
    <t>IGBH</t>
  </si>
  <si>
    <t>ISHARES INTEREST RATE HEDGED</t>
  </si>
  <si>
    <t>IGC</t>
  </si>
  <si>
    <t>INDIA GLOBALIZATION CAPITAL</t>
  </si>
  <si>
    <t>IGD</t>
  </si>
  <si>
    <t>VOYA GLBL EQTY DVD &amp; PRM OPP</t>
  </si>
  <si>
    <t>IGE</t>
  </si>
  <si>
    <t>ISHARES NORTH AMERICAN NATUR</t>
  </si>
  <si>
    <t>IGEB</t>
  </si>
  <si>
    <t>ISHARES INVESTMENT GRADE BON</t>
  </si>
  <si>
    <t>IGF</t>
  </si>
  <si>
    <t>ISHARES GLOBAL INFRASTRUCTUR</t>
  </si>
  <si>
    <t>IGHG</t>
  </si>
  <si>
    <t>PROSHARES IG HEDGED</t>
  </si>
  <si>
    <t>IGI</t>
  </si>
  <si>
    <t>WESTERN ASSET INV GRA DEF OP</t>
  </si>
  <si>
    <t>IGIB</t>
  </si>
  <si>
    <t>ISHARES INTERMEDIATE-TERM CO</t>
  </si>
  <si>
    <t>IGIC</t>
  </si>
  <si>
    <t>INTERNATIONAL GENERAL INSURA</t>
  </si>
  <si>
    <t>IGICW</t>
  </si>
  <si>
    <t>IGLB</t>
  </si>
  <si>
    <t>ISHARES LONG-TERM CORPORATE</t>
  </si>
  <si>
    <t>IGM</t>
  </si>
  <si>
    <t>ISHARES EXPANDED TECH SECTOR</t>
  </si>
  <si>
    <t>IGMS</t>
  </si>
  <si>
    <t>IGM BIOSCIENCES INC</t>
  </si>
  <si>
    <t>IGN</t>
  </si>
  <si>
    <t>ISHARES NORTH AMERICAN TECH-</t>
  </si>
  <si>
    <t>IGOV</t>
  </si>
  <si>
    <t>ISHARES INTERNATIONAL TREASU</t>
  </si>
  <si>
    <t>IGR</t>
  </si>
  <si>
    <t>CBRE CLARION GL R/E INCOME F</t>
  </si>
  <si>
    <t>IGRO</t>
  </si>
  <si>
    <t>ISHARES INTL DIV GROWTH ETF</t>
  </si>
  <si>
    <t>IGSB</t>
  </si>
  <si>
    <t>ISHARES SHORT-TERM CORPORATE</t>
  </si>
  <si>
    <t>IGT</t>
  </si>
  <si>
    <t>INTERNATIONAL GAME TECHNOLOG</t>
  </si>
  <si>
    <t>IGV</t>
  </si>
  <si>
    <t>ISHARES EXPANDED TECH-SOFTWA</t>
  </si>
  <si>
    <t>IHAK</t>
  </si>
  <si>
    <t>ISHARES CYBERSECURITY &amp; TECH</t>
  </si>
  <si>
    <t>IHC</t>
  </si>
  <si>
    <t>INDEPENDENCE HOLDING CO</t>
  </si>
  <si>
    <t>IHD</t>
  </si>
  <si>
    <t>VOYA EMRG MRKTS HI INC DVD</t>
  </si>
  <si>
    <t>IHDG</t>
  </si>
  <si>
    <t>WISDOMTREE INTERNATIONAL HED</t>
  </si>
  <si>
    <t>IHE</t>
  </si>
  <si>
    <t>ISHARES US PHARMACEUTICALS E</t>
  </si>
  <si>
    <t>IHF</t>
  </si>
  <si>
    <t>ISHARES U.S. HEALTHCARE PROV</t>
  </si>
  <si>
    <t>IHG</t>
  </si>
  <si>
    <t>INTERCONTINENTAL HOTELS-ADR</t>
  </si>
  <si>
    <t>IHI</t>
  </si>
  <si>
    <t>ISHARES U.S. MEDICAL DEVICES</t>
  </si>
  <si>
    <t>IHIT</t>
  </si>
  <si>
    <t>INVESCO HI INC 2023 TRGT TRM</t>
  </si>
  <si>
    <t>IHRT</t>
  </si>
  <si>
    <t>IHEARTMEDIA INC - CLASS A</t>
  </si>
  <si>
    <t>IHT</t>
  </si>
  <si>
    <t>INNSUITES HOSPITALITY TRUST</t>
  </si>
  <si>
    <t>IHTA</t>
  </si>
  <si>
    <t>INVESCO HI INC 2024 TRGT TRM</t>
  </si>
  <si>
    <t>IHY</t>
  </si>
  <si>
    <t>VANECK INTL HIGH YIELD BOND</t>
  </si>
  <si>
    <t>IID</t>
  </si>
  <si>
    <t>VOYA INTL HI DVD</t>
  </si>
  <si>
    <t>IIF</t>
  </si>
  <si>
    <t>MORGAN STANLEY INDIA INVEST</t>
  </si>
  <si>
    <t>IIGD</t>
  </si>
  <si>
    <t>INVESCO INV GRADE DEFENSIVE</t>
  </si>
  <si>
    <t>IIGV</t>
  </si>
  <si>
    <t>INVESCO INVEST GRADE VALUE</t>
  </si>
  <si>
    <t>III</t>
  </si>
  <si>
    <t>INFORMATION SERVICES GROUP</t>
  </si>
  <si>
    <t>IIIN</t>
  </si>
  <si>
    <t>INSTEEL INDUSTRIES INC</t>
  </si>
  <si>
    <t>IIIV</t>
  </si>
  <si>
    <t>I3 VERTICALS INC-CLASS A</t>
  </si>
  <si>
    <t>IIM</t>
  </si>
  <si>
    <t>INVESCO VALUE MUNICIPAL INCO</t>
  </si>
  <si>
    <t>IIN</t>
  </si>
  <si>
    <t>INTRICON CORP</t>
  </si>
  <si>
    <t>IIPR</t>
  </si>
  <si>
    <t>INNOVATIVE INDUSTRIAL PROPER</t>
  </si>
  <si>
    <t>IIPR-A</t>
  </si>
  <si>
    <t>IIVI</t>
  </si>
  <si>
    <t>II-VI INC</t>
  </si>
  <si>
    <t>IIVIP</t>
  </si>
  <si>
    <t>IJAN</t>
  </si>
  <si>
    <t>INNOVATOR MSCI EAFE PB - JAN</t>
  </si>
  <si>
    <t>IJH</t>
  </si>
  <si>
    <t>ISHARES CORE S&amp;P MIDCAP ETF</t>
  </si>
  <si>
    <t>IJJ</t>
  </si>
  <si>
    <t>ISHARES S&amp;P MID-CAP 400 VALU</t>
  </si>
  <si>
    <t>IJK</t>
  </si>
  <si>
    <t>ISHARES S&amp;P MID-CAP 400 GROW</t>
  </si>
  <si>
    <t>IJR</t>
  </si>
  <si>
    <t>ISHARES CORE S&amp;P SMALL-CAP E</t>
  </si>
  <si>
    <t>IJS</t>
  </si>
  <si>
    <t>ISHARES S&amp;P SMALL-CAP 600 VA</t>
  </si>
  <si>
    <t>IJT</t>
  </si>
  <si>
    <t>ISHARES S&amp;P SMALL-CAP 600 GR</t>
  </si>
  <si>
    <t>IJUL</t>
  </si>
  <si>
    <t>INNOVATOR MSCI EAFE POWER BF</t>
  </si>
  <si>
    <t>IKNX</t>
  </si>
  <si>
    <t>IKONICS CORP</t>
  </si>
  <si>
    <t>ILF</t>
  </si>
  <si>
    <t>ISHARES LATIN AMERICA 40 ETF</t>
  </si>
  <si>
    <t>ILMN</t>
  </si>
  <si>
    <t>ILLUMINA INC</t>
  </si>
  <si>
    <t>ILPT</t>
  </si>
  <si>
    <t>INDUSTRIAL LOGISTICS PROPERT</t>
  </si>
  <si>
    <t>ILTB</t>
  </si>
  <si>
    <t>ISHARES CORE 10+ YEAR USD BO</t>
  </si>
  <si>
    <t>IMAB</t>
  </si>
  <si>
    <t>I-MAB-SPONSORED ADR</t>
  </si>
  <si>
    <t>IMAC</t>
  </si>
  <si>
    <t>IMAC HOLDINGS INC</t>
  </si>
  <si>
    <t>IMACW</t>
  </si>
  <si>
    <t>IMAX</t>
  </si>
  <si>
    <t>IMAX CORP</t>
  </si>
  <si>
    <t>IMBI</t>
  </si>
  <si>
    <t>IMEDIA BRANDS INC</t>
  </si>
  <si>
    <t>IMGN</t>
  </si>
  <si>
    <t>IMMUNOGEN INC</t>
  </si>
  <si>
    <t>IMH</t>
  </si>
  <si>
    <t>IMPAC MORTGAGE HOLDINGS INC</t>
  </si>
  <si>
    <t>IMKTA</t>
  </si>
  <si>
    <t>INGLES MARKETS INC-CLASS A</t>
  </si>
  <si>
    <t>IMLP</t>
  </si>
  <si>
    <t>IPATH S&amp;P MLP ETN</t>
  </si>
  <si>
    <t>IMMP</t>
  </si>
  <si>
    <t>IMMUTEP LTD-SP ADR</t>
  </si>
  <si>
    <t>IMMR</t>
  </si>
  <si>
    <t>IMMERSION CORPORATION</t>
  </si>
  <si>
    <t>IMMU</t>
  </si>
  <si>
    <t>IMMUNOMEDICS INC</t>
  </si>
  <si>
    <t>IMO</t>
  </si>
  <si>
    <t>IMPERIAL OIL LTD</t>
  </si>
  <si>
    <t>IMOM</t>
  </si>
  <si>
    <t>ALPHA INTL QUANT MOM ETF</t>
  </si>
  <si>
    <t>IMOS</t>
  </si>
  <si>
    <t>CHIPMOS TECHNOLOGIES INC-ADR</t>
  </si>
  <si>
    <t>IMRA</t>
  </si>
  <si>
    <t>IMARA INC</t>
  </si>
  <si>
    <t>IMRN</t>
  </si>
  <si>
    <t>IMMURON LTD-SPON ADR</t>
  </si>
  <si>
    <t>IMRNW</t>
  </si>
  <si>
    <t>IMTB</t>
  </si>
  <si>
    <t>ISHARES CORE 5-10 YEAR USD</t>
  </si>
  <si>
    <t>IMTE</t>
  </si>
  <si>
    <t>INTEGRATED MEDIA TECHNOLOGY</t>
  </si>
  <si>
    <t>IMTM</t>
  </si>
  <si>
    <t>ISHARES MSCI INTL MOMENTUM F</t>
  </si>
  <si>
    <t>IMTX</t>
  </si>
  <si>
    <t>IMMATICS NV</t>
  </si>
  <si>
    <t>IMTXW</t>
  </si>
  <si>
    <t>IMUX</t>
  </si>
  <si>
    <t>IMMUNIC INC</t>
  </si>
  <si>
    <t>IMV</t>
  </si>
  <si>
    <t>IMV INC</t>
  </si>
  <si>
    <t>IMVT</t>
  </si>
  <si>
    <t>IMMUNOVANT INC</t>
  </si>
  <si>
    <t>IMXI</t>
  </si>
  <si>
    <t>INTERNATIONAL MONEY EXPRESS</t>
  </si>
  <si>
    <t>INAQU</t>
  </si>
  <si>
    <t>INSU ACQUISITION CORP II</t>
  </si>
  <si>
    <t>INBK</t>
  </si>
  <si>
    <t>FIRST INTERNET BANCORP</t>
  </si>
  <si>
    <t>INBKL</t>
  </si>
  <si>
    <t>INBKZ</t>
  </si>
  <si>
    <t>INBX</t>
  </si>
  <si>
    <t>INHIBRX INC</t>
  </si>
  <si>
    <t>INCO</t>
  </si>
  <si>
    <t>COLUMBIA INDIA CONSUMER ETF</t>
  </si>
  <si>
    <t>INCY</t>
  </si>
  <si>
    <t>INCYTE CORP</t>
  </si>
  <si>
    <t>INDA</t>
  </si>
  <si>
    <t>ISHARES MSCI INDIA ETF</t>
  </si>
  <si>
    <t>INDB</t>
  </si>
  <si>
    <t>INDEPENDENT BANK CORP/MA</t>
  </si>
  <si>
    <t>INDL</t>
  </si>
  <si>
    <t>DRX DLY MSCI INDIA BULL 3X</t>
  </si>
  <si>
    <t>INDO</t>
  </si>
  <si>
    <t>INDONESIA ENERGY CORP LTD</t>
  </si>
  <si>
    <t>INDS</t>
  </si>
  <si>
    <t>PACER BENCHMARK INDUSTRIAL</t>
  </si>
  <si>
    <t>INDY</t>
  </si>
  <si>
    <t>ISHARES INDIA 50 ETF</t>
  </si>
  <si>
    <t>INFI</t>
  </si>
  <si>
    <t>INFINITY PHARMACEUTICALS INC</t>
  </si>
  <si>
    <t>INFN</t>
  </si>
  <si>
    <t>INFINERA CORP</t>
  </si>
  <si>
    <t>INFO</t>
  </si>
  <si>
    <t>IHS MARKIT LTD</t>
  </si>
  <si>
    <t>INFR</t>
  </si>
  <si>
    <t>LEGG MASON GLOBAL INFRASTR</t>
  </si>
  <si>
    <t>INFU</t>
  </si>
  <si>
    <t>INFUSYSTEM HOLDINGS INC</t>
  </si>
  <si>
    <t>INFY</t>
  </si>
  <si>
    <t>INFOSYS LTD-SP ADR</t>
  </si>
  <si>
    <t>ING</t>
  </si>
  <si>
    <t>ING GROEP N.V.-SPONSORED ADR</t>
  </si>
  <si>
    <t>INGN</t>
  </si>
  <si>
    <t>INOGEN INC</t>
  </si>
  <si>
    <t>INGR</t>
  </si>
  <si>
    <t>INGREDION INC</t>
  </si>
  <si>
    <t>INKM</t>
  </si>
  <si>
    <t>SPDR SSGA INCOME ALLOCATION</t>
  </si>
  <si>
    <t>INMB</t>
  </si>
  <si>
    <t>INMUNE BIO INC</t>
  </si>
  <si>
    <t>INMD</t>
  </si>
  <si>
    <t>INMODE LTD</t>
  </si>
  <si>
    <t>INN</t>
  </si>
  <si>
    <t>SUMMIT HOTEL PROPERTIES INC</t>
  </si>
  <si>
    <t>INN-D</t>
  </si>
  <si>
    <t>INN-E</t>
  </si>
  <si>
    <t>INO</t>
  </si>
  <si>
    <t>INOVIO PHARMACEUTICALS INC</t>
  </si>
  <si>
    <t>INOD</t>
  </si>
  <si>
    <t>INNODATA INC</t>
  </si>
  <si>
    <t>INOV</t>
  </si>
  <si>
    <t>INOVALON HOLDINGS INC - A</t>
  </si>
  <si>
    <t>INPX</t>
  </si>
  <si>
    <t>INPIXON</t>
  </si>
  <si>
    <t>INS</t>
  </si>
  <si>
    <t>INTELLIGENT SYSTEMS CORP</t>
  </si>
  <si>
    <t>INSE</t>
  </si>
  <si>
    <t>INSPIRED ENTERTAINMENT INC</t>
  </si>
  <si>
    <t>INSG</t>
  </si>
  <si>
    <t>INSEEGO CORP</t>
  </si>
  <si>
    <t>INSI</t>
  </si>
  <si>
    <t>INSIGHT SELECT INCOME FUND</t>
  </si>
  <si>
    <t>INSM</t>
  </si>
  <si>
    <t>INSMED INC</t>
  </si>
  <si>
    <t>INSP</t>
  </si>
  <si>
    <t>INSPIRE MEDICAL SYSTEMS INC</t>
  </si>
  <si>
    <t>INSU</t>
  </si>
  <si>
    <t>INSURANCE ACQUISITION CORP-A</t>
  </si>
  <si>
    <t>INSUU</t>
  </si>
  <si>
    <t>INSURANCE ACQUISITION CORP</t>
  </si>
  <si>
    <t>INSUW</t>
  </si>
  <si>
    <t>INSW</t>
  </si>
  <si>
    <t>INTERNATIONAL SEAWAYS INC</t>
  </si>
  <si>
    <t>INSW-A</t>
  </si>
  <si>
    <t>INT</t>
  </si>
  <si>
    <t>WORLD FUEL SERVICES CORP</t>
  </si>
  <si>
    <t>INTC</t>
  </si>
  <si>
    <t>INTEL CORP</t>
  </si>
  <si>
    <t>INTF</t>
  </si>
  <si>
    <t>ISHARES MSCI INTERNATIONAL M</t>
  </si>
  <si>
    <t>INTG</t>
  </si>
  <si>
    <t>INTERGROUP CORP</t>
  </si>
  <si>
    <t>INTT</t>
  </si>
  <si>
    <t>INTEST CORP</t>
  </si>
  <si>
    <t>INTU</t>
  </si>
  <si>
    <t>INTUIT INC</t>
  </si>
  <si>
    <t>INUV</t>
  </si>
  <si>
    <t>INUVO INC</t>
  </si>
  <si>
    <t>INVA</t>
  </si>
  <si>
    <t>INNOVIVA INC</t>
  </si>
  <si>
    <t>INVE</t>
  </si>
  <si>
    <t>IDENTIV INC</t>
  </si>
  <si>
    <t>INVH</t>
  </si>
  <si>
    <t>INVITATION HOMES INC</t>
  </si>
  <si>
    <t>INWK</t>
  </si>
  <si>
    <t>INNERWORKINGS INC</t>
  </si>
  <si>
    <t>INZY</t>
  </si>
  <si>
    <t>INOZYME PHARMA INC</t>
  </si>
  <si>
    <t>IO</t>
  </si>
  <si>
    <t>ION GEOPHYSICAL CORP</t>
  </si>
  <si>
    <t>IONS</t>
  </si>
  <si>
    <t>IONIS PHARMACEUTICALS INC</t>
  </si>
  <si>
    <t>IOO</t>
  </si>
  <si>
    <t>ISHARES GLOBAL 100 ETF</t>
  </si>
  <si>
    <t>IOR</t>
  </si>
  <si>
    <t>INCOME OPP REALTY INVESTORS</t>
  </si>
  <si>
    <t>IOSP</t>
  </si>
  <si>
    <t>INNOSPEC INC</t>
  </si>
  <si>
    <t>IOVA</t>
  </si>
  <si>
    <t>IOVANCE BIOTHERAPEUTICS INC</t>
  </si>
  <si>
    <t>IP</t>
  </si>
  <si>
    <t>INTERNATIONAL PAPER CO</t>
  </si>
  <si>
    <t>IPAC</t>
  </si>
  <si>
    <t>ISHARES CORE MSCI PACIFIC ET</t>
  </si>
  <si>
    <t>IPAR</t>
  </si>
  <si>
    <t>INTER PARFUMS INC</t>
  </si>
  <si>
    <t>IPAY</t>
  </si>
  <si>
    <t>ETFMG PRIME MOBILE PAYMENTS</t>
  </si>
  <si>
    <t>IPB</t>
  </si>
  <si>
    <t>IPDN</t>
  </si>
  <si>
    <t>PROFESSIONAL DIVERSITY NETWO</t>
  </si>
  <si>
    <t>IPFF</t>
  </si>
  <si>
    <t>ISHARES INTERNATIONAL PREFER</t>
  </si>
  <si>
    <t>IPG</t>
  </si>
  <si>
    <t>INTERPUBLIC GROUP OF COS INC</t>
  </si>
  <si>
    <t>IPGP</t>
  </si>
  <si>
    <t>IPG PHOTONICS CORP</t>
  </si>
  <si>
    <t>IPHA</t>
  </si>
  <si>
    <t>INNATE PHARMA SA-SPONS ADR</t>
  </si>
  <si>
    <t>IPHI</t>
  </si>
  <si>
    <t>INPHI CORP</t>
  </si>
  <si>
    <t>IPI</t>
  </si>
  <si>
    <t>INTREPID POTASH INC</t>
  </si>
  <si>
    <t>IPKW</t>
  </si>
  <si>
    <t>INVESCO INTERNATIONAL BUYBAC</t>
  </si>
  <si>
    <t>IPLDP</t>
  </si>
  <si>
    <t>IPO</t>
  </si>
  <si>
    <t>RENAISSANCE IPO ETF</t>
  </si>
  <si>
    <t>IPOB</t>
  </si>
  <si>
    <t>SOCIAL CAPITAL HEDOSOPHIA-A</t>
  </si>
  <si>
    <t>IPOB+</t>
  </si>
  <si>
    <t>IPOB=</t>
  </si>
  <si>
    <t>SOCIAL CAPITAL HEDOSPHIA II</t>
  </si>
  <si>
    <t>IPOC</t>
  </si>
  <si>
    <t>IPOC+</t>
  </si>
  <si>
    <t>IPOC=</t>
  </si>
  <si>
    <t>SOCIAL CAPITAL HEDOSPHIA III</t>
  </si>
  <si>
    <t>IPOS</t>
  </si>
  <si>
    <t>RENAISSANCE INTL IPO ETF</t>
  </si>
  <si>
    <t>IPV</t>
  </si>
  <si>
    <t>INTERPRIVATE ACQUISITION COR</t>
  </si>
  <si>
    <t>IPV+</t>
  </si>
  <si>
    <t>IPV=</t>
  </si>
  <si>
    <t>IPWR</t>
  </si>
  <si>
    <t>IDEAL POWER INC</t>
  </si>
  <si>
    <t>IQ</t>
  </si>
  <si>
    <t>IQIYI INC-ADR</t>
  </si>
  <si>
    <t>IQDE</t>
  </si>
  <si>
    <t>FLEXSHARES-INT QUAL DVD DEFE</t>
  </si>
  <si>
    <t>IQDF</t>
  </si>
  <si>
    <t>FLEXSHARES-INT QUAL DVD INDE</t>
  </si>
  <si>
    <t>IQDG</t>
  </si>
  <si>
    <t>WISDOMTREE INTL QLTY DVD GRW</t>
  </si>
  <si>
    <t>IQDY</t>
  </si>
  <si>
    <t>FLEXSHARES INT QUAL DVD DYN</t>
  </si>
  <si>
    <t>IQI</t>
  </si>
  <si>
    <t>INVESCO QUALITY MUNI INC TR</t>
  </si>
  <si>
    <t>IQIN</t>
  </si>
  <si>
    <t>IQ 500 INTERNATIONAL ETF</t>
  </si>
  <si>
    <t>IQLT</t>
  </si>
  <si>
    <t>ISHARES MSCI INTERNATIONAL Q</t>
  </si>
  <si>
    <t>IQM</t>
  </si>
  <si>
    <t>FRANKLIN INTELLIGENT MACHINE</t>
  </si>
  <si>
    <t>IQSI</t>
  </si>
  <si>
    <t>IQ CANDRIAM ESG INTERNATIONA</t>
  </si>
  <si>
    <t>IQSU</t>
  </si>
  <si>
    <t>IQ CANDRIAM ESG US EQUITY ET</t>
  </si>
  <si>
    <t>IQV</t>
  </si>
  <si>
    <t>IQVIA HOLDINGS INC</t>
  </si>
  <si>
    <t>IR</t>
  </si>
  <si>
    <t>INGERSOLL-RAND INC</t>
  </si>
  <si>
    <t>IRBO</t>
  </si>
  <si>
    <t>ISHARES ROBOTICS &amp; ARTIFICIA</t>
  </si>
  <si>
    <t>IRBT</t>
  </si>
  <si>
    <t>IROBOT CORP</t>
  </si>
  <si>
    <t>IRCP</t>
  </si>
  <si>
    <t>IRSA PROPIEDADES COMERCI-ADR</t>
  </si>
  <si>
    <t>IRDM</t>
  </si>
  <si>
    <t>IRIDIUM COMMUNICATIONS INC</t>
  </si>
  <si>
    <t>IRET</t>
  </si>
  <si>
    <t>INVESTORS REAL ESTATE TRUST</t>
  </si>
  <si>
    <t>IRET-C</t>
  </si>
  <si>
    <t>IRIX</t>
  </si>
  <si>
    <t>IRIDEX CORP</t>
  </si>
  <si>
    <t>IRL</t>
  </si>
  <si>
    <t>NEW IRELAND FUND INC</t>
  </si>
  <si>
    <t>IRM</t>
  </si>
  <si>
    <t>IRON MOUNTAIN INC</t>
  </si>
  <si>
    <t>IRMD</t>
  </si>
  <si>
    <t>IRADIMED CORP</t>
  </si>
  <si>
    <t>IROQ</t>
  </si>
  <si>
    <t>IF BANCORP INC</t>
  </si>
  <si>
    <t>IRR</t>
  </si>
  <si>
    <t>VOYA NATURAL RESOURCES EQUIT</t>
  </si>
  <si>
    <t>IRS</t>
  </si>
  <si>
    <t>IRSA -SP ADR</t>
  </si>
  <si>
    <t>IRT</t>
  </si>
  <si>
    <t>INDEPENDENCE REALTY TRUST IN</t>
  </si>
  <si>
    <t>IRTC</t>
  </si>
  <si>
    <t>IRHYTHM TECHNOLOGIES INC</t>
  </si>
  <si>
    <t>IRWD</t>
  </si>
  <si>
    <t>IRONWOOD PHARMACEUTICALS INC</t>
  </si>
  <si>
    <t>ISBC</t>
  </si>
  <si>
    <t>INVESTORS BANCORP INC</t>
  </si>
  <si>
    <t>ISCF</t>
  </si>
  <si>
    <t>ISHARES MSCI INTERNATIONAL S</t>
  </si>
  <si>
    <t>ISD</t>
  </si>
  <si>
    <t>PGIM HIGH YIELD BOND FUND</t>
  </si>
  <si>
    <t>ISDR</t>
  </si>
  <si>
    <t>ISSUER DIRECT CORP</t>
  </si>
  <si>
    <t>ISDX</t>
  </si>
  <si>
    <t>INVESCO RAFI STRATEGIC DEVE</t>
  </si>
  <si>
    <t>ISEE</t>
  </si>
  <si>
    <t>IVERIC BIO INC</t>
  </si>
  <si>
    <t>ISEM</t>
  </si>
  <si>
    <t>INVESCO RAFI STRATEGIC EMERG</t>
  </si>
  <si>
    <t>ISHG</t>
  </si>
  <si>
    <t>ISHARES -3 YEAR INTERNATIONA</t>
  </si>
  <si>
    <t>ISIG</t>
  </si>
  <si>
    <t>INSIGNIA SYSTEMS INC</t>
  </si>
  <si>
    <t>ISMD</t>
  </si>
  <si>
    <t>INSPIRE SMALL/MID CAP IMPACT</t>
  </si>
  <si>
    <t>ISNS</t>
  </si>
  <si>
    <t>IMAGE SENSING SYSTEMS INC</t>
  </si>
  <si>
    <t>ISR</t>
  </si>
  <si>
    <t>ISORAY INC</t>
  </si>
  <si>
    <t>ISRA</t>
  </si>
  <si>
    <t>VANECK ISRAEL</t>
  </si>
  <si>
    <t>ISRG</t>
  </si>
  <si>
    <t>INTUITIVE SURGICAL INC</t>
  </si>
  <si>
    <t>ISSC</t>
  </si>
  <si>
    <t>INNOVATIVE SOLUTIONS &amp; SUPP</t>
  </si>
  <si>
    <t>ISTB</t>
  </si>
  <si>
    <t>ISHARES CORE 1-5 YEAR USD BO</t>
  </si>
  <si>
    <t>ISTR</t>
  </si>
  <si>
    <t>INVESTAR HOLDING CORP</t>
  </si>
  <si>
    <t>ISZE</t>
  </si>
  <si>
    <t>IT</t>
  </si>
  <si>
    <t>GARTNER INC</t>
  </si>
  <si>
    <t>ITA</t>
  </si>
  <si>
    <t>ISHARES U.S. AEROSPACE &amp; DEF</t>
  </si>
  <si>
    <t>ITACU</t>
  </si>
  <si>
    <t>INDUSTRIAL TECH ACQUISITION</t>
  </si>
  <si>
    <t>ITB</t>
  </si>
  <si>
    <t>ISHARES U.S. HOME CONSTRUCTI</t>
  </si>
  <si>
    <t>ITCB</t>
  </si>
  <si>
    <t>ITAU CORPBANCA</t>
  </si>
  <si>
    <t>ITCI</t>
  </si>
  <si>
    <t>INTRA-CELLULAR THERAPIES INC</t>
  </si>
  <si>
    <t>ITEQ</t>
  </si>
  <si>
    <t>BLUESTAR ISRAEL TECHNOLOGY E</t>
  </si>
  <si>
    <t>ITGR</t>
  </si>
  <si>
    <t>INTEGER HOLDINGS CORP</t>
  </si>
  <si>
    <t>ITI</t>
  </si>
  <si>
    <t>ITERIS INC</t>
  </si>
  <si>
    <t>ITIC</t>
  </si>
  <si>
    <t>INVESTORS TITLE CO</t>
  </si>
  <si>
    <t>ITM</t>
  </si>
  <si>
    <t>VANECK VECTORS INTERMEDIATE</t>
  </si>
  <si>
    <t>ITMR</t>
  </si>
  <si>
    <t>ITAMAR MEDICAL LTD-SPON ADR</t>
  </si>
  <si>
    <t>ITOS</t>
  </si>
  <si>
    <t>ITEOS THERAPEUTICS INC</t>
  </si>
  <si>
    <t>ITOT</t>
  </si>
  <si>
    <t>ISHARES CORE S&amp;P TOTAL U.S.</t>
  </si>
  <si>
    <t>ITP</t>
  </si>
  <si>
    <t>IT TECH PACKAGING INC</t>
  </si>
  <si>
    <t>ITRG</t>
  </si>
  <si>
    <t>INTEGRA RESOURCES CORP</t>
  </si>
  <si>
    <t>ITRI</t>
  </si>
  <si>
    <t>ITRON INC</t>
  </si>
  <si>
    <t>ITRM</t>
  </si>
  <si>
    <t>ITERUM THERAPEUTICS PLC</t>
  </si>
  <si>
    <t>ITRN</t>
  </si>
  <si>
    <t>ITURAN LOCATION AND CONTROL</t>
  </si>
  <si>
    <t>ITT</t>
  </si>
  <si>
    <t>ITT INC</t>
  </si>
  <si>
    <t>ITUB</t>
  </si>
  <si>
    <t>ITAU UNIBANCO H-SPON PRF ADR</t>
  </si>
  <si>
    <t>ITW</t>
  </si>
  <si>
    <t>ILLINOIS TOOL WORKS</t>
  </si>
  <si>
    <t>IUS</t>
  </si>
  <si>
    <t>INVESCO RAFI STRATEGIC US ET</t>
  </si>
  <si>
    <t>IUSB</t>
  </si>
  <si>
    <t>ISHARES CORE TOTAL BOND ETF</t>
  </si>
  <si>
    <t>IUSG</t>
  </si>
  <si>
    <t>ISHARES CORE S&amp;P U.S. GROWTH</t>
  </si>
  <si>
    <t>IUSS</t>
  </si>
  <si>
    <t>INVESCO RAFI STRATEGIC US SM</t>
  </si>
  <si>
    <t>IUSV</t>
  </si>
  <si>
    <t>ISHARES CORE S&amp;P U.S. VALUE</t>
  </si>
  <si>
    <t>IVA</t>
  </si>
  <si>
    <t>INVENTIVA SA - ADR</t>
  </si>
  <si>
    <t>IVAC</t>
  </si>
  <si>
    <t>INTEVAC INC</t>
  </si>
  <si>
    <t>IVAL</t>
  </si>
  <si>
    <t>ALPHA ARCHI INTL QT VLU ETF</t>
  </si>
  <si>
    <t>IVC</t>
  </si>
  <si>
    <t>INVACARE CORP</t>
  </si>
  <si>
    <t>IVE</t>
  </si>
  <si>
    <t>ISHARES S&amp;P 500 VALUE ETF</t>
  </si>
  <si>
    <t>IVES</t>
  </si>
  <si>
    <t>WEDBUSH ETFMG GLOBAL CLOUD T</t>
  </si>
  <si>
    <t>IVH</t>
  </si>
  <si>
    <t>IVY HIGH INCOME OPPORTUNITY</t>
  </si>
  <si>
    <t>IVLU</t>
  </si>
  <si>
    <t>ISHARES MSCI INTERNATIONAL V</t>
  </si>
  <si>
    <t>IVOG</t>
  </si>
  <si>
    <t>VANGUARD S&amp;P MID-CAP 400 GRO</t>
  </si>
  <si>
    <t>IVOL</t>
  </si>
  <si>
    <t>QUADRATIC INT RTE VOL INFL H</t>
  </si>
  <si>
    <t>IVOO</t>
  </si>
  <si>
    <t>VANGUARD S&amp;P MID-CAP 400 ETF</t>
  </si>
  <si>
    <t>IVOV</t>
  </si>
  <si>
    <t>VANGUARD S&amp;P MID-CAP 400 VAL</t>
  </si>
  <si>
    <t>IVR</t>
  </si>
  <si>
    <t>INVESCO MORTGAGE CAPITAL</t>
  </si>
  <si>
    <t>IVR-A</t>
  </si>
  <si>
    <t>IVR-B</t>
  </si>
  <si>
    <t>IVR-C</t>
  </si>
  <si>
    <t>IVV</t>
  </si>
  <si>
    <t>ISHARES CORE S&amp;P 500 ETF</t>
  </si>
  <si>
    <t>IVW</t>
  </si>
  <si>
    <t>ISHARES S&amp;P 500 GROWTH ETF</t>
  </si>
  <si>
    <t>IVZ</t>
  </si>
  <si>
    <t>INVESCO LTD</t>
  </si>
  <si>
    <t>IWB</t>
  </si>
  <si>
    <t>ISHARES RUSSELL 1000 ETF</t>
  </si>
  <si>
    <t>IWC</t>
  </si>
  <si>
    <t>ISHARES MICRO-CAP ETF</t>
  </si>
  <si>
    <t>IWD</t>
  </si>
  <si>
    <t>ISHARES RUSSELL 1000 VALUE E</t>
  </si>
  <si>
    <t>IWF</t>
  </si>
  <si>
    <t>ISHARES RUSSELL 1000 GROWTH</t>
  </si>
  <si>
    <t>IWL</t>
  </si>
  <si>
    <t>ISHARES RUSSELL TOP 200 ETF</t>
  </si>
  <si>
    <t>IWM</t>
  </si>
  <si>
    <t>ISHARES RUSSELL 2000 ETF</t>
  </si>
  <si>
    <t>IWN</t>
  </si>
  <si>
    <t>ISHARES RUSSELL 2000 VALUE E</t>
  </si>
  <si>
    <t>IWO</t>
  </si>
  <si>
    <t>ISHARES RUSSELL 2000 GROWTH</t>
  </si>
  <si>
    <t>IWP</t>
  </si>
  <si>
    <t>ISHARES RUSSELL MID-CAP GROW</t>
  </si>
  <si>
    <t>IWR</t>
  </si>
  <si>
    <t>ISHARES RUSSELL MID-CAP ETF</t>
  </si>
  <si>
    <t>IWS</t>
  </si>
  <si>
    <t>ISHARES RUSSELL MID-CAP VALU</t>
  </si>
  <si>
    <t>IWV</t>
  </si>
  <si>
    <t>ISHARES RUSSELL 3000 ETF</t>
  </si>
  <si>
    <t>IWX</t>
  </si>
  <si>
    <t>ISHARES RUSSELL TOP 200 VALU</t>
  </si>
  <si>
    <t>IWY</t>
  </si>
  <si>
    <t>ISHARES RUSSELL TOP 200 GROW</t>
  </si>
  <si>
    <t>IX</t>
  </si>
  <si>
    <t>ORIX  - SPONSORED ADR</t>
  </si>
  <si>
    <t>IXC</t>
  </si>
  <si>
    <t>ISHARES GLOBAL ENERGY ETF</t>
  </si>
  <si>
    <t>IXG</t>
  </si>
  <si>
    <t>ISHARES GLOBAL FINANCIALS ET</t>
  </si>
  <si>
    <t>IXJ</t>
  </si>
  <si>
    <t>ISHARES GLOBAL HEALTHCARE ET</t>
  </si>
  <si>
    <t>IXN</t>
  </si>
  <si>
    <t>ISHARES GLOBAL TECH ETF</t>
  </si>
  <si>
    <t>IXP</t>
  </si>
  <si>
    <t>ISHARES GLOBAL COMM SERVICES</t>
  </si>
  <si>
    <t>IXSE</t>
  </si>
  <si>
    <t>WISDOMTREE INDIA EX-STATE FD</t>
  </si>
  <si>
    <t>IXUS</t>
  </si>
  <si>
    <t>ISHARES CORE INTL STOCK ETF</t>
  </si>
  <si>
    <t>IYC</t>
  </si>
  <si>
    <t>ISHARES U.S. CONSUMER SERVIC</t>
  </si>
  <si>
    <t>IYE</t>
  </si>
  <si>
    <t>ISHARES U.S. ENERGY ETF</t>
  </si>
  <si>
    <t>IYF</t>
  </si>
  <si>
    <t>ISHARES US FINANCIALS ETF</t>
  </si>
  <si>
    <t>IYG</t>
  </si>
  <si>
    <t>ISHARES U.S. FINANCIAL SERVI</t>
  </si>
  <si>
    <t>IYH</t>
  </si>
  <si>
    <t>ISHARES U.S. HEALTHCARE ETF</t>
  </si>
  <si>
    <t>IYJ</t>
  </si>
  <si>
    <t>ISHARES U.S. INDUSTRIALS ETF</t>
  </si>
  <si>
    <t>IYK</t>
  </si>
  <si>
    <t>ISHARES US CONSUMER GOODS ET</t>
  </si>
  <si>
    <t>IYLD</t>
  </si>
  <si>
    <t>ISHARES MORNINGSTAR MULTI-AS</t>
  </si>
  <si>
    <t>IYM</t>
  </si>
  <si>
    <t>ISHARES U.S. BASIC MATERIALS</t>
  </si>
  <si>
    <t>IYR</t>
  </si>
  <si>
    <t>ISHARES US REAL ESTATE ETF</t>
  </si>
  <si>
    <t>IYT</t>
  </si>
  <si>
    <t>ISHARES TRANSPORTATION AVERA</t>
  </si>
  <si>
    <t>IYW</t>
  </si>
  <si>
    <t>ISHARES USTECHNOLOGY ETF</t>
  </si>
  <si>
    <t>IYY</t>
  </si>
  <si>
    <t>ISHARES DOW JONES U.S. ETF</t>
  </si>
  <si>
    <t>IYZ</t>
  </si>
  <si>
    <t>ISHARES US TELECOMMUNICATION</t>
  </si>
  <si>
    <t>IZEA</t>
  </si>
  <si>
    <t>IZEA WORLDWIDE INC</t>
  </si>
  <si>
    <t>IZRL</t>
  </si>
  <si>
    <t>ARK ISRAEL INNOVATIVE TECHNO</t>
  </si>
  <si>
    <t>J</t>
  </si>
  <si>
    <t>JACOBS ENGINEERING GROUP INC</t>
  </si>
  <si>
    <t>JACK</t>
  </si>
  <si>
    <t>JACK IN THE BOX INC</t>
  </si>
  <si>
    <t>JAGG</t>
  </si>
  <si>
    <t>JPM US AGG BOND ETF</t>
  </si>
  <si>
    <t>JAGX</t>
  </si>
  <si>
    <t>JAGUAR HEALTH INC</t>
  </si>
  <si>
    <t>JAKK</t>
  </si>
  <si>
    <t>JAKKS PACIFIC INC</t>
  </si>
  <si>
    <t>JAMF</t>
  </si>
  <si>
    <t>JAMF HOLDING CORP</t>
  </si>
  <si>
    <t>JAN</t>
  </si>
  <si>
    <t>JANONE INC</t>
  </si>
  <si>
    <t>JAX</t>
  </si>
  <si>
    <t>J ALEXANDER'S HOLDINGS</t>
  </si>
  <si>
    <t>JAZZ</t>
  </si>
  <si>
    <t>JAZZ PHARMACEUTICALS PLC</t>
  </si>
  <si>
    <t>JBGS</t>
  </si>
  <si>
    <t>JBG SMITH PROPERTIES</t>
  </si>
  <si>
    <t>JBHT</t>
  </si>
  <si>
    <t>HUNT (JB) TRANSPRT SVCS INC</t>
  </si>
  <si>
    <t>JBK</t>
  </si>
  <si>
    <t>JBL</t>
  </si>
  <si>
    <t>JABIL INC</t>
  </si>
  <si>
    <t>JBLU</t>
  </si>
  <si>
    <t>JETBLUE AIRWAYS CORP</t>
  </si>
  <si>
    <t>JBSS</t>
  </si>
  <si>
    <t>JOHN B. SANFILIPPO &amp; SON INC</t>
  </si>
  <si>
    <t>JBT</t>
  </si>
  <si>
    <t>JOHN BEAN TECHNOLOGIES CORP</t>
  </si>
  <si>
    <t>JCAP</t>
  </si>
  <si>
    <t>JERNIGAN CAPITAL INC</t>
  </si>
  <si>
    <t>JCAP-B</t>
  </si>
  <si>
    <t>JCE</t>
  </si>
  <si>
    <t>NUVEEN CORE EQU ALPHA FD</t>
  </si>
  <si>
    <t>JCI</t>
  </si>
  <si>
    <t>JOHNSON CONTROLS INTERNATION</t>
  </si>
  <si>
    <t>JCO</t>
  </si>
  <si>
    <t>NUVEEN CREDIT OPP 2022 TARGE</t>
  </si>
  <si>
    <t>JCOM</t>
  </si>
  <si>
    <t>J2 GLOBAL INC</t>
  </si>
  <si>
    <t>JCPB</t>
  </si>
  <si>
    <t>JPMORGAN CORE PLUS BOND ETF</t>
  </si>
  <si>
    <t>JCS</t>
  </si>
  <si>
    <t>COMMUNICATIONS SYSTEMS INC</t>
  </si>
  <si>
    <t>JCTCF</t>
  </si>
  <si>
    <t>JEWETT-CAMERON TRADING LTD</t>
  </si>
  <si>
    <t>JD</t>
  </si>
  <si>
    <t>JD.COM INC-ADR</t>
  </si>
  <si>
    <t>JDD</t>
  </si>
  <si>
    <t>NUVEEN DIVER DIV AND INC FD</t>
  </si>
  <si>
    <t>JDIV</t>
  </si>
  <si>
    <t>JPMORGAN US DIVIDEND ETF</t>
  </si>
  <si>
    <t>JDST</t>
  </si>
  <si>
    <t>DIREXION DAILY JUNIOR GOLD M</t>
  </si>
  <si>
    <t>JE</t>
  </si>
  <si>
    <t>JUST ENERGY GROUP INC</t>
  </si>
  <si>
    <t>JE-A</t>
  </si>
  <si>
    <t>JEF</t>
  </si>
  <si>
    <t>JEFFERIES FINANCIAL GROUP IN</t>
  </si>
  <si>
    <t>JELD</t>
  </si>
  <si>
    <t>JELD-WEN HOLDING INC</t>
  </si>
  <si>
    <t>JEMD</t>
  </si>
  <si>
    <t>NUVEEN EMERGING MARKETS DEBT</t>
  </si>
  <si>
    <t>JEPI</t>
  </si>
  <si>
    <t>JPMORGAN EQUITY PREMIUM INCO</t>
  </si>
  <si>
    <t>JEQ</t>
  </si>
  <si>
    <t>ABERDEEN JAPAN EQUITY FUND I</t>
  </si>
  <si>
    <t>JETS</t>
  </si>
  <si>
    <t>US GLOBAL JETS ETF</t>
  </si>
  <si>
    <t>JFIN</t>
  </si>
  <si>
    <t>JIAYIN GROUP INC-ADR</t>
  </si>
  <si>
    <t>JFK</t>
  </si>
  <si>
    <t>8I ENTERPRISES ACQUISITION C</t>
  </si>
  <si>
    <t>JFKKR</t>
  </si>
  <si>
    <t>8I ENTERPRISES ACQUISITI-RTS</t>
  </si>
  <si>
    <t>JFKKU</t>
  </si>
  <si>
    <t>JFKKW</t>
  </si>
  <si>
    <t>JFR</t>
  </si>
  <si>
    <t>NUVEEN FLOAT RATE INC FD</t>
  </si>
  <si>
    <t>JFU</t>
  </si>
  <si>
    <t>9F INC - ADR</t>
  </si>
  <si>
    <t>JG</t>
  </si>
  <si>
    <t>AURORA MOBILE LTD-ADR</t>
  </si>
  <si>
    <t>JGH</t>
  </si>
  <si>
    <t>NUVEEN GLOBAL H-I FD</t>
  </si>
  <si>
    <t>JHAA</t>
  </si>
  <si>
    <t>NUVEEN CORPORATE INCOME 2023</t>
  </si>
  <si>
    <t>JHB</t>
  </si>
  <si>
    <t>NUVEEN CORPORATE INCOME NOVE</t>
  </si>
  <si>
    <t>JHCS</t>
  </si>
  <si>
    <t>JOHN HANCOCK MULTI MEDIA COM</t>
  </si>
  <si>
    <t>JHEM</t>
  </si>
  <si>
    <t>JOHN HANCOCK MULTI EM MRK ET</t>
  </si>
  <si>
    <t>JHG</t>
  </si>
  <si>
    <t>JANUS HENDERSON GROUP PLC</t>
  </si>
  <si>
    <t>JHI</t>
  </si>
  <si>
    <t>JOHN HANCOCK INVEST TRUST</t>
  </si>
  <si>
    <t>JHMA</t>
  </si>
  <si>
    <t>JOHN HANCOCK MULT FACT MATER</t>
  </si>
  <si>
    <t>JHMC</t>
  </si>
  <si>
    <t>JOHN HANCOCK MULT FACT CONSU</t>
  </si>
  <si>
    <t>JHMD</t>
  </si>
  <si>
    <t>JOHN HANCOCK MF DEV INTL ETF</t>
  </si>
  <si>
    <t>JHME</t>
  </si>
  <si>
    <t>JOHN HANCOCK MULT FACT ENRGY</t>
  </si>
  <si>
    <t>JHMF</t>
  </si>
  <si>
    <t>JOHN HANCOCK MULTI FACT FIN</t>
  </si>
  <si>
    <t>JHMH</t>
  </si>
  <si>
    <t>JOHN HANCOCK MULT FACT HEALT</t>
  </si>
  <si>
    <t>JHMI</t>
  </si>
  <si>
    <t>JOHN HANCOCK MULT FACT INDUS</t>
  </si>
  <si>
    <t>JHML</t>
  </si>
  <si>
    <t>JOHN HANCOCK MULTI FACT LRG</t>
  </si>
  <si>
    <t>JHMM</t>
  </si>
  <si>
    <t>JOHN HANCOCK MULTI FACT MID</t>
  </si>
  <si>
    <t>JHMS</t>
  </si>
  <si>
    <t>JOHN HANCOCK MULT FACT CONS</t>
  </si>
  <si>
    <t>JHMT</t>
  </si>
  <si>
    <t>JOHN HANCOCK MULTI FACT TECH</t>
  </si>
  <si>
    <t>JHMU</t>
  </si>
  <si>
    <t>JOHN HANCOCK MULT FACT UTIL</t>
  </si>
  <si>
    <t>JHS</t>
  </si>
  <si>
    <t>JOHN HANCOCK INCOME SECS TR</t>
  </si>
  <si>
    <t>JHSC</t>
  </si>
  <si>
    <t>JOHN HANCOCK MULTI SMALL CAP</t>
  </si>
  <si>
    <t>JHX</t>
  </si>
  <si>
    <t>JAMES HARDIE IND PLC-SP ADR</t>
  </si>
  <si>
    <t>JHY</t>
  </si>
  <si>
    <t>NUVEEN H-I 2020 TGT TRM FD</t>
  </si>
  <si>
    <t>JIG</t>
  </si>
  <si>
    <t>JPMORGAN INTERNATIONAL GROWT</t>
  </si>
  <si>
    <t>JIGB</t>
  </si>
  <si>
    <t>JPM CORP BOND RES EHD ETF</t>
  </si>
  <si>
    <t>JIH</t>
  </si>
  <si>
    <t>JUNIPER INDUSTRIAL HLDGS - A</t>
  </si>
  <si>
    <t>JIH+</t>
  </si>
  <si>
    <t>JIH=</t>
  </si>
  <si>
    <t>JUNIPER INDUSTRIAL HOLDINGS</t>
  </si>
  <si>
    <t>JILL</t>
  </si>
  <si>
    <t>J. JILL INC</t>
  </si>
  <si>
    <t>JJA</t>
  </si>
  <si>
    <t>IPATH SERIES B BLOOMBERG AGR</t>
  </si>
  <si>
    <t>JJC</t>
  </si>
  <si>
    <t>IPATH SERIES B BLOOMBERG COP</t>
  </si>
  <si>
    <t>JJE</t>
  </si>
  <si>
    <t>IPATH SERIES B BLOOMBERG ENE</t>
  </si>
  <si>
    <t>JJG</t>
  </si>
  <si>
    <t>IPATH SERIES B BLOOMBERG GRA</t>
  </si>
  <si>
    <t>JJM</t>
  </si>
  <si>
    <t>IPATH SER B BLOOMBERG INDUST</t>
  </si>
  <si>
    <t>JJN</t>
  </si>
  <si>
    <t>IPATH SERIES B BLOOMBERG NIC</t>
  </si>
  <si>
    <t>JJP</t>
  </si>
  <si>
    <t>IPATH SERIES B BBG PRECIOUS</t>
  </si>
  <si>
    <t>JJS</t>
  </si>
  <si>
    <t>IPATH SERIES B BBG SOFTS SUB</t>
  </si>
  <si>
    <t>JJSF</t>
  </si>
  <si>
    <t>J &amp; J SNACK FOODS CORP</t>
  </si>
  <si>
    <t>JJT</t>
  </si>
  <si>
    <t>IPATH SERIES B BBG TIN SUBIN</t>
  </si>
  <si>
    <t>JJU</t>
  </si>
  <si>
    <t>IPATH SERIES B BLOOMBERG ALU</t>
  </si>
  <si>
    <t>JKD</t>
  </si>
  <si>
    <t>ISHARES MORNINGSTAR LARGE-CA</t>
  </si>
  <si>
    <t>JKE</t>
  </si>
  <si>
    <t>JKF</t>
  </si>
  <si>
    <t>JKG</t>
  </si>
  <si>
    <t>ISHARES MORNINGSTAR MID-CAP</t>
  </si>
  <si>
    <t>JKH</t>
  </si>
  <si>
    <t>JKHY</t>
  </si>
  <si>
    <t>JACK HENRY &amp; ASSOCIATES INC</t>
  </si>
  <si>
    <t>JKI</t>
  </si>
  <si>
    <t>JKJ</t>
  </si>
  <si>
    <t>ISHARES MORNINGSTAR SMALL-CA</t>
  </si>
  <si>
    <t>JKK</t>
  </si>
  <si>
    <t>JKL</t>
  </si>
  <si>
    <t>JKS</t>
  </si>
  <si>
    <t>JINKOSOLAR HOLDING CO-ADR</t>
  </si>
  <si>
    <t>JLL</t>
  </si>
  <si>
    <t>JONES LANG LASALLE INC</t>
  </si>
  <si>
    <t>JLS</t>
  </si>
  <si>
    <t>NUVEEN MORTGAGE &amp; INCOME</t>
  </si>
  <si>
    <t>JMBS</t>
  </si>
  <si>
    <t>JANUS HENDERSON MORTG BACKED</t>
  </si>
  <si>
    <t>JMIA</t>
  </si>
  <si>
    <t>JUMIA TECHNOLOGIES AG-ADR</t>
  </si>
  <si>
    <t>JMIN</t>
  </si>
  <si>
    <t>JPMORGAN US MIN VOLATILITY</t>
  </si>
  <si>
    <t>JMM</t>
  </si>
  <si>
    <t>NUVEEN MULTI-MKT INC FD</t>
  </si>
  <si>
    <t>JMOM</t>
  </si>
  <si>
    <t>JPMORGAN US MOMENTUM FACTOR</t>
  </si>
  <si>
    <t>JMP</t>
  </si>
  <si>
    <t>JMP GROUP LLC</t>
  </si>
  <si>
    <t>JMPNL</t>
  </si>
  <si>
    <t>JMPNZ</t>
  </si>
  <si>
    <t>JMST</t>
  </si>
  <si>
    <t>JPM ULTRA-SHORT MUNI INCOME</t>
  </si>
  <si>
    <t>JMUB</t>
  </si>
  <si>
    <t>JPMORGAN MUNICIPAL ETF</t>
  </si>
  <si>
    <t>JNCE</t>
  </si>
  <si>
    <t>JOUNCE THERAPEUTICS INC</t>
  </si>
  <si>
    <t>JNJ</t>
  </si>
  <si>
    <t>JOHNSON &amp; JOHNSON</t>
  </si>
  <si>
    <t>JNK</t>
  </si>
  <si>
    <t>SPDR BBG BARC HIGH YIELD BND</t>
  </si>
  <si>
    <t>JNPR</t>
  </si>
  <si>
    <t>JUNIPER NETWORKS INC</t>
  </si>
  <si>
    <t>JNUG</t>
  </si>
  <si>
    <t>JO</t>
  </si>
  <si>
    <t>IPATH SERIES B BLOOMBERG COF</t>
  </si>
  <si>
    <t>JOB</t>
  </si>
  <si>
    <t>GEE GROUP INC</t>
  </si>
  <si>
    <t>JOBS</t>
  </si>
  <si>
    <t>51JOB INC-ADR</t>
  </si>
  <si>
    <t>JOE</t>
  </si>
  <si>
    <t>ST JOE CO/THE</t>
  </si>
  <si>
    <t>JOF</t>
  </si>
  <si>
    <t>JAPAN SMALLER CAPITALIZATION</t>
  </si>
  <si>
    <t>JOUT</t>
  </si>
  <si>
    <t>JOHNSON OUTDOORS INC-A</t>
  </si>
  <si>
    <t>JOYY</t>
  </si>
  <si>
    <t>INFUSIVE COMPOUNDING GLB EQY</t>
  </si>
  <si>
    <t>JP</t>
  </si>
  <si>
    <t>JUPAI HOLDINGS LTD-ADR</t>
  </si>
  <si>
    <t>JPC</t>
  </si>
  <si>
    <t>NUVEEN PREFERRED &amp; INCOME OP</t>
  </si>
  <si>
    <t>JPEM</t>
  </si>
  <si>
    <t>JPM DIVERSIFIED RET EM EQUIT</t>
  </si>
  <si>
    <t>JPGB</t>
  </si>
  <si>
    <t>JPMORGAN GLOBAL BOND OPPS</t>
  </si>
  <si>
    <t>JPHY</t>
  </si>
  <si>
    <t>JPM HY RESEARCH ENHANCED</t>
  </si>
  <si>
    <t>JPI</t>
  </si>
  <si>
    <t>NUVEEN PFD AND INC TERM FD</t>
  </si>
  <si>
    <t>JPIN</t>
  </si>
  <si>
    <t>JPM DIVERSIFIED RET INTL EQ</t>
  </si>
  <si>
    <t>JPM</t>
  </si>
  <si>
    <t>JPMORGAN CHASE &amp; CO</t>
  </si>
  <si>
    <t>JPM-C</t>
  </si>
  <si>
    <t>JPM-D</t>
  </si>
  <si>
    <t>JPM-G</t>
  </si>
  <si>
    <t>JPM-H</t>
  </si>
  <si>
    <t>JPM-J</t>
  </si>
  <si>
    <t>JPMB</t>
  </si>
  <si>
    <t>JPMORGAN USD EMERGING MARKET</t>
  </si>
  <si>
    <t>JPME</t>
  </si>
  <si>
    <t>JPM DIVER RET US MC EQUITY</t>
  </si>
  <si>
    <t>JPN</t>
  </si>
  <si>
    <t>XTRACKERS JAPAN JPX-NIKKEI 4</t>
  </si>
  <si>
    <t>JPNL</t>
  </si>
  <si>
    <t>DIREXION DLY JAPAN BULL 3X</t>
  </si>
  <si>
    <t>JPS</t>
  </si>
  <si>
    <t>NUVEEN PREFERRED &amp; INCOME SE</t>
  </si>
  <si>
    <t>JPSE</t>
  </si>
  <si>
    <t>JPM DIVERSIFIED RT SMALL CAP</t>
  </si>
  <si>
    <t>JPST</t>
  </si>
  <si>
    <t>JPMORGAN ULTRA-SHORT INCOME</t>
  </si>
  <si>
    <t>JPT</t>
  </si>
  <si>
    <t>NUVEEN PREFERRED INCOME 2022</t>
  </si>
  <si>
    <t>JPUS</t>
  </si>
  <si>
    <t>JPMORGAN DIV RET US EQ ETF</t>
  </si>
  <si>
    <t>JPXN</t>
  </si>
  <si>
    <t>ISHARES JPX-NIKKEI 400 ETF</t>
  </si>
  <si>
    <t>JQC</t>
  </si>
  <si>
    <t>NUVEEN CREDIT STRAT INCM</t>
  </si>
  <si>
    <t>JQUA</t>
  </si>
  <si>
    <t>JPMORGAN US QUALITY FACTOR</t>
  </si>
  <si>
    <t>JRI</t>
  </si>
  <si>
    <t>NUVEEN RL ASST INC &amp; GRW</t>
  </si>
  <si>
    <t>JRJC</t>
  </si>
  <si>
    <t>CHINA FINANCE ONLINE CO-ADR</t>
  </si>
  <si>
    <t>JRO</t>
  </si>
  <si>
    <t>NUVEEN FLT RATE INC OPP FD</t>
  </si>
  <si>
    <t>JRS</t>
  </si>
  <si>
    <t>NUVEEN REAL EST INC FD</t>
  </si>
  <si>
    <t>JRSH</t>
  </si>
  <si>
    <t>JERASH HOLDINGS US INC</t>
  </si>
  <si>
    <t>JRVR</t>
  </si>
  <si>
    <t>JAMES RIVER GROUP HOLDINGS L</t>
  </si>
  <si>
    <t>JSD</t>
  </si>
  <si>
    <t>NUVEEN SHT DUR CRED OPP FD</t>
  </si>
  <si>
    <t>JSM</t>
  </si>
  <si>
    <t>JSMD</t>
  </si>
  <si>
    <t>JANUS SMALL MID CAP GR ALP</t>
  </si>
  <si>
    <t>JSML</t>
  </si>
  <si>
    <t>JANUS DETROIT STREET TRUST J</t>
  </si>
  <si>
    <t>JT</t>
  </si>
  <si>
    <t>JIANPU TECHNOLOGY INC-SP ADR</t>
  </si>
  <si>
    <t>JTA</t>
  </si>
  <si>
    <t>NUVEEN TX-ADV TOT RET STR FD</t>
  </si>
  <si>
    <t>JTD</t>
  </si>
  <si>
    <t>NUVEEN TAX-ADV DIV GRWTH FD</t>
  </si>
  <si>
    <t>JULZ</t>
  </si>
  <si>
    <t>TRUESHARES STRUCT OUTCOME JU</t>
  </si>
  <si>
    <t>JUST</t>
  </si>
  <si>
    <t>GOLDMAN SACHS JUST US LRG</t>
  </si>
  <si>
    <t>JVA</t>
  </si>
  <si>
    <t>COFFEE HOLDING CO INC</t>
  </si>
  <si>
    <t>JVAL</t>
  </si>
  <si>
    <t>JPMORGAN US VALUE FACTOR ETF</t>
  </si>
  <si>
    <t>JW.A</t>
  </si>
  <si>
    <t>WILEY (JOHN) &amp; SONS-CLASS A</t>
  </si>
  <si>
    <t>JW.B</t>
  </si>
  <si>
    <t>WILEY (JOHN) &amp; SONS-CL B</t>
  </si>
  <si>
    <t>JWN</t>
  </si>
  <si>
    <t>NORDSTROM INC</t>
  </si>
  <si>
    <t>JWS</t>
  </si>
  <si>
    <t>JAWS ACQUISITION CORP-CL A</t>
  </si>
  <si>
    <t>JWS+</t>
  </si>
  <si>
    <t>JWS=</t>
  </si>
  <si>
    <t>JAWS ACQUISITION CORP</t>
  </si>
  <si>
    <t>JXI</t>
  </si>
  <si>
    <t>ISHARES GLOBAL UTILITIES ETF</t>
  </si>
  <si>
    <t>JYNT</t>
  </si>
  <si>
    <t>JOINT CORP/THE</t>
  </si>
  <si>
    <t>K</t>
  </si>
  <si>
    <t>KELLOGG CO</t>
  </si>
  <si>
    <t>KAI</t>
  </si>
  <si>
    <t>KADANT INC</t>
  </si>
  <si>
    <t>KALA</t>
  </si>
  <si>
    <t>KALA PHARMACEUTICALS INC</t>
  </si>
  <si>
    <t>KALL</t>
  </si>
  <si>
    <t>KRANESHARES MSCI ALL CHINA I</t>
  </si>
  <si>
    <t>KALU</t>
  </si>
  <si>
    <t>KAISER ALUMINUM CORP</t>
  </si>
  <si>
    <t>KALV</t>
  </si>
  <si>
    <t>KALVISTA PHARMACEUTICALS INC</t>
  </si>
  <si>
    <t>KAMN</t>
  </si>
  <si>
    <t>KAMAN CORP</t>
  </si>
  <si>
    <t>KAPR</t>
  </si>
  <si>
    <t>INNOVATOR RUSSELL 2000 POWER</t>
  </si>
  <si>
    <t>KAR</t>
  </si>
  <si>
    <t>KAR AUCTION SERVICES INC</t>
  </si>
  <si>
    <t>KARS</t>
  </si>
  <si>
    <t>KRANESHARES ELECTRIC VEHICLE</t>
  </si>
  <si>
    <t>KB</t>
  </si>
  <si>
    <t>KB FINANCIAL GROUP INC-ADR</t>
  </si>
  <si>
    <t>KBA</t>
  </si>
  <si>
    <t>KRANESH BOSERA MSCI CHINA A</t>
  </si>
  <si>
    <t>KBAL</t>
  </si>
  <si>
    <t>KIMBALL INTERNATIONAL-B</t>
  </si>
  <si>
    <t>KBE</t>
  </si>
  <si>
    <t>SPDR S&amp;P BANK ETF</t>
  </si>
  <si>
    <t>KBH</t>
  </si>
  <si>
    <t>KB HOME</t>
  </si>
  <si>
    <t>KBLM</t>
  </si>
  <si>
    <t>KBL MERGER CORP IV</t>
  </si>
  <si>
    <t>KBLMR</t>
  </si>
  <si>
    <t>KBL MERGER CORP IV - RTS</t>
  </si>
  <si>
    <t>KBLMU</t>
  </si>
  <si>
    <t>KBLMW</t>
  </si>
  <si>
    <t>KBNT</t>
  </si>
  <si>
    <t>KUBIENT INC</t>
  </si>
  <si>
    <t>KBNTW</t>
  </si>
  <si>
    <t>KBR</t>
  </si>
  <si>
    <t>KBR INC</t>
  </si>
  <si>
    <t>KBSF</t>
  </si>
  <si>
    <t>KBS FASHION GROUP LTD</t>
  </si>
  <si>
    <t>KBWB</t>
  </si>
  <si>
    <t>INVESCO KBW BANK ETF</t>
  </si>
  <si>
    <t>KBWD</t>
  </si>
  <si>
    <t>INVESCO KBW HIGH DIVIDEND YI</t>
  </si>
  <si>
    <t>KBWP</t>
  </si>
  <si>
    <t>INVESCO KBW PROPERTY &amp; CASUA</t>
  </si>
  <si>
    <t>KBWR</t>
  </si>
  <si>
    <t>INVESCO KBW REGIONAL BANKING</t>
  </si>
  <si>
    <t>KBWY</t>
  </si>
  <si>
    <t>INVESCO KBW PREMIUM YIELD EQ</t>
  </si>
  <si>
    <t>KC</t>
  </si>
  <si>
    <t>KINGSOFT CLOUD HOLDINGS-ADR</t>
  </si>
  <si>
    <t>KCAC</t>
  </si>
  <si>
    <t>KENSINGTON CAPITAL ACQUIS-A</t>
  </si>
  <si>
    <t>KCAC+</t>
  </si>
  <si>
    <t>KCAC=</t>
  </si>
  <si>
    <t>KENSINGTON CAPITAL ACQUISITI</t>
  </si>
  <si>
    <t>KCAPL</t>
  </si>
  <si>
    <t>KCCB</t>
  </si>
  <si>
    <t>KRANSHARES CCBS CHINA CORPOR</t>
  </si>
  <si>
    <t>KCE</t>
  </si>
  <si>
    <t>SPDR S&amp;P CAPITAL MARKETS ETF</t>
  </si>
  <si>
    <t>KCNY</t>
  </si>
  <si>
    <t>KRANESHARES E FUND CHINA COM</t>
  </si>
  <si>
    <t>KDFI</t>
  </si>
  <si>
    <t>KFA DYNAMIC FIXED INCOME ETF</t>
  </si>
  <si>
    <t>KDMN</t>
  </si>
  <si>
    <t>KADMON HOLDINGS INC</t>
  </si>
  <si>
    <t>KDP</t>
  </si>
  <si>
    <t>KEURIG DR PEPPER INC</t>
  </si>
  <si>
    <t>KE</t>
  </si>
  <si>
    <t>KIMBALL ELECTRONICS INC</t>
  </si>
  <si>
    <t>KELYA</t>
  </si>
  <si>
    <t>KELLY SERVICES INC -A</t>
  </si>
  <si>
    <t>KELYB</t>
  </si>
  <si>
    <t>KELLY SERVICES INC -CL B</t>
  </si>
  <si>
    <t>KEMQ</t>
  </si>
  <si>
    <t>KRANESHARES EMERGING MARKETS</t>
  </si>
  <si>
    <t>KEMX</t>
  </si>
  <si>
    <t>KRANESHARES MSCI E-MKT EX-CH</t>
  </si>
  <si>
    <t>KEN</t>
  </si>
  <si>
    <t>KENON HOLDINGS LTD</t>
  </si>
  <si>
    <t>KEP</t>
  </si>
  <si>
    <t>KOREA ELEC POWER CORP-SP ADR</t>
  </si>
  <si>
    <t>KEQU</t>
  </si>
  <si>
    <t>KEWAUNEE SCIENTIFIC CP</t>
  </si>
  <si>
    <t>KERN</t>
  </si>
  <si>
    <t>AKERNA CORP</t>
  </si>
  <si>
    <t>KERNW</t>
  </si>
  <si>
    <t>KESG</t>
  </si>
  <si>
    <t>KRANESHARES MSCI CHINA ESG</t>
  </si>
  <si>
    <t>KEX</t>
  </si>
  <si>
    <t>KIRBY CORP</t>
  </si>
  <si>
    <t>KEY</t>
  </si>
  <si>
    <t>KEYCORP</t>
  </si>
  <si>
    <t>KEY-I</t>
  </si>
  <si>
    <t>KEY-J</t>
  </si>
  <si>
    <t>KEY-K</t>
  </si>
  <si>
    <t>KEYS</t>
  </si>
  <si>
    <t>KEYSIGHT TECHNOLOGIES IN</t>
  </si>
  <si>
    <t>KF</t>
  </si>
  <si>
    <t>KOREA FUND INC</t>
  </si>
  <si>
    <t>KFFB</t>
  </si>
  <si>
    <t>KENTUCKY FIRST FEDERAL BANCO</t>
  </si>
  <si>
    <t>KFRC</t>
  </si>
  <si>
    <t>KFORCE INC</t>
  </si>
  <si>
    <t>KFS</t>
  </si>
  <si>
    <t>KINGSWAY FINANCIAL SERVICES</t>
  </si>
  <si>
    <t>KFY</t>
  </si>
  <si>
    <t>KORN FERRY</t>
  </si>
  <si>
    <t>KFYP</t>
  </si>
  <si>
    <t>KRANESHARES CICC CHINA LEADE</t>
  </si>
  <si>
    <t>KGC</t>
  </si>
  <si>
    <t>KINROSS GOLD CORP</t>
  </si>
  <si>
    <t>KGRN</t>
  </si>
  <si>
    <t>KRANESHARES MSCI CHN ENVIRON</t>
  </si>
  <si>
    <t>KHC</t>
  </si>
  <si>
    <t>KRAFT HEINZ CO/THE</t>
  </si>
  <si>
    <t>KIDS</t>
  </si>
  <si>
    <t>ORTHOPEDIATRICS CORP</t>
  </si>
  <si>
    <t>KIE</t>
  </si>
  <si>
    <t>SPDR S&amp;P INSURANCE ETF</t>
  </si>
  <si>
    <t>KIM</t>
  </si>
  <si>
    <t>KIMCO REALTY CORP</t>
  </si>
  <si>
    <t>KIM-L</t>
  </si>
  <si>
    <t>KIM-M</t>
  </si>
  <si>
    <t>KIN</t>
  </si>
  <si>
    <t>KINDRED BIOSCIENCES INC</t>
  </si>
  <si>
    <t>KINS</t>
  </si>
  <si>
    <t>KINGSTONE COS INC</t>
  </si>
  <si>
    <t>KIO</t>
  </si>
  <si>
    <t>KKR INCOME OPPORTUNITIES</t>
  </si>
  <si>
    <t>KIQ</t>
  </si>
  <si>
    <t>KELSO TECHNOLOGIES INC</t>
  </si>
  <si>
    <t>KIRK</t>
  </si>
  <si>
    <t>KIRKLAND'S INC</t>
  </si>
  <si>
    <t>KJAN</t>
  </si>
  <si>
    <t>INNOVATOR RUSSELL 2000 P BUF</t>
  </si>
  <si>
    <t>KJUL</t>
  </si>
  <si>
    <t>INNOVATOR RUSSELL 2000 P/B J</t>
  </si>
  <si>
    <t>KKR</t>
  </si>
  <si>
    <t>KKR &amp; CO INC</t>
  </si>
  <si>
    <t>KKR-A</t>
  </si>
  <si>
    <t>KKR-B</t>
  </si>
  <si>
    <t>KKR-C</t>
  </si>
  <si>
    <t>KL</t>
  </si>
  <si>
    <t>KIRKLAND LAKE GOLD LTD</t>
  </si>
  <si>
    <t>KLAC</t>
  </si>
  <si>
    <t>KLA CORP</t>
  </si>
  <si>
    <t>KLCD</t>
  </si>
  <si>
    <t>KFA LRG CAP QUAL DIV NDX ETF</t>
  </si>
  <si>
    <t>KLDO</t>
  </si>
  <si>
    <t>KALEIDO BIOSCIENCES INC</t>
  </si>
  <si>
    <t>KLDW</t>
  </si>
  <si>
    <t>KNOWLEDGE LEADERS DEVELOPED</t>
  </si>
  <si>
    <t>KLIC</t>
  </si>
  <si>
    <t>KULICKE &amp; SOFFA INDUSTRIES</t>
  </si>
  <si>
    <t>KLR</t>
  </si>
  <si>
    <t>KALEYRA INC</t>
  </si>
  <si>
    <t>KLR+</t>
  </si>
  <si>
    <t>KLXE</t>
  </si>
  <si>
    <t>KLX ENERGY SERVICES HOLDING</t>
  </si>
  <si>
    <t>KMB</t>
  </si>
  <si>
    <t>KIMBERLY-CLARK CORP</t>
  </si>
  <si>
    <t>KMDA</t>
  </si>
  <si>
    <t>KAMADA LTD</t>
  </si>
  <si>
    <t>KMED</t>
  </si>
  <si>
    <t>KMF</t>
  </si>
  <si>
    <t>KAYNE ANDERSON MIDSTREAM/ENE</t>
  </si>
  <si>
    <t>KMI</t>
  </si>
  <si>
    <t>KINDER MORGAN INC</t>
  </si>
  <si>
    <t>KMPR</t>
  </si>
  <si>
    <t>KEMPER CORP</t>
  </si>
  <si>
    <t>KMT</t>
  </si>
  <si>
    <t>KENNAMETAL INC</t>
  </si>
  <si>
    <t>KMX</t>
  </si>
  <si>
    <t>CARMAX INC</t>
  </si>
  <si>
    <t>KN</t>
  </si>
  <si>
    <t>KNOWLES CORP</t>
  </si>
  <si>
    <t>KNAB</t>
  </si>
  <si>
    <t>MICROSECTORS US BIG BANK INV</t>
  </si>
  <si>
    <t>KNDI</t>
  </si>
  <si>
    <t>KANDI TECHNOLOGIES GROUP INC</t>
  </si>
  <si>
    <t>KNG</t>
  </si>
  <si>
    <t>CBOE VEST S&amp;P 500 DIV ARI TR</t>
  </si>
  <si>
    <t>KNL</t>
  </si>
  <si>
    <t>KNOLL INC</t>
  </si>
  <si>
    <t>KNOP</t>
  </si>
  <si>
    <t>KNOT OFFSHORE PARTNERS LP</t>
  </si>
  <si>
    <t>KNOW</t>
  </si>
  <si>
    <t>DIREXION ALL CAP INSIDER SEN</t>
  </si>
  <si>
    <t>KNSA</t>
  </si>
  <si>
    <t>KINIKSA PHARMACEUTICALS-A</t>
  </si>
  <si>
    <t>KNSL</t>
  </si>
  <si>
    <t>KINSALE CAPITAL GROUP INC</t>
  </si>
  <si>
    <t>KNX</t>
  </si>
  <si>
    <t>KNIGHT-SWIFT TRANSPORTATION</t>
  </si>
  <si>
    <t>KO</t>
  </si>
  <si>
    <t>COCA-COLA CO/THE</t>
  </si>
  <si>
    <t>KOCT</t>
  </si>
  <si>
    <t>KOD</t>
  </si>
  <si>
    <t>KODIAK SCIENCES INC</t>
  </si>
  <si>
    <t>KODK</t>
  </si>
  <si>
    <t>EASTMAN KODAK CO</t>
  </si>
  <si>
    <t>KOF</t>
  </si>
  <si>
    <t>COCA-COLA FEMSA SAB-SP ADR</t>
  </si>
  <si>
    <t>KOIN</t>
  </si>
  <si>
    <t>INNOVATION SHARES NEXTGEN PR</t>
  </si>
  <si>
    <t>KOKU</t>
  </si>
  <si>
    <t>XTRACKERS MSCI KOKUSAI EQTY</t>
  </si>
  <si>
    <t>KOL</t>
  </si>
  <si>
    <t>VANECK COAL ETF</t>
  </si>
  <si>
    <t>KOLD</t>
  </si>
  <si>
    <t>PROSHARES ULTRASHORT BLOOMBE</t>
  </si>
  <si>
    <t>KOMP</t>
  </si>
  <si>
    <t>SPDR S&amp;P KENSHO NEW ECONOMIE</t>
  </si>
  <si>
    <t>KOP</t>
  </si>
  <si>
    <t>KOPPERS HOLDINGS INC</t>
  </si>
  <si>
    <t>KOPN</t>
  </si>
  <si>
    <t>KOPIN CORP</t>
  </si>
  <si>
    <t>KOR</t>
  </si>
  <si>
    <t>CORVUS GOLD INC</t>
  </si>
  <si>
    <t>KORP</t>
  </si>
  <si>
    <t>AMERICAN CENTURY DIVERSIFIED</t>
  </si>
  <si>
    <t>KORU</t>
  </si>
  <si>
    <t>DIREXION DLY S KOREA BULL 3X</t>
  </si>
  <si>
    <t>KOS</t>
  </si>
  <si>
    <t>KOSMOS ENERGY LTD</t>
  </si>
  <si>
    <t>KOSS</t>
  </si>
  <si>
    <t>KOSS CORP</t>
  </si>
  <si>
    <t>KPTI</t>
  </si>
  <si>
    <t>KARYOPHARM THERAPEUTICS INC</t>
  </si>
  <si>
    <t>KR</t>
  </si>
  <si>
    <t>KROGER CO</t>
  </si>
  <si>
    <t>KRA</t>
  </si>
  <si>
    <t>KRATON CORP</t>
  </si>
  <si>
    <t>KRBN</t>
  </si>
  <si>
    <t>KFA GLOBAL CARBON ETF</t>
  </si>
  <si>
    <t>KRC</t>
  </si>
  <si>
    <t>KILROY REALTY CORP</t>
  </si>
  <si>
    <t>KRE</t>
  </si>
  <si>
    <t>SPDR S&amp;P REGIONAL BANKING</t>
  </si>
  <si>
    <t>KREF</t>
  </si>
  <si>
    <t>KKR REAL ESTATE FINANCE TRUS</t>
  </si>
  <si>
    <t>KRG</t>
  </si>
  <si>
    <t>KITE REALTY GROUP TRUST</t>
  </si>
  <si>
    <t>KRKR</t>
  </si>
  <si>
    <t>36KR HOLDINGS INC</t>
  </si>
  <si>
    <t>KRMA</t>
  </si>
  <si>
    <t>GLOBAL X CONSCIOUS COMPANIES</t>
  </si>
  <si>
    <t>KRMD</t>
  </si>
  <si>
    <t>REPRO MEDSYSTEMS INC</t>
  </si>
  <si>
    <t>KRNT</t>
  </si>
  <si>
    <t>KORNIT DIGITAL LTD</t>
  </si>
  <si>
    <t>KRNY</t>
  </si>
  <si>
    <t>KEARNY FINANCIAL CORP/MD</t>
  </si>
  <si>
    <t>KRO</t>
  </si>
  <si>
    <t>KRONOS WORLDWIDE INC</t>
  </si>
  <si>
    <t>KROS</t>
  </si>
  <si>
    <t>KEROS THERAPEUTICS INC</t>
  </si>
  <si>
    <t>KRP</t>
  </si>
  <si>
    <t>KIMBELL ROYALTY PARTNERS LP</t>
  </si>
  <si>
    <t>KRTX</t>
  </si>
  <si>
    <t>KARUNA THERAPEUTICS INC</t>
  </si>
  <si>
    <t>KRUS</t>
  </si>
  <si>
    <t>KURA SUSHI USA INC-CLASS A</t>
  </si>
  <si>
    <t>KRYS</t>
  </si>
  <si>
    <t>KRYSTAL BIOTECH INC</t>
  </si>
  <si>
    <t>KSA</t>
  </si>
  <si>
    <t>ISHARES MSCI SAUDI ARABIA ET</t>
  </si>
  <si>
    <t>KSCD</t>
  </si>
  <si>
    <t>KFA SML CAP QUAL DIV NDX ETF</t>
  </si>
  <si>
    <t>KSM</t>
  </si>
  <si>
    <t>DWS STRATEGIC MUNICIPAL INCO</t>
  </si>
  <si>
    <t>KSMTU</t>
  </si>
  <si>
    <t>KISMET ACQUISITION ONE CORP</t>
  </si>
  <si>
    <t>KSPN</t>
  </si>
  <si>
    <t>TRANS WORLD ENTERTAINMENT CP</t>
  </si>
  <si>
    <t>KSS</t>
  </si>
  <si>
    <t>KOHLS CORP</t>
  </si>
  <si>
    <t>KSU</t>
  </si>
  <si>
    <t>KANSAS CITY SOUTHERN</t>
  </si>
  <si>
    <t>KSU-</t>
  </si>
  <si>
    <t>KT</t>
  </si>
  <si>
    <t>KT CORP-SP ADR</t>
  </si>
  <si>
    <t>KTB</t>
  </si>
  <si>
    <t>KONTOOR BRANDS INC</t>
  </si>
  <si>
    <t>KTCC</t>
  </si>
  <si>
    <t>KEY TRONIC CORP</t>
  </si>
  <si>
    <t>KTF</t>
  </si>
  <si>
    <t>DWS MUNICIPAL INCOME TRUST</t>
  </si>
  <si>
    <t>KTH</t>
  </si>
  <si>
    <t>KTN</t>
  </si>
  <si>
    <t>KTOS</t>
  </si>
  <si>
    <t>KRATOS DEFENSE &amp; SECURITY</t>
  </si>
  <si>
    <t>KTOV</t>
  </si>
  <si>
    <t>KITOV PHARMA LTD-ADR</t>
  </si>
  <si>
    <t>KTOVW</t>
  </si>
  <si>
    <t>KTRA</t>
  </si>
  <si>
    <t>KINTARA THERAPEUTICS INC</t>
  </si>
  <si>
    <t>KURA</t>
  </si>
  <si>
    <t>KURA ONCOLOGY INC</t>
  </si>
  <si>
    <t>KURE</t>
  </si>
  <si>
    <t>KRANESHARES MSCI ALL CHINA H</t>
  </si>
  <si>
    <t>KVHI</t>
  </si>
  <si>
    <t>KVH INDUSTRIES INC</t>
  </si>
  <si>
    <t>KW</t>
  </si>
  <si>
    <t>KENNEDY-WILSON HOLDINGS INC</t>
  </si>
  <si>
    <t>KWEB</t>
  </si>
  <si>
    <t>KRANESHARES CSI CHINA INTERN</t>
  </si>
  <si>
    <t>KWR</t>
  </si>
  <si>
    <t>QUAKER CHEMICAL CORP</t>
  </si>
  <si>
    <t>KWT</t>
  </si>
  <si>
    <t>ISHARES MSCI KUWAIT ETF</t>
  </si>
  <si>
    <t>KXI</t>
  </si>
  <si>
    <t>ISHARES GLOBAL CONSUMER STAP</t>
  </si>
  <si>
    <t>KXIN</t>
  </si>
  <si>
    <t>KAIXIN AUTO HOLDINGS</t>
  </si>
  <si>
    <t>KYMR</t>
  </si>
  <si>
    <t>KYMERA THERAPEUTICS INC</t>
  </si>
  <si>
    <t>KYN</t>
  </si>
  <si>
    <t>KAYNE ANDERSON MLP/MIDSTREAM</t>
  </si>
  <si>
    <t>KZIA</t>
  </si>
  <si>
    <t>KAZIA THERAPEUTICS-SPON ADR</t>
  </si>
  <si>
    <t>KZR</t>
  </si>
  <si>
    <t>KEZAR LIFE SCIENCES INC</t>
  </si>
  <si>
    <t>L</t>
  </si>
  <si>
    <t>LOEWS CORP</t>
  </si>
  <si>
    <t>LABD</t>
  </si>
  <si>
    <t>DRX DLY S&amp;P BIOTECH BEAR 3X</t>
  </si>
  <si>
    <t>LABU</t>
  </si>
  <si>
    <t>DRX DLY S&amp;P BIOTECH BULL 3X</t>
  </si>
  <si>
    <t>LAC</t>
  </si>
  <si>
    <t>LITHIUM AMERICAS CORP</t>
  </si>
  <si>
    <t>LACK</t>
  </si>
  <si>
    <t>DRX DLY CONS STAPLES BEAR 3X</t>
  </si>
  <si>
    <t>LACQ</t>
  </si>
  <si>
    <t>LEISURE ACQUISITION CORP</t>
  </si>
  <si>
    <t>LACQU</t>
  </si>
  <si>
    <t>LACQW</t>
  </si>
  <si>
    <t>LAD</t>
  </si>
  <si>
    <t>LITHIA MOTORS INC-CL A</t>
  </si>
  <si>
    <t>LADR</t>
  </si>
  <si>
    <t>LADDER CAPITAL CORP-REIT</t>
  </si>
  <si>
    <t>LAIX</t>
  </si>
  <si>
    <t>LAIX INC - ADR</t>
  </si>
  <si>
    <t>LAKE</t>
  </si>
  <si>
    <t>LAKELAND INDUSTRIES INC</t>
  </si>
  <si>
    <t>LAMR</t>
  </si>
  <si>
    <t>LAMAR ADVERTISING CO-A</t>
  </si>
  <si>
    <t>LANC</t>
  </si>
  <si>
    <t>LANCASTER COLONY CORP</t>
  </si>
  <si>
    <t>LAND</t>
  </si>
  <si>
    <t>GLADSTONE LAND CORP</t>
  </si>
  <si>
    <t>LANDP</t>
  </si>
  <si>
    <t>LARK</t>
  </si>
  <si>
    <t>LANDMARK BANCORP INC</t>
  </si>
  <si>
    <t>LASR</t>
  </si>
  <si>
    <t>NLIGHT INC</t>
  </si>
  <si>
    <t>LATN</t>
  </si>
  <si>
    <t>UNION ACQUISITION CORP II</t>
  </si>
  <si>
    <t>LATNU</t>
  </si>
  <si>
    <t>LATNW</t>
  </si>
  <si>
    <t>LAUR</t>
  </si>
  <si>
    <t>LAUREATE EDUCATION INC-A</t>
  </si>
  <si>
    <t>LAWS</t>
  </si>
  <si>
    <t>LAWSON PRODUCTS INC</t>
  </si>
  <si>
    <t>LAZ</t>
  </si>
  <si>
    <t>LAZARD LTD-CL A</t>
  </si>
  <si>
    <t>LAZY</t>
  </si>
  <si>
    <t>LAZYDAYS HOLDINGS INC</t>
  </si>
  <si>
    <t>LB</t>
  </si>
  <si>
    <t>L BRANDS INC</t>
  </si>
  <si>
    <t>LBAI</t>
  </si>
  <si>
    <t>LAKELAND BANCORP INC</t>
  </si>
  <si>
    <t>LBC</t>
  </si>
  <si>
    <t>LUTHER BURBANK CORP</t>
  </si>
  <si>
    <t>LBJ</t>
  </si>
  <si>
    <t>DIREXION DLY LAT AM BULL 3X</t>
  </si>
  <si>
    <t>LBRDA</t>
  </si>
  <si>
    <t>LIBERTY BROADBAND-A</t>
  </si>
  <si>
    <t>LBRDK</t>
  </si>
  <si>
    <t>LIBERTY BROADBAND-C</t>
  </si>
  <si>
    <t>LBRT</t>
  </si>
  <si>
    <t>LIBERTY OILFIELD SERVICES -A</t>
  </si>
  <si>
    <t>LBTYA</t>
  </si>
  <si>
    <t>LIBERTY GLOBAL PLC-A</t>
  </si>
  <si>
    <t>LBTYB</t>
  </si>
  <si>
    <t>LIBERTY GLOBAL PLC-B</t>
  </si>
  <si>
    <t>LBTYK</t>
  </si>
  <si>
    <t>LIBERTY GLOBAL PLC- C</t>
  </si>
  <si>
    <t>LC</t>
  </si>
  <si>
    <t>LENDINGCLUB CORP</t>
  </si>
  <si>
    <t>LCA</t>
  </si>
  <si>
    <t>LANDCADIA HOLDINGS II INC-A</t>
  </si>
  <si>
    <t>LCAHU</t>
  </si>
  <si>
    <t>LANDCADIA HOLDINGS II INC</t>
  </si>
  <si>
    <t>LCAHW</t>
  </si>
  <si>
    <t>LCAPU</t>
  </si>
  <si>
    <t>LIONHEART ACQUISITION CORP</t>
  </si>
  <si>
    <t>LCG</t>
  </si>
  <si>
    <t>STERLING CAPITAL FOCUS EQUIT</t>
  </si>
  <si>
    <t>LCI</t>
  </si>
  <si>
    <t>LANNETT CO INC</t>
  </si>
  <si>
    <t>LCII</t>
  </si>
  <si>
    <t>LCI INDUSTRIES</t>
  </si>
  <si>
    <t>LCNB</t>
  </si>
  <si>
    <t>LCNB CORPORATION</t>
  </si>
  <si>
    <t>LCR</t>
  </si>
  <si>
    <t>LEUTHOLD CORE ETF</t>
  </si>
  <si>
    <t>LCTX</t>
  </si>
  <si>
    <t>LINEAGE CELL THERAPEUTICS IN</t>
  </si>
  <si>
    <t>LCUT</t>
  </si>
  <si>
    <t>LIFETIME BRANDS INC</t>
  </si>
  <si>
    <t>LD</t>
  </si>
  <si>
    <t>IPATH BLOOMBERG LEAD SUBINDE</t>
  </si>
  <si>
    <t>LDEM</t>
  </si>
  <si>
    <t>ISHARES ESG MSCI EM LEADERS</t>
  </si>
  <si>
    <t>LDL</t>
  </si>
  <si>
    <t>LYDALL INC</t>
  </si>
  <si>
    <t>LDOS</t>
  </si>
  <si>
    <t>LEIDOS HOLDINGS INC</t>
  </si>
  <si>
    <t>LDP</t>
  </si>
  <si>
    <t>COHEN &amp; STEERS LIMITED DURAT</t>
  </si>
  <si>
    <t>LDRS</t>
  </si>
  <si>
    <t>INNOVATOR IBD ETF LEADERS ET</t>
  </si>
  <si>
    <t>LDSF</t>
  </si>
  <si>
    <t>FIRST TR LOW DURATION ST-ETF</t>
  </si>
  <si>
    <t>LDUR</t>
  </si>
  <si>
    <t>PIMCO ENHANCED LOW DURATION</t>
  </si>
  <si>
    <t>LE</t>
  </si>
  <si>
    <t>LANDS' END INC</t>
  </si>
  <si>
    <t>LEA</t>
  </si>
  <si>
    <t>LEAR CORP</t>
  </si>
  <si>
    <t>LEAD</t>
  </si>
  <si>
    <t>REALITY SHARES DIVCON LEADER</t>
  </si>
  <si>
    <t>LEAF</t>
  </si>
  <si>
    <t>LEAF GROUP LTD</t>
  </si>
  <si>
    <t>LECO</t>
  </si>
  <si>
    <t>LINCOLN ELECTRIC HOLDINGS</t>
  </si>
  <si>
    <t>LEDS</t>
  </si>
  <si>
    <t>SEMILEDS CORP/TW</t>
  </si>
  <si>
    <t>LEE</t>
  </si>
  <si>
    <t>LEE ENTERPRISES</t>
  </si>
  <si>
    <t>LEG</t>
  </si>
  <si>
    <t>LEGGETT &amp; PLATT INC</t>
  </si>
  <si>
    <t>LEGH</t>
  </si>
  <si>
    <t>LEGACY HOUSING CORP</t>
  </si>
  <si>
    <t>LEGN</t>
  </si>
  <si>
    <t>LEGEND BIOTECH CORP-ADR</t>
  </si>
  <si>
    <t>LEGR</t>
  </si>
  <si>
    <t>FIRST TRUST INDXX INNOVATIVE</t>
  </si>
  <si>
    <t>LEJU</t>
  </si>
  <si>
    <t>LEJU HOLDINGS LTD-ADR</t>
  </si>
  <si>
    <t>LEMB</t>
  </si>
  <si>
    <t>ISHARES JP MORGAN EM LOCAL C</t>
  </si>
  <si>
    <t>LEN</t>
  </si>
  <si>
    <t>LENNAR CORP-A</t>
  </si>
  <si>
    <t>LEN.B</t>
  </si>
  <si>
    <t>LENNAR CORP - B SHS</t>
  </si>
  <si>
    <t>LEND</t>
  </si>
  <si>
    <t>AMP CROWDBUREAU PEER TO PEER</t>
  </si>
  <si>
    <t>LEO</t>
  </si>
  <si>
    <t>BNYM STRAT MUNI</t>
  </si>
  <si>
    <t>LEU</t>
  </si>
  <si>
    <t>CENTRUS ENERGY CORP-CLASS A</t>
  </si>
  <si>
    <t>LEVI</t>
  </si>
  <si>
    <t>LEVI STRAUSS &amp; CO- CLASS A</t>
  </si>
  <si>
    <t>LEVL</t>
  </si>
  <si>
    <t>LEVEL ONE BANCORP INC</t>
  </si>
  <si>
    <t>LEVLP</t>
  </si>
  <si>
    <t>LFAC</t>
  </si>
  <si>
    <t>LF CAPITAL ACQUISITION COR-A</t>
  </si>
  <si>
    <t>LFACU</t>
  </si>
  <si>
    <t>LF CAPITAL ACQUISITION CORP</t>
  </si>
  <si>
    <t>LFACW</t>
  </si>
  <si>
    <t>LFC</t>
  </si>
  <si>
    <t>CHINA LIFE INSURANCE CO-ADR</t>
  </si>
  <si>
    <t>LFEQ</t>
  </si>
  <si>
    <t>VANECK VECTORS LONG/FLAT TRE</t>
  </si>
  <si>
    <t>LFUS</t>
  </si>
  <si>
    <t>LITTELFUSE INC</t>
  </si>
  <si>
    <t>LFVN</t>
  </si>
  <si>
    <t>LIFEVANTAGE CORP</t>
  </si>
  <si>
    <t>LGC</t>
  </si>
  <si>
    <t>LEGACY ACQUISITION CORP-CL A</t>
  </si>
  <si>
    <t>LGC+</t>
  </si>
  <si>
    <t>LGC=</t>
  </si>
  <si>
    <t>LEGACY ACQUISITION CORP</t>
  </si>
  <si>
    <t>LGF.A</t>
  </si>
  <si>
    <t>LIONS GATE ENTERTAINMENT-A</t>
  </si>
  <si>
    <t>LGF.B</t>
  </si>
  <si>
    <t>LIONS GATE ENTERTAINMENT-B</t>
  </si>
  <si>
    <t>LGH</t>
  </si>
  <si>
    <t>HCM DEFENDER 500 INDEX ETF</t>
  </si>
  <si>
    <t>LGHL</t>
  </si>
  <si>
    <t>LION GROUP HOLDING LTD-S ADR</t>
  </si>
  <si>
    <t>LGHLW</t>
  </si>
  <si>
    <t>LGI</t>
  </si>
  <si>
    <t>LAZARD GLOBAL TOT RT &amp; INC</t>
  </si>
  <si>
    <t>LGIH</t>
  </si>
  <si>
    <t>LGI HOMES INC</t>
  </si>
  <si>
    <t>LGL</t>
  </si>
  <si>
    <t>LGL GROUP INC/THE</t>
  </si>
  <si>
    <t>LGLV</t>
  </si>
  <si>
    <t>SPDR SSGA US LARGE CAP LOW V</t>
  </si>
  <si>
    <t>LGND</t>
  </si>
  <si>
    <t>LIGAND PHARMACEUTICALS</t>
  </si>
  <si>
    <t>LGOV</t>
  </si>
  <si>
    <t>FIRST TR LONG DURATION O-ETF</t>
  </si>
  <si>
    <t>LGVW</t>
  </si>
  <si>
    <t>LONGVIEW ACQUISITION CORP-A</t>
  </si>
  <si>
    <t>LGVW+</t>
  </si>
  <si>
    <t>LGVW=</t>
  </si>
  <si>
    <t>LONGVIEW ACQUISITION CORP</t>
  </si>
  <si>
    <t>LH</t>
  </si>
  <si>
    <t>LABORATORY CRP OF AMER HLDGS</t>
  </si>
  <si>
    <t>LHCG</t>
  </si>
  <si>
    <t>LHC GROUP INC</t>
  </si>
  <si>
    <t>LHX</t>
  </si>
  <si>
    <t>L3HARRIS TECHNOLOGIES INC</t>
  </si>
  <si>
    <t>LI</t>
  </si>
  <si>
    <t>LI AUTO INC - ADR</t>
  </si>
  <si>
    <t>LIFE</t>
  </si>
  <si>
    <t>ATYR PHARMA INC</t>
  </si>
  <si>
    <t>LII</t>
  </si>
  <si>
    <t>LENNOX INTERNATIONAL INC</t>
  </si>
  <si>
    <t>LILA</t>
  </si>
  <si>
    <t>LIBERTY LATIN AMERIC-CL A</t>
  </si>
  <si>
    <t>LILAK</t>
  </si>
  <si>
    <t>LIBERTY LATIN AMERIC-CL C</t>
  </si>
  <si>
    <t>LIN</t>
  </si>
  <si>
    <t>LINDE PLC</t>
  </si>
  <si>
    <t>LINC</t>
  </si>
  <si>
    <t>LINCOLN EDUCATIONAL SERVICES</t>
  </si>
  <si>
    <t>LIND</t>
  </si>
  <si>
    <t>LINDBLAD EXPEDITIONS HOLDING</t>
  </si>
  <si>
    <t>LINX</t>
  </si>
  <si>
    <t>LINX SA - ADR</t>
  </si>
  <si>
    <t>LIQT</t>
  </si>
  <si>
    <t>LIQTECH INTERNATIONAL INC</t>
  </si>
  <si>
    <t>LIT</t>
  </si>
  <si>
    <t>GLOBAL X LITHIUM &amp; BATTERY T</t>
  </si>
  <si>
    <t>LITB</t>
  </si>
  <si>
    <t>LIGHTINTHEBOX HOLDING-ADR</t>
  </si>
  <si>
    <t>LITE</t>
  </si>
  <si>
    <t>LUMENTUM HOLDINGS INC</t>
  </si>
  <si>
    <t>LIVE</t>
  </si>
  <si>
    <t>LIVE VENTURES INC</t>
  </si>
  <si>
    <t>LIVK</t>
  </si>
  <si>
    <t>LIV CAPITAL ACQUISITION CO-A</t>
  </si>
  <si>
    <t>LIVKU</t>
  </si>
  <si>
    <t>LIV CAPITAL ACQUISITION CORP</t>
  </si>
  <si>
    <t>LIVKW</t>
  </si>
  <si>
    <t>LIVN</t>
  </si>
  <si>
    <t>LIVANOVA PLC</t>
  </si>
  <si>
    <t>LIVX</t>
  </si>
  <si>
    <t>LIVEXLIVE MEDIA INC</t>
  </si>
  <si>
    <t>LIZI</t>
  </si>
  <si>
    <t>LIZHI INC</t>
  </si>
  <si>
    <t>LJPC</t>
  </si>
  <si>
    <t>LA JOLLA PHARMACEUTICAL CO</t>
  </si>
  <si>
    <t>LKCO</t>
  </si>
  <si>
    <t>LUOKUNG TECHNOLOGY CORP</t>
  </si>
  <si>
    <t>LKFN</t>
  </si>
  <si>
    <t>LAKELAND FINANCIAL CORP</t>
  </si>
  <si>
    <t>LKOR</t>
  </si>
  <si>
    <t>FLEXSHARES CREDIT-SCORED LON</t>
  </si>
  <si>
    <t>LKQ</t>
  </si>
  <si>
    <t>LKQ CORP</t>
  </si>
  <si>
    <t>LL</t>
  </si>
  <si>
    <t>LUMBER LIQUIDATORS HOLDINGS</t>
  </si>
  <si>
    <t>LLIT</t>
  </si>
  <si>
    <t>LIANLUO SMART LTD-A</t>
  </si>
  <si>
    <t>LLNW</t>
  </si>
  <si>
    <t>LIMELIGHT NETWORKS INC</t>
  </si>
  <si>
    <t>LLY</t>
  </si>
  <si>
    <t>ELI LILLY &amp; CO</t>
  </si>
  <si>
    <t>LMAT</t>
  </si>
  <si>
    <t>LEMAITRE VASCULAR INC</t>
  </si>
  <si>
    <t>LMB</t>
  </si>
  <si>
    <t>LIMBACH HOLDINGS INC</t>
  </si>
  <si>
    <t>LMBS</t>
  </si>
  <si>
    <t>FIRST TRUST LOW DURATION OPP</t>
  </si>
  <si>
    <t>LMFA</t>
  </si>
  <si>
    <t>LM FUNDING AMERICA INC</t>
  </si>
  <si>
    <t>LMFAW</t>
  </si>
  <si>
    <t>LMLB</t>
  </si>
  <si>
    <t>ETRACS MNTH PAY 2XL WF MLP-B</t>
  </si>
  <si>
    <t>LMND</t>
  </si>
  <si>
    <t>LEMONADE INC</t>
  </si>
  <si>
    <t>LMNL</t>
  </si>
  <si>
    <t>LIMINAL BIOSCIENCES INC</t>
  </si>
  <si>
    <t>LMNR</t>
  </si>
  <si>
    <t>LIMONEIRA CO</t>
  </si>
  <si>
    <t>LMNX</t>
  </si>
  <si>
    <t>LUMINEX CORP</t>
  </si>
  <si>
    <t>LMPX</t>
  </si>
  <si>
    <t>LMP AUTOMOTIVE HOLDINGS INC</t>
  </si>
  <si>
    <t>LMRK</t>
  </si>
  <si>
    <t>LANDMARK INFRASTRUCTURE PART</t>
  </si>
  <si>
    <t>LMRKN</t>
  </si>
  <si>
    <t>LMRKO</t>
  </si>
  <si>
    <t>LMRKP</t>
  </si>
  <si>
    <t>LMST</t>
  </si>
  <si>
    <t>LIMESTONE BANCORP INC</t>
  </si>
  <si>
    <t>LMT</t>
  </si>
  <si>
    <t>LOCKHEED MARTIN CORP</t>
  </si>
  <si>
    <t>LN</t>
  </si>
  <si>
    <t>LINE CORP-SPONSORED ADR</t>
  </si>
  <si>
    <t>LNC</t>
  </si>
  <si>
    <t>LINCOLN NATIONAL CORP</t>
  </si>
  <si>
    <t>LND</t>
  </si>
  <si>
    <t>BRASILAGRO-CIA BRA - SPN ADR</t>
  </si>
  <si>
    <t>LNDC</t>
  </si>
  <si>
    <t>LANDEC CORP</t>
  </si>
  <si>
    <t>LNG</t>
  </si>
  <si>
    <t>CHENIERE ENERGY INC</t>
  </si>
  <si>
    <t>LNGR</t>
  </si>
  <si>
    <t>GLOBAL X LONGEVITY THEMATIC</t>
  </si>
  <si>
    <t>LNN</t>
  </si>
  <si>
    <t>LINDSAY CORP</t>
  </si>
  <si>
    <t>LNT</t>
  </si>
  <si>
    <t>ALLIANT ENERGY CORP</t>
  </si>
  <si>
    <t>LNTH</t>
  </si>
  <si>
    <t>LANTHEUS HOLDINGS INC</t>
  </si>
  <si>
    <t>LOAC</t>
  </si>
  <si>
    <t>LONGEVITY ACQUISITION CORP</t>
  </si>
  <si>
    <t>LOACR</t>
  </si>
  <si>
    <t>LONGEVITY ACQUISITION CO-RTS</t>
  </si>
  <si>
    <t>LOACU</t>
  </si>
  <si>
    <t>LOACW</t>
  </si>
  <si>
    <t>LOAK</t>
  </si>
  <si>
    <t>LIVE OAK ACQUISITION CORP-A</t>
  </si>
  <si>
    <t>LOAK+</t>
  </si>
  <si>
    <t>LOAK=</t>
  </si>
  <si>
    <t>LIVE OAK ACQUISITION CORP</t>
  </si>
  <si>
    <t>LOAN</t>
  </si>
  <si>
    <t>MANHATTAN BRIDGE CAPITAL INC</t>
  </si>
  <si>
    <t>LOB</t>
  </si>
  <si>
    <t>LIVE OAK BANCSHARES INC</t>
  </si>
  <si>
    <t>LOCO</t>
  </si>
  <si>
    <t>EL POLLO LOCO HOLDINGS INC</t>
  </si>
  <si>
    <t>LODE</t>
  </si>
  <si>
    <t>COMSTOCK MINING INC</t>
  </si>
  <si>
    <t>LOGC</t>
  </si>
  <si>
    <t>LOGICBIO THERAPEUTICS INC</t>
  </si>
  <si>
    <t>LOGI</t>
  </si>
  <si>
    <t>LOGITECH INTERNATIONAL-REG</t>
  </si>
  <si>
    <t>LOMA</t>
  </si>
  <si>
    <t>LOMA NEGRA CIA IND-SPON ADR</t>
  </si>
  <si>
    <t>LONE</t>
  </si>
  <si>
    <t>LONESTAR RESOURCES US I-CL A</t>
  </si>
  <si>
    <t>LOOP</t>
  </si>
  <si>
    <t>LOOP INDUSTRIES INC</t>
  </si>
  <si>
    <t>LOPE</t>
  </si>
  <si>
    <t>GRAND CANYON EDUCATION INC</t>
  </si>
  <si>
    <t>LORL</t>
  </si>
  <si>
    <t>LORAL SPACE &amp; COMMUNICATIONS</t>
  </si>
  <si>
    <t>LOUP</t>
  </si>
  <si>
    <t>INNOVATOR LOUP FRONTIER TECH</t>
  </si>
  <si>
    <t>LOV</t>
  </si>
  <si>
    <t>SPARK NETWORKS SE-ADR</t>
  </si>
  <si>
    <t>LOVE</t>
  </si>
  <si>
    <t>LOVESAC CO/THE</t>
  </si>
  <si>
    <t>LOW</t>
  </si>
  <si>
    <t>LOWE'S COS INC</t>
  </si>
  <si>
    <t>LOWC</t>
  </si>
  <si>
    <t>SPDR MSCI ACWI LOW CARBON</t>
  </si>
  <si>
    <t>LPCN</t>
  </si>
  <si>
    <t>LIPOCINE INC</t>
  </si>
  <si>
    <t>LPG</t>
  </si>
  <si>
    <t>DORIAN LPG LTD</t>
  </si>
  <si>
    <t>LPI</t>
  </si>
  <si>
    <t>LAREDO PETROLEUM INC</t>
  </si>
  <si>
    <t>LPL</t>
  </si>
  <si>
    <t>LG DISPLAY CO LTD-ADR</t>
  </si>
  <si>
    <t>LPLA</t>
  </si>
  <si>
    <t>LPL FINANCIAL HOLDINGS INC</t>
  </si>
  <si>
    <t>LPRO</t>
  </si>
  <si>
    <t>OPEN LENDING CORP -  CL A</t>
  </si>
  <si>
    <t>LPSN</t>
  </si>
  <si>
    <t>LIVEPERSON INC</t>
  </si>
  <si>
    <t>LPTH</t>
  </si>
  <si>
    <t>LIGHTPATH TECHNOLOGIES INC-A</t>
  </si>
  <si>
    <t>LPTX</t>
  </si>
  <si>
    <t>LEAP THERAPEUTICS INC</t>
  </si>
  <si>
    <t>LPX</t>
  </si>
  <si>
    <t>LOUISIANA-PACIFIC CORP</t>
  </si>
  <si>
    <t>LQD</t>
  </si>
  <si>
    <t>ISHARES IBOXX INVESTMENT GRA</t>
  </si>
  <si>
    <t>LQDA</t>
  </si>
  <si>
    <t>LIQUIDIA TECHNOLOGIES INC</t>
  </si>
  <si>
    <t>LQDH</t>
  </si>
  <si>
    <t>ISHARES INT HEDG CORP BD ETF</t>
  </si>
  <si>
    <t>LQDI</t>
  </si>
  <si>
    <t>ISHARES INFLATION HEDGED COR</t>
  </si>
  <si>
    <t>LQDT</t>
  </si>
  <si>
    <t>LIQUIDITY SERVICES INC</t>
  </si>
  <si>
    <t>LRCX</t>
  </si>
  <si>
    <t>LAM RESEARCH CORP</t>
  </si>
  <si>
    <t>LRGE</t>
  </si>
  <si>
    <t>CLRBRDG LRG CAP GWTH ESG ETF</t>
  </si>
  <si>
    <t>LRGF</t>
  </si>
  <si>
    <t>ISHARES MSCI USA MULTIFACTOR</t>
  </si>
  <si>
    <t>LRMR</t>
  </si>
  <si>
    <t>LARIMAR THERAPEUTICS INC</t>
  </si>
  <si>
    <t>LRN</t>
  </si>
  <si>
    <t>K12 INC</t>
  </si>
  <si>
    <t>LRNZ</t>
  </si>
  <si>
    <t>TRUESHARES TECHNOLOGY AI &amp; D</t>
  </si>
  <si>
    <t>LSAC</t>
  </si>
  <si>
    <t>LIFESCI ACQUISITION CORP</t>
  </si>
  <si>
    <t>LSACU</t>
  </si>
  <si>
    <t>LSACW</t>
  </si>
  <si>
    <t>LSAF</t>
  </si>
  <si>
    <t>LEADERSHARES ALPHAFACTOR US</t>
  </si>
  <si>
    <t>LSBK</t>
  </si>
  <si>
    <t>LAKE SHORE BANCORP INC</t>
  </si>
  <si>
    <t>LSCC</t>
  </si>
  <si>
    <t>LATTICE SEMICONDUCTOR CORP</t>
  </si>
  <si>
    <t>LSI</t>
  </si>
  <si>
    <t>LIFE STORAGE INC</t>
  </si>
  <si>
    <t>LSLT</t>
  </si>
  <si>
    <t>SALT LOW TRUBETA US MARKET E</t>
  </si>
  <si>
    <t>LSST</t>
  </si>
  <si>
    <t>NATIXIS LOOMIS SAYLES SHRT D</t>
  </si>
  <si>
    <t>LSTR</t>
  </si>
  <si>
    <t>LANDSTAR SYSTEM INC</t>
  </si>
  <si>
    <t>LSXMA</t>
  </si>
  <si>
    <t>LIBERTY MEDIA COR-SIRIUSXM A</t>
  </si>
  <si>
    <t>LSXMB</t>
  </si>
  <si>
    <t>LIBERTY MEDIA COR-SIRIUSXM B</t>
  </si>
  <si>
    <t>LSXMK</t>
  </si>
  <si>
    <t>LIBERTY MEDIA COR-SIRIUSXM C</t>
  </si>
  <si>
    <t>LTBR</t>
  </si>
  <si>
    <t>LIGHTBRIDGE CORP</t>
  </si>
  <si>
    <t>LTC</t>
  </si>
  <si>
    <t>LTC PROPERTIES INC</t>
  </si>
  <si>
    <t>LTHM</t>
  </si>
  <si>
    <t>LIVENT CORP</t>
  </si>
  <si>
    <t>LTL</t>
  </si>
  <si>
    <t>PROSHARES ULTRA TELECOMMUNIC</t>
  </si>
  <si>
    <t>LTPZ</t>
  </si>
  <si>
    <t>PIMCO 15+ YR US TIPS INDX</t>
  </si>
  <si>
    <t>LTRN</t>
  </si>
  <si>
    <t>LANTERN PHARMA INC</t>
  </si>
  <si>
    <t>LTRPA</t>
  </si>
  <si>
    <t>LIBERTY TRIPADVISOR HDG-A</t>
  </si>
  <si>
    <t>LTRPB</t>
  </si>
  <si>
    <t>LIBERTY TRIPADVISOR HDG-B</t>
  </si>
  <si>
    <t>LTRX</t>
  </si>
  <si>
    <t>LANTRONIX INC</t>
  </si>
  <si>
    <t>LUB</t>
  </si>
  <si>
    <t>LUBY'S INC</t>
  </si>
  <si>
    <t>LULU</t>
  </si>
  <si>
    <t>LULULEMON ATHLETICA INC</t>
  </si>
  <si>
    <t>LUMO</t>
  </si>
  <si>
    <t>LUMOS PHARMA INC</t>
  </si>
  <si>
    <t>LUNA</t>
  </si>
  <si>
    <t>LUNA INNOVATIONS INC</t>
  </si>
  <si>
    <t>LUV</t>
  </si>
  <si>
    <t>SOUTHWEST AIRLINES CO</t>
  </si>
  <si>
    <t>LVGO</t>
  </si>
  <si>
    <t>LIVONGO HEALTH INC</t>
  </si>
  <si>
    <t>LVHD</t>
  </si>
  <si>
    <t>LEGG MASON LO VOL HI DIV ETF</t>
  </si>
  <si>
    <t>LVHI</t>
  </si>
  <si>
    <t>LEGG MASON INTL LOW VOL DIV</t>
  </si>
  <si>
    <t>LVS</t>
  </si>
  <si>
    <t>LAS VEGAS SANDS CORP</t>
  </si>
  <si>
    <t>LW</t>
  </si>
  <si>
    <t>LAMB WESTON HOLDINGS INC</t>
  </si>
  <si>
    <t>LWAY</t>
  </si>
  <si>
    <t>LIFEWAY FOODS INC</t>
  </si>
  <si>
    <t>LX</t>
  </si>
  <si>
    <t>LEXINFINTECH HOLDINGS L-ADR</t>
  </si>
  <si>
    <t>LXFR</t>
  </si>
  <si>
    <t>LUXFER HOLDINGS PLC</t>
  </si>
  <si>
    <t>LXP</t>
  </si>
  <si>
    <t>LEXINGTON REALTY TRUST</t>
  </si>
  <si>
    <t>LXP-C</t>
  </si>
  <si>
    <t>LXRX</t>
  </si>
  <si>
    <t>LEXICON PHARMACEUTICALS INC</t>
  </si>
  <si>
    <t>LXU</t>
  </si>
  <si>
    <t>LSB INDUSTRIES INC</t>
  </si>
  <si>
    <t>LYB</t>
  </si>
  <si>
    <t>LYONDELLBASELL INDU-CL A</t>
  </si>
  <si>
    <t>LYFT</t>
  </si>
  <si>
    <t>LYFT INC-A</t>
  </si>
  <si>
    <t>LYG</t>
  </si>
  <si>
    <t>LLOYDS BANKING GROUP PLC-ADR</t>
  </si>
  <si>
    <t>LYL</t>
  </si>
  <si>
    <t>DRAGON VICTORY INTERNATIONAL</t>
  </si>
  <si>
    <t>LYRA</t>
  </si>
  <si>
    <t>LYRA THERAPEUTICS INC</t>
  </si>
  <si>
    <t>LYTS</t>
  </si>
  <si>
    <t>LSI INDUSTRIES INC</t>
  </si>
  <si>
    <t>LYV</t>
  </si>
  <si>
    <t>LIVE NATION ENTERTAINMENT IN</t>
  </si>
  <si>
    <t>LZB</t>
  </si>
  <si>
    <t>LA-Z-BOY INC</t>
  </si>
  <si>
    <t>M</t>
  </si>
  <si>
    <t>MACY'S INC</t>
  </si>
  <si>
    <t>MA</t>
  </si>
  <si>
    <t>MASTERCARD INC - A</t>
  </si>
  <si>
    <t>MAA</t>
  </si>
  <si>
    <t>MID-AMERICA APARTMENT COMM</t>
  </si>
  <si>
    <t>MAA-I</t>
  </si>
  <si>
    <t>MAAX</t>
  </si>
  <si>
    <t>VANECK VECTORS MUNI ALLOCATI</t>
  </si>
  <si>
    <t>MAC</t>
  </si>
  <si>
    <t>MACERICH CO/THE</t>
  </si>
  <si>
    <t>MACK</t>
  </si>
  <si>
    <t>MERRIMACK PHARMACEUTICALS IN</t>
  </si>
  <si>
    <t>MAG</t>
  </si>
  <si>
    <t>MAG SILVER CORP</t>
  </si>
  <si>
    <t>MAGA</t>
  </si>
  <si>
    <t>POINT BRIDGE GOP STOCK T ETF</t>
  </si>
  <si>
    <t>MAGS</t>
  </si>
  <si>
    <t>MAGAL SECURITY SYS LTD</t>
  </si>
  <si>
    <t>MAIN</t>
  </si>
  <si>
    <t>MAIN STREET CAPITAL CORP</t>
  </si>
  <si>
    <t>MAN</t>
  </si>
  <si>
    <t>MANPOWERGROUP INC</t>
  </si>
  <si>
    <t>MANH</t>
  </si>
  <si>
    <t>MANHATTAN ASSOCIATES INC</t>
  </si>
  <si>
    <t>MANT</t>
  </si>
  <si>
    <t>MANTECH INTERNATIONAL CORP-A</t>
  </si>
  <si>
    <t>MANU</t>
  </si>
  <si>
    <t>MANCHESTER UNITED PLC-CL A</t>
  </si>
  <si>
    <t>MAR</t>
  </si>
  <si>
    <t>MARRIOTT INTERNATIONAL -CL A</t>
  </si>
  <si>
    <t>MARA</t>
  </si>
  <si>
    <t>MARATHON PATENT GROUP INC</t>
  </si>
  <si>
    <t>MARB</t>
  </si>
  <si>
    <t>FIRST TRUST MERGER ARBITRAGE</t>
  </si>
  <si>
    <t>MARK</t>
  </si>
  <si>
    <t>REMARK HOLDINGS INC</t>
  </si>
  <si>
    <t>MARPS</t>
  </si>
  <si>
    <t>MARINE PETROLEUM TRUST</t>
  </si>
  <si>
    <t>MAS</t>
  </si>
  <si>
    <t>MASCO CORP</t>
  </si>
  <si>
    <t>MASI</t>
  </si>
  <si>
    <t>MASIMO CORP</t>
  </si>
  <si>
    <t>MAT</t>
  </si>
  <si>
    <t>MATTEL INC</t>
  </si>
  <si>
    <t>MATW</t>
  </si>
  <si>
    <t>MATTHEWS INTL CORP-CLASS A</t>
  </si>
  <si>
    <t>MATX</t>
  </si>
  <si>
    <t>MATSON INC</t>
  </si>
  <si>
    <t>MAV</t>
  </si>
  <si>
    <t>PIONEER MUNI HI INC ADV TRST</t>
  </si>
  <si>
    <t>MAXN</t>
  </si>
  <si>
    <t>MAXEON SOLAR TECHNOLOGIE</t>
  </si>
  <si>
    <t>MAXR</t>
  </si>
  <si>
    <t>MAXAR TECHNOLOGIES INC</t>
  </si>
  <si>
    <t>MAYS</t>
  </si>
  <si>
    <t>MAYS (J.W.) INC</t>
  </si>
  <si>
    <t>MBB</t>
  </si>
  <si>
    <t>ISHARES MBS ETF</t>
  </si>
  <si>
    <t>MBCN</t>
  </si>
  <si>
    <t>MIDDLEFIELD BANC CORP</t>
  </si>
  <si>
    <t>MBI</t>
  </si>
  <si>
    <t>MBIA INC</t>
  </si>
  <si>
    <t>MBII</t>
  </si>
  <si>
    <t>MARRONE BIO INNOVATIONS INC</t>
  </si>
  <si>
    <t>MBIN</t>
  </si>
  <si>
    <t>MERCHANTS BANCORP/IN</t>
  </si>
  <si>
    <t>MBINO</t>
  </si>
  <si>
    <t>MBINP</t>
  </si>
  <si>
    <t>MBIO</t>
  </si>
  <si>
    <t>MUSTANG BIO INC</t>
  </si>
  <si>
    <t>MBNKP</t>
  </si>
  <si>
    <t>MBOT</t>
  </si>
  <si>
    <t>MICROBOT MEDICAL INC</t>
  </si>
  <si>
    <t>MBRX</t>
  </si>
  <si>
    <t>MOLECULIN BIOTECH INC</t>
  </si>
  <si>
    <t>MBSD</t>
  </si>
  <si>
    <t>FLEXSHARES DISCIPLINED DURAT</t>
  </si>
  <si>
    <t>MBT</t>
  </si>
  <si>
    <t>MOBILE TELESYSTEMS-SP ADR</t>
  </si>
  <si>
    <t>MBUU</t>
  </si>
  <si>
    <t>MALIBU BOATS INC - A</t>
  </si>
  <si>
    <t>MBWM</t>
  </si>
  <si>
    <t>MERCANTILE BANK CORP</t>
  </si>
  <si>
    <t>MC</t>
  </si>
  <si>
    <t>MOELIS &amp; CO - CLASS A</t>
  </si>
  <si>
    <t>MCA</t>
  </si>
  <si>
    <t>BLACKROCK MUNIYIELD CA QUALI</t>
  </si>
  <si>
    <t>MCAC</t>
  </si>
  <si>
    <t>MOUNTAIN CREST ACQUISITION C</t>
  </si>
  <si>
    <t>MCACR</t>
  </si>
  <si>
    <t>MOUNTAIN CREST ACQUISITIO-RT</t>
  </si>
  <si>
    <t>MCACU</t>
  </si>
  <si>
    <t>MCB</t>
  </si>
  <si>
    <t>METROPOLITAN BANK HOLDING CO</t>
  </si>
  <si>
    <t>MCBC</t>
  </si>
  <si>
    <t>MACATAWA BANK CORP</t>
  </si>
  <si>
    <t>MCBS</t>
  </si>
  <si>
    <t>METROCITY BANKSHARES INC</t>
  </si>
  <si>
    <t>MCC</t>
  </si>
  <si>
    <t>MEDLEY CAPITAL CORP</t>
  </si>
  <si>
    <t>MCD</t>
  </si>
  <si>
    <t>MCDONALD'S CORP</t>
  </si>
  <si>
    <t>MCEF</t>
  </si>
  <si>
    <t>FIRST TRUST MUNICIPAL CEF IN</t>
  </si>
  <si>
    <t>MCEP</t>
  </si>
  <si>
    <t>MID-CON ENERGY PARTNERS LP</t>
  </si>
  <si>
    <t>MCF</t>
  </si>
  <si>
    <t>CONTANGO OIL &amp; GAS</t>
  </si>
  <si>
    <t>MCFT</t>
  </si>
  <si>
    <t>MASTERCRAFT BOAT HOLDINGS IN</t>
  </si>
  <si>
    <t>MCHI</t>
  </si>
  <si>
    <t>ISHARES MSCI CHINA ETF</t>
  </si>
  <si>
    <t>MCHP</t>
  </si>
  <si>
    <t>MICROCHIP TECHNOLOGY INC</t>
  </si>
  <si>
    <t>MCHX</t>
  </si>
  <si>
    <t>MARCHEX INC-CLASS B</t>
  </si>
  <si>
    <t>MCI</t>
  </si>
  <si>
    <t>BARINGS CORPORATE INVESTORS</t>
  </si>
  <si>
    <t>MCK</t>
  </si>
  <si>
    <t>MCKESSON CORP</t>
  </si>
  <si>
    <t>MCMJ</t>
  </si>
  <si>
    <t>MERIDA MERGER CORP I</t>
  </si>
  <si>
    <t>MCMJW</t>
  </si>
  <si>
    <t>MCN</t>
  </si>
  <si>
    <t>MADISON COVERED CALL &amp; EQUIT</t>
  </si>
  <si>
    <t>MCO</t>
  </si>
  <si>
    <t>MOODY'S CORP</t>
  </si>
  <si>
    <t>MCR</t>
  </si>
  <si>
    <t>MFS CHARTER INCOME TRUST</t>
  </si>
  <si>
    <t>MCRB</t>
  </si>
  <si>
    <t>SERES THERAPEUTICS INC</t>
  </si>
  <si>
    <t>MCRI</t>
  </si>
  <si>
    <t>MONARCH CASINO &amp; RESORT INC</t>
  </si>
  <si>
    <t>MCRO</t>
  </si>
  <si>
    <t>IQ HEDGE MACRO TRACKER ETF</t>
  </si>
  <si>
    <t>MCS</t>
  </si>
  <si>
    <t>MARCUS CORPORATION</t>
  </si>
  <si>
    <t>MCV</t>
  </si>
  <si>
    <t>MCX</t>
  </si>
  <si>
    <t>MCY</t>
  </si>
  <si>
    <t>MERCURY GENERAL CORP</t>
  </si>
  <si>
    <t>MD</t>
  </si>
  <si>
    <t>MEDNAX INC</t>
  </si>
  <si>
    <t>MDB</t>
  </si>
  <si>
    <t>MONGODB INC</t>
  </si>
  <si>
    <t>MDC</t>
  </si>
  <si>
    <t>MDC HOLDINGS INC</t>
  </si>
  <si>
    <t>MDCA</t>
  </si>
  <si>
    <t>MDC PARTNERS INC-A</t>
  </si>
  <si>
    <t>MDGL</t>
  </si>
  <si>
    <t>MADRIGAL PHARMACEUTICALS INC</t>
  </si>
  <si>
    <t>MDGS</t>
  </si>
  <si>
    <t>MEDIGUS LTD - SPON ADR</t>
  </si>
  <si>
    <t>MDGSW</t>
  </si>
  <si>
    <t>MDIA</t>
  </si>
  <si>
    <t>MEDIACO HOLDING INC-CL A-WI</t>
  </si>
  <si>
    <t>MDIV</t>
  </si>
  <si>
    <t>FT MULTI-ASSET DIVERS INC</t>
  </si>
  <si>
    <t>MDJH</t>
  </si>
  <si>
    <t>MDJM LTD</t>
  </si>
  <si>
    <t>MDLA</t>
  </si>
  <si>
    <t>MEDALLIA INC</t>
  </si>
  <si>
    <t>MDLQ</t>
  </si>
  <si>
    <t>MDLX</t>
  </si>
  <si>
    <t>MDLY</t>
  </si>
  <si>
    <t>MEDLEY MANAGEMENT INC - A</t>
  </si>
  <si>
    <t>MDLZ</t>
  </si>
  <si>
    <t>MONDELEZ INTERNATIONAL INC-A</t>
  </si>
  <si>
    <t>MDNA</t>
  </si>
  <si>
    <t>MEDICENNA THERAPEUTICS CORP</t>
  </si>
  <si>
    <t>MDP</t>
  </si>
  <si>
    <t>MEREDITH CORP</t>
  </si>
  <si>
    <t>MDRR</t>
  </si>
  <si>
    <t>MEDALIST DIVERSIFIED REIT IN</t>
  </si>
  <si>
    <t>MDRRP</t>
  </si>
  <si>
    <t>MDRX</t>
  </si>
  <si>
    <t>ALLSCRIPTS HEALTHCARE SOLUTI</t>
  </si>
  <si>
    <t>MDT</t>
  </si>
  <si>
    <t>MEDTRONIC PLC</t>
  </si>
  <si>
    <t>MDU</t>
  </si>
  <si>
    <t>MDU RESOURCES GROUP INC</t>
  </si>
  <si>
    <t>MDWD</t>
  </si>
  <si>
    <t>MEDIWOUND LTD</t>
  </si>
  <si>
    <t>MDY</t>
  </si>
  <si>
    <t>SPDR S&amp;P MIDCAP 400 ETF TRST</t>
  </si>
  <si>
    <t>MDYG</t>
  </si>
  <si>
    <t>SPDR S&amp;P 400 MID CAPGROWTH E</t>
  </si>
  <si>
    <t>MDYV</t>
  </si>
  <si>
    <t>SPDR S&amp;P 400 MID CAP VALUE E</t>
  </si>
  <si>
    <t>MEAR</t>
  </si>
  <si>
    <t>ISHARES SHRT MATURITY MUNI</t>
  </si>
  <si>
    <t>MEC</t>
  </si>
  <si>
    <t>MAYVILLE ENGINEERING CO INC</t>
  </si>
  <si>
    <t>MED</t>
  </si>
  <si>
    <t>MEDIFAST INC</t>
  </si>
  <si>
    <t>MEDP</t>
  </si>
  <si>
    <t>MEDPACE HOLDINGS INC</t>
  </si>
  <si>
    <t>MEDS</t>
  </si>
  <si>
    <t>TRXADE GROUP INC</t>
  </si>
  <si>
    <t>MEG</t>
  </si>
  <si>
    <t>MONTROSE ENVIRONMENTAL GROUP</t>
  </si>
  <si>
    <t>MEI</t>
  </si>
  <si>
    <t>METHODE ELECTRONICS INC</t>
  </si>
  <si>
    <t>MEIP</t>
  </si>
  <si>
    <t>MEI PHARMA INC</t>
  </si>
  <si>
    <t>MELI</t>
  </si>
  <si>
    <t>MERCADOLIBRE INC</t>
  </si>
  <si>
    <t>MEN</t>
  </si>
  <si>
    <t>BLACKROCK MUNIENHANCED FUND</t>
  </si>
  <si>
    <t>MEOH</t>
  </si>
  <si>
    <t>METHANEX CORP</t>
  </si>
  <si>
    <t>MER-K</t>
  </si>
  <si>
    <t>MERC</t>
  </si>
  <si>
    <t>MERCER INTERNATIONAL INC</t>
  </si>
  <si>
    <t>MESA</t>
  </si>
  <si>
    <t>MESA AIR GROUP INC</t>
  </si>
  <si>
    <t>MESO</t>
  </si>
  <si>
    <t>MESOBLAST LTD- SPON ADR</t>
  </si>
  <si>
    <t>MET</t>
  </si>
  <si>
    <t>METLIFE INC</t>
  </si>
  <si>
    <t>MET-A</t>
  </si>
  <si>
    <t>MET-E</t>
  </si>
  <si>
    <t>MET-F</t>
  </si>
  <si>
    <t>METC</t>
  </si>
  <si>
    <t>RAMACO RESOURCES INC</t>
  </si>
  <si>
    <t>METX</t>
  </si>
  <si>
    <t>METEN EDTECHX EDUCATION GROU</t>
  </si>
  <si>
    <t>METXW</t>
  </si>
  <si>
    <t>MEXX</t>
  </si>
  <si>
    <t>DIREXION DLY MEXICO BULL 3X</t>
  </si>
  <si>
    <t>MFA</t>
  </si>
  <si>
    <t>MFA FINANCIAL INC</t>
  </si>
  <si>
    <t>MFA-B</t>
  </si>
  <si>
    <t>MFA-C</t>
  </si>
  <si>
    <t>MFAC</t>
  </si>
  <si>
    <t>MEGALITH FINANCIAL ACQUISI-A</t>
  </si>
  <si>
    <t>MFAC+</t>
  </si>
  <si>
    <t>MFAC=</t>
  </si>
  <si>
    <t>MEGALITH FINANCIAL ACQUISITI</t>
  </si>
  <si>
    <t>MFC</t>
  </si>
  <si>
    <t>MANULIFE FINANCIAL CORP</t>
  </si>
  <si>
    <t>MFD</t>
  </si>
  <si>
    <t>MACQUARIE/FT GL INT/UT DV IN</t>
  </si>
  <si>
    <t>MFDX</t>
  </si>
  <si>
    <t>PIMCO RAFI DYNAMIC MULTI-FAC</t>
  </si>
  <si>
    <t>MFEM</t>
  </si>
  <si>
    <t>MFG</t>
  </si>
  <si>
    <t>MIZUHO FINANCIAL GROUP-ADR</t>
  </si>
  <si>
    <t>MFGP</t>
  </si>
  <si>
    <t>MICRO FOCUS INTL-SPN ADR</t>
  </si>
  <si>
    <t>MFH</t>
  </si>
  <si>
    <t>MERCURITY FINTECH HOLDING IN</t>
  </si>
  <si>
    <t>MFIN</t>
  </si>
  <si>
    <t>MEDALLION FINANCIAL CORP</t>
  </si>
  <si>
    <t>MFINL</t>
  </si>
  <si>
    <t>MFL</t>
  </si>
  <si>
    <t>BLACKROCK MUNIHOLDINGS QUALI</t>
  </si>
  <si>
    <t>MFM</t>
  </si>
  <si>
    <t>MFS MUNICIPAL INCOME TRUST</t>
  </si>
  <si>
    <t>MFMS</t>
  </si>
  <si>
    <t>MFAM SMALL-CAP GROWTH ETF</t>
  </si>
  <si>
    <t>MFNC</t>
  </si>
  <si>
    <t>MACKINAC FINANCIAL CORP</t>
  </si>
  <si>
    <t>MFO</t>
  </si>
  <si>
    <t>MFT</t>
  </si>
  <si>
    <t>BLACKROCK MUNIYIELD QUALITY</t>
  </si>
  <si>
    <t>MFUS</t>
  </si>
  <si>
    <t>MFV</t>
  </si>
  <si>
    <t>MFS SPECIAL VALUE TRUST</t>
  </si>
  <si>
    <t>MG</t>
  </si>
  <si>
    <t>MISTRAS GROUP INC</t>
  </si>
  <si>
    <t>MGA</t>
  </si>
  <si>
    <t>MAGNA INTERNATIONAL INC</t>
  </si>
  <si>
    <t>MGC</t>
  </si>
  <si>
    <t>VANGUARD MEGA CAP ETF</t>
  </si>
  <si>
    <t>MGEE</t>
  </si>
  <si>
    <t>MGE ENERGY INC</t>
  </si>
  <si>
    <t>MGEN</t>
  </si>
  <si>
    <t>MIRAGEN THERAPEUTICS INC</t>
  </si>
  <si>
    <t>MGF</t>
  </si>
  <si>
    <t>MFS GOVT MARKETS INC TRUST</t>
  </si>
  <si>
    <t>MGI</t>
  </si>
  <si>
    <t>MONEYGRAM INTERNATIONAL INC</t>
  </si>
  <si>
    <t>MGIC</t>
  </si>
  <si>
    <t>MAGIC SOFTWARE ENTERPRISES</t>
  </si>
  <si>
    <t>MGK</t>
  </si>
  <si>
    <t>VANGUARD MEGA CAP GROWTH ETF</t>
  </si>
  <si>
    <t>MGLN</t>
  </si>
  <si>
    <t>MAGELLAN HEALTH INC</t>
  </si>
  <si>
    <t>MGM</t>
  </si>
  <si>
    <t>MGM RESORTS INTERNATIONAL</t>
  </si>
  <si>
    <t>MGNI</t>
  </si>
  <si>
    <t>MAGNITE INC</t>
  </si>
  <si>
    <t>MGNX</t>
  </si>
  <si>
    <t>MACROGENICS INC</t>
  </si>
  <si>
    <t>MGP</t>
  </si>
  <si>
    <t>MGM GROWTH PROPERTIES LLC-A</t>
  </si>
  <si>
    <t>MGPI</t>
  </si>
  <si>
    <t>MGP INGREDIENTS INC</t>
  </si>
  <si>
    <t>MGR</t>
  </si>
  <si>
    <t>MGRC</t>
  </si>
  <si>
    <t>MCGRATH RENTCORP</t>
  </si>
  <si>
    <t>MGTA</t>
  </si>
  <si>
    <t>MAGENTA THERAPEUTICS INC</t>
  </si>
  <si>
    <t>MGTX</t>
  </si>
  <si>
    <t>MEIRAGTX HOLDINGS PLC</t>
  </si>
  <si>
    <t>MGU</t>
  </si>
  <si>
    <t>MACQUARIE GLOBAL INFR TOT RT</t>
  </si>
  <si>
    <t>MGV</t>
  </si>
  <si>
    <t>VANGUARD MEGA CAP VALUE ETF</t>
  </si>
  <si>
    <t>MGY</t>
  </si>
  <si>
    <t>MAGNOLIA OIL &amp; GAS CORP - A</t>
  </si>
  <si>
    <t>MGYR</t>
  </si>
  <si>
    <t>MAGYAR BANCORP INC</t>
  </si>
  <si>
    <t>MH-A</t>
  </si>
  <si>
    <t>MH-C</t>
  </si>
  <si>
    <t>MH-D</t>
  </si>
  <si>
    <t>MHD</t>
  </si>
  <si>
    <t>BLACKROCK MUNIHOLDINGS FUND</t>
  </si>
  <si>
    <t>MHE</t>
  </si>
  <si>
    <t>BLACKROCK MASS TAX EMEMPT</t>
  </si>
  <si>
    <t>MHF</t>
  </si>
  <si>
    <t>WESTERN ASSET MUNICIPAL HIGH</t>
  </si>
  <si>
    <t>MHH</t>
  </si>
  <si>
    <t>MASTECH DIGITAL INC</t>
  </si>
  <si>
    <t>MHI</t>
  </si>
  <si>
    <t>PIONEER MUNI HI INCOME TRUST</t>
  </si>
  <si>
    <t>MHK</t>
  </si>
  <si>
    <t>MOHAWK INDUSTRIES INC</t>
  </si>
  <si>
    <t>MHLA</t>
  </si>
  <si>
    <t>MHLD</t>
  </si>
  <si>
    <t>MAIDEN HOLDINGS LTD</t>
  </si>
  <si>
    <t>MHN</t>
  </si>
  <si>
    <t>BLACKROCK MUNIHOLDINGS NY QU</t>
  </si>
  <si>
    <t>MHNC</t>
  </si>
  <si>
    <t>MHO</t>
  </si>
  <si>
    <t>M/I HOMES INC</t>
  </si>
  <si>
    <t>MIC</t>
  </si>
  <si>
    <t>MACQUARIE INFRASTRUCTURE COR</t>
  </si>
  <si>
    <t>MICT</t>
  </si>
  <si>
    <t>MICT INC</t>
  </si>
  <si>
    <t>MID</t>
  </si>
  <si>
    <t>AMERICAN CENTURY MID CAP GRO</t>
  </si>
  <si>
    <t>MIDD</t>
  </si>
  <si>
    <t>MIDDLEBY CORP</t>
  </si>
  <si>
    <t>MIDF</t>
  </si>
  <si>
    <t>ISHARES MSCI USA MID-CAP MUL</t>
  </si>
  <si>
    <t>MIDU</t>
  </si>
  <si>
    <t>DIREXION DLY MID CAP BULL 3X</t>
  </si>
  <si>
    <t>MIE</t>
  </si>
  <si>
    <t>COHEN &amp; STEERS MLP INCOME AN</t>
  </si>
  <si>
    <t>MIK</t>
  </si>
  <si>
    <t>MICHAELS COS INC/THE</t>
  </si>
  <si>
    <t>MILN</t>
  </si>
  <si>
    <t>GLOBAL X MILLENNIALS THEMATI</t>
  </si>
  <si>
    <t>MIME</t>
  </si>
  <si>
    <t>MIMECAST LTD</t>
  </si>
  <si>
    <t>MIN</t>
  </si>
  <si>
    <t>MFS INTERMEDIATE INC TRUST</t>
  </si>
  <si>
    <t>MINC</t>
  </si>
  <si>
    <t>ADVSHRS NEWFLEET MULTSEC INC</t>
  </si>
  <si>
    <t>MIND</t>
  </si>
  <si>
    <t>MIND TECHNOLOGY INC</t>
  </si>
  <si>
    <t>MINDP</t>
  </si>
  <si>
    <t>MINT</t>
  </si>
  <si>
    <t>PIMCO ENHANCED SHORT MATURIT</t>
  </si>
  <si>
    <t>MIRM</t>
  </si>
  <si>
    <t>MIRUM PHARMACEUTICALS INC</t>
  </si>
  <si>
    <t>MIST</t>
  </si>
  <si>
    <t>MILESTONE PHARMACEUTICALS IN</t>
  </si>
  <si>
    <t>MITK</t>
  </si>
  <si>
    <t>MITEK SYSTEMS INC</t>
  </si>
  <si>
    <t>MITO</t>
  </si>
  <si>
    <t>STEALTH BIOTHERAPEUTICS CORP</t>
  </si>
  <si>
    <t>MITT</t>
  </si>
  <si>
    <t>AG MORTGAGE INVESTMENT TRUST</t>
  </si>
  <si>
    <t>MITT-A</t>
  </si>
  <si>
    <t>MITT-B</t>
  </si>
  <si>
    <t>MITT-C</t>
  </si>
  <si>
    <t>MIXT</t>
  </si>
  <si>
    <t>MIX TELEMATICS LTD-SP ADR</t>
  </si>
  <si>
    <t>MIY</t>
  </si>
  <si>
    <t>BLACKROCK MUNIYIELD MI QUALI</t>
  </si>
  <si>
    <t>MJ</t>
  </si>
  <si>
    <t>ETFMG ALTERNATIVE HARVEST</t>
  </si>
  <si>
    <t>MJCO</t>
  </si>
  <si>
    <t>MAJESCO</t>
  </si>
  <si>
    <t>MJJ</t>
  </si>
  <si>
    <t>MICROSECTORS CANNABIS ETN</t>
  </si>
  <si>
    <t>MJO</t>
  </si>
  <si>
    <t>MICROSECTORS CANNABIS 2X LEV</t>
  </si>
  <si>
    <t>MKC</t>
  </si>
  <si>
    <t>MCCORMICK &amp; CO-NON VTG SHRS</t>
  </si>
  <si>
    <t>MKC.V</t>
  </si>
  <si>
    <t>MCCORMICK &amp; CO INC VTG COM</t>
  </si>
  <si>
    <t>MKD</t>
  </si>
  <si>
    <t>MOLECULAR DATA INC - ADR</t>
  </si>
  <si>
    <t>MKGI</t>
  </si>
  <si>
    <t>MONAKER GROUP INC</t>
  </si>
  <si>
    <t>MKL</t>
  </si>
  <si>
    <t>MARKEL CORP</t>
  </si>
  <si>
    <t>MKSI</t>
  </si>
  <si>
    <t>MKS INSTRUMENTS INC</t>
  </si>
  <si>
    <t>MKTX</t>
  </si>
  <si>
    <t>MARKETAXESS HOLDINGS INC</t>
  </si>
  <si>
    <t>MLAB</t>
  </si>
  <si>
    <t>MESA LABORATORIES INC</t>
  </si>
  <si>
    <t>MLAC</t>
  </si>
  <si>
    <t>MALACCA STRAITS ACQUISI-CL A</t>
  </si>
  <si>
    <t>MLACU</t>
  </si>
  <si>
    <t>MALACCA STRAITS ACQUISITION</t>
  </si>
  <si>
    <t>MLACW</t>
  </si>
  <si>
    <t>MLCO</t>
  </si>
  <si>
    <t>MELCO RESORTS &amp; ENTERT-ADR</t>
  </si>
  <si>
    <t>MLHR</t>
  </si>
  <si>
    <t>HERMAN MILLER INC</t>
  </si>
  <si>
    <t>MLI</t>
  </si>
  <si>
    <t>MUELLER INDUSTRIES INC</t>
  </si>
  <si>
    <t>MLM</t>
  </si>
  <si>
    <t>MARTIN MARIETTA MATERIALS</t>
  </si>
  <si>
    <t>MLN</t>
  </si>
  <si>
    <t>VANECK VECTORS LONG MUNI ETF</t>
  </si>
  <si>
    <t>MLND</t>
  </si>
  <si>
    <t>MILLENDO THERAPEUTICS INC</t>
  </si>
  <si>
    <t>MLP</t>
  </si>
  <si>
    <t>MAUI LAND &amp; PINEAPPLE CO</t>
  </si>
  <si>
    <t>MLPA</t>
  </si>
  <si>
    <t>GLOBAL X MLP ETF</t>
  </si>
  <si>
    <t>MLPB</t>
  </si>
  <si>
    <t>ETRACS ALERIAN INFRAST SER B</t>
  </si>
  <si>
    <t>MLPC</t>
  </si>
  <si>
    <t>C-TRACKS ETNS BASED ON PERFO</t>
  </si>
  <si>
    <t>MLPE</t>
  </si>
  <si>
    <t>C-TRACKS ETNS ON THE MILLER</t>
  </si>
  <si>
    <t>MLPG</t>
  </si>
  <si>
    <t>ETRACS ALERIAN NAT GAS MLP</t>
  </si>
  <si>
    <t>MLPI</t>
  </si>
  <si>
    <t>ETRACS ALERIAN INFRASTRUCTUR</t>
  </si>
  <si>
    <t>MLPO</t>
  </si>
  <si>
    <t>CS S&amp;P MLP INDEX ETN</t>
  </si>
  <si>
    <t>MLPR</t>
  </si>
  <si>
    <t>ETRACS 150% ALERIAN MLP ETN</t>
  </si>
  <si>
    <t>MLPX</t>
  </si>
  <si>
    <t>GLOBAL X MLP &amp; ENERGY INFRAS</t>
  </si>
  <si>
    <t>MLPY</t>
  </si>
  <si>
    <t>MS CUSH MLP HI INC INDX ETN</t>
  </si>
  <si>
    <t>MLR</t>
  </si>
  <si>
    <t>MILLER INDUSTRIES INC/TENN</t>
  </si>
  <si>
    <t>MLSS</t>
  </si>
  <si>
    <t>MILESTONE SCIENTIFIC INC</t>
  </si>
  <si>
    <t>MLVF</t>
  </si>
  <si>
    <t>MALVERN BANCORP INC</t>
  </si>
  <si>
    <t>MMAC</t>
  </si>
  <si>
    <t>MMA CAPITAL HOLDINGS INC</t>
  </si>
  <si>
    <t>MMC</t>
  </si>
  <si>
    <t>MARSH &amp; MCLENNAN COS</t>
  </si>
  <si>
    <t>MMD</t>
  </si>
  <si>
    <t>MAINSTAY MACKAY DEFINEDTERM</t>
  </si>
  <si>
    <t>MMI</t>
  </si>
  <si>
    <t>MARCUS &amp; MILLICHAP INC</t>
  </si>
  <si>
    <t>MMIN</t>
  </si>
  <si>
    <t>IQ MACKAY MUNICIPAL INSURED</t>
  </si>
  <si>
    <t>MMIT</t>
  </si>
  <si>
    <t>IQ MACKAY MUNICIPAL INTERMED</t>
  </si>
  <si>
    <t>MMLG</t>
  </si>
  <si>
    <t>FIRST TRUST MULTI-MAN LG ETF</t>
  </si>
  <si>
    <t>MMLP</t>
  </si>
  <si>
    <t>MARTIN MIDSTREAM PARTNERS LP</t>
  </si>
  <si>
    <t>MMM</t>
  </si>
  <si>
    <t>3M CO</t>
  </si>
  <si>
    <t>MMP</t>
  </si>
  <si>
    <t>MAGELLAN MIDSTREAM PARTNERS</t>
  </si>
  <si>
    <t>MMS</t>
  </si>
  <si>
    <t>MAXIMUS INC</t>
  </si>
  <si>
    <t>MMSI</t>
  </si>
  <si>
    <t>MERIT MEDICAL SYSTEMS INC</t>
  </si>
  <si>
    <t>MMT</t>
  </si>
  <si>
    <t>MFS MULTIMARKET INC TRUST</t>
  </si>
  <si>
    <t>MMTM</t>
  </si>
  <si>
    <t>SPDR S&amp;P1500 MOMENTUM TILT</t>
  </si>
  <si>
    <t>MMU</t>
  </si>
  <si>
    <t>WESTERN ASSET MANAGED MUNICI</t>
  </si>
  <si>
    <t>MMX</t>
  </si>
  <si>
    <t>MAVERIX METALS INC</t>
  </si>
  <si>
    <t>MMYT</t>
  </si>
  <si>
    <t>MAKEMYTRIP LTD</t>
  </si>
  <si>
    <t>MN</t>
  </si>
  <si>
    <t>MANNING &amp; NAPIER INC</t>
  </si>
  <si>
    <t>MNA</t>
  </si>
  <si>
    <t>IQ MERGER ARBITRAGE ETF</t>
  </si>
  <si>
    <t>MNCL</t>
  </si>
  <si>
    <t>MONOCLE ACQUISITION CORP</t>
  </si>
  <si>
    <t>MNCLU</t>
  </si>
  <si>
    <t>MNCLW</t>
  </si>
  <si>
    <t>MNDO</t>
  </si>
  <si>
    <t>MIND CTI LTD</t>
  </si>
  <si>
    <t>MNK</t>
  </si>
  <si>
    <t>MALLINCKRODT PLC</t>
  </si>
  <si>
    <t>MNKD</t>
  </si>
  <si>
    <t>MANNKIND CORP</t>
  </si>
  <si>
    <t>MNOV</t>
  </si>
  <si>
    <t>MEDICINOVA INC</t>
  </si>
  <si>
    <t>MNP</t>
  </si>
  <si>
    <t>WESTERN ASSET MUNICIPAL PART</t>
  </si>
  <si>
    <t>MNPR</t>
  </si>
  <si>
    <t>MONOPAR THERAPEUTICS INC</t>
  </si>
  <si>
    <t>MNR</t>
  </si>
  <si>
    <t>MONMOUTH REAL ESTATE INV COR</t>
  </si>
  <si>
    <t>MNR-C</t>
  </si>
  <si>
    <t>MNRL</t>
  </si>
  <si>
    <t>BRIGHAM MINERALS INC-CL A</t>
  </si>
  <si>
    <t>MNRO</t>
  </si>
  <si>
    <t>MONRO INC</t>
  </si>
  <si>
    <t>MNSB</t>
  </si>
  <si>
    <t>MAINSTREET BANCSHARES INC</t>
  </si>
  <si>
    <t>MNST</t>
  </si>
  <si>
    <t>MONSTER BEVERAGE CORP</t>
  </si>
  <si>
    <t>MNTA</t>
  </si>
  <si>
    <t>MOMENTA PHARMACEUTICALS INC</t>
  </si>
  <si>
    <t>MNTX</t>
  </si>
  <si>
    <t>MANITEX INTERNATIONAL INC</t>
  </si>
  <si>
    <t>MO</t>
  </si>
  <si>
    <t>ALTRIA GROUP INC</t>
  </si>
  <si>
    <t>MOAT</t>
  </si>
  <si>
    <t>VANECK MORNINGSTAR WIDE MOAT</t>
  </si>
  <si>
    <t>MOBL</t>
  </si>
  <si>
    <t>MOBILEIRON INC</t>
  </si>
  <si>
    <t>MOD</t>
  </si>
  <si>
    <t>MODINE MANUFACTURING CO</t>
  </si>
  <si>
    <t>MODN</t>
  </si>
  <si>
    <t>MODEL N INC</t>
  </si>
  <si>
    <t>MOFG</t>
  </si>
  <si>
    <t>MIDWESTONE FINANCIAL GROUP I</t>
  </si>
  <si>
    <t>MOG.A</t>
  </si>
  <si>
    <t>MOOG INC-CLASS A</t>
  </si>
  <si>
    <t>MOG.B</t>
  </si>
  <si>
    <t>MOOG INC-CLASS B</t>
  </si>
  <si>
    <t>MOGO</t>
  </si>
  <si>
    <t>MOGO INC</t>
  </si>
  <si>
    <t>MOGU</t>
  </si>
  <si>
    <t>MOGU INC-ADR</t>
  </si>
  <si>
    <t>MOH</t>
  </si>
  <si>
    <t>MOLINA HEALTHCARE INC</t>
  </si>
  <si>
    <t>MOHO</t>
  </si>
  <si>
    <t>ECMOHO LTD</t>
  </si>
  <si>
    <t>MOM</t>
  </si>
  <si>
    <t>AGFIQ US MARKET NEUTRAL MOME</t>
  </si>
  <si>
    <t>MOMO</t>
  </si>
  <si>
    <t>MOMO INC-SPON ADR</t>
  </si>
  <si>
    <t>MOO</t>
  </si>
  <si>
    <t>VANECK AGRIBUSINESS</t>
  </si>
  <si>
    <t>MOR</t>
  </si>
  <si>
    <t>MORPHOSYS AG ADR</t>
  </si>
  <si>
    <t>MORF</t>
  </si>
  <si>
    <t>MORPHIC HOLDING INC</t>
  </si>
  <si>
    <t>MORN</t>
  </si>
  <si>
    <t>MORNINGSTAR INC</t>
  </si>
  <si>
    <t>MORT</t>
  </si>
  <si>
    <t>VANECK MORTGAGE REIT INCOME</t>
  </si>
  <si>
    <t>MOS</t>
  </si>
  <si>
    <t>MOSAIC CO/THE</t>
  </si>
  <si>
    <t>MOSY</t>
  </si>
  <si>
    <t>MOSYS INC</t>
  </si>
  <si>
    <t>MOTI</t>
  </si>
  <si>
    <t>VANECK MORNINGSTAR INTL MOAT</t>
  </si>
  <si>
    <t>MOTO</t>
  </si>
  <si>
    <t>SMARTETFS SMART TRANSP/TECH</t>
  </si>
  <si>
    <t>MOTS</t>
  </si>
  <si>
    <t>MOTUS GI HOLDINGS INC</t>
  </si>
  <si>
    <t>MOV</t>
  </si>
  <si>
    <t>MOVADO GROUP INC</t>
  </si>
  <si>
    <t>MOXC</t>
  </si>
  <si>
    <t>MOXIAN INC</t>
  </si>
  <si>
    <t>MPA</t>
  </si>
  <si>
    <t>BLACKROCK MUNIYIELD PENNSYLV</t>
  </si>
  <si>
    <t>MPAA</t>
  </si>
  <si>
    <t>MOTORCAR PARTS OF AMERICA IN</t>
  </si>
  <si>
    <t>MPB</t>
  </si>
  <si>
    <t>MID PENN BANCORP INC</t>
  </si>
  <si>
    <t>MPC</t>
  </si>
  <si>
    <t>MARATHON PETROLEUM CORP</t>
  </si>
  <si>
    <t>MPLX</t>
  </si>
  <si>
    <t>MPLX LP</t>
  </si>
  <si>
    <t>MPV</t>
  </si>
  <si>
    <t>BARINGS PARTICIPATION INVEST</t>
  </si>
  <si>
    <t>MPW</t>
  </si>
  <si>
    <t>MEDICAL PROPERTIES TRUST INC</t>
  </si>
  <si>
    <t>MPWR</t>
  </si>
  <si>
    <t>MONOLITHIC POWER SYSTEMS INC</t>
  </si>
  <si>
    <t>MPX</t>
  </si>
  <si>
    <t>MARINE PRODUCTS CORP</t>
  </si>
  <si>
    <t>MQT</t>
  </si>
  <si>
    <t>BLACKROCK MUNIYIELD QUAL II</t>
  </si>
  <si>
    <t>MQY</t>
  </si>
  <si>
    <t>MR</t>
  </si>
  <si>
    <t>MONTAGE RESOURCES CORP</t>
  </si>
  <si>
    <t>MRAM</t>
  </si>
  <si>
    <t>EVERSPIN TECHNOLOGIES INC</t>
  </si>
  <si>
    <t>MRBK</t>
  </si>
  <si>
    <t>MERIDIAN CORP</t>
  </si>
  <si>
    <t>MRC</t>
  </si>
  <si>
    <t>MRC GLOBAL INC</t>
  </si>
  <si>
    <t>MRCC</t>
  </si>
  <si>
    <t>MONROE CAPITAL CORP</t>
  </si>
  <si>
    <t>MRCCL</t>
  </si>
  <si>
    <t>MRCY</t>
  </si>
  <si>
    <t>MERCURY SYSTEMS INC</t>
  </si>
  <si>
    <t>MREO</t>
  </si>
  <si>
    <t>MEREO BIOPHARMA GROUP PL-ADR</t>
  </si>
  <si>
    <t>MRGR</t>
  </si>
  <si>
    <t>PROSHARES MERGER ETF</t>
  </si>
  <si>
    <t>MRIN</t>
  </si>
  <si>
    <t>MARIN SOFTWARE INC</t>
  </si>
  <si>
    <t>MRK</t>
  </si>
  <si>
    <t>MERCK &amp; CO. INC.</t>
  </si>
  <si>
    <t>MRKR</t>
  </si>
  <si>
    <t>MARKER THERAPEUTICS INC</t>
  </si>
  <si>
    <t>MRLN</t>
  </si>
  <si>
    <t>MARLIN BUSINESS SERVICES INC</t>
  </si>
  <si>
    <t>MRNA</t>
  </si>
  <si>
    <t>MODERNA INC</t>
  </si>
  <si>
    <t>MRNS</t>
  </si>
  <si>
    <t>MARINUS PHARMACEUTICALS INC</t>
  </si>
  <si>
    <t>MRO</t>
  </si>
  <si>
    <t>MARATHON OIL CORP</t>
  </si>
  <si>
    <t>MRSK</t>
  </si>
  <si>
    <t>AGILITY SHARES MANAGED RISK</t>
  </si>
  <si>
    <t>MRSN</t>
  </si>
  <si>
    <t>MERSANA THERAPEUTICS INC</t>
  </si>
  <si>
    <t>MRTN</t>
  </si>
  <si>
    <t>MARTEN TRANSPORT LTD</t>
  </si>
  <si>
    <t>MRTX</t>
  </si>
  <si>
    <t>MIRATI THERAPEUTICS INC</t>
  </si>
  <si>
    <t>MRUS</t>
  </si>
  <si>
    <t>MERUS NV</t>
  </si>
  <si>
    <t>MRVL</t>
  </si>
  <si>
    <t>MARVELL TECHNOLOGY GROUP LTD</t>
  </si>
  <si>
    <t>MS</t>
  </si>
  <si>
    <t>MORGAN STANLEY</t>
  </si>
  <si>
    <t>MS-A</t>
  </si>
  <si>
    <t>MS-E</t>
  </si>
  <si>
    <t>MS-F</t>
  </si>
  <si>
    <t>MS-I</t>
  </si>
  <si>
    <t>MS-K</t>
  </si>
  <si>
    <t>MS-L</t>
  </si>
  <si>
    <t>MSA</t>
  </si>
  <si>
    <t>MSA SAFETY INC</t>
  </si>
  <si>
    <t>MSB</t>
  </si>
  <si>
    <t>MESABI TRUST</t>
  </si>
  <si>
    <t>MSBI</t>
  </si>
  <si>
    <t>MIDLAND STATES BANCORP INC</t>
  </si>
  <si>
    <t>MSC</t>
  </si>
  <si>
    <t>STUDIO CITY INTERNATIONA-ADR</t>
  </si>
  <si>
    <t>MSCI</t>
  </si>
  <si>
    <t>MSCI INC</t>
  </si>
  <si>
    <t>MSD</t>
  </si>
  <si>
    <t>MORGAN STANLEY EMRG MKT DEBT</t>
  </si>
  <si>
    <t>MSEX</t>
  </si>
  <si>
    <t>MIDDLESEX WATER CO</t>
  </si>
  <si>
    <t>MSFT</t>
  </si>
  <si>
    <t>MICROSOFT CORP</t>
  </si>
  <si>
    <t>MSGE</t>
  </si>
  <si>
    <t>MADISON SQUARE GARDEN ENTERT</t>
  </si>
  <si>
    <t>MSGN</t>
  </si>
  <si>
    <t>MSG NETWORKS INC- A</t>
  </si>
  <si>
    <t>MSGS</t>
  </si>
  <si>
    <t>MADISON SQUARE GARDEN SPORTS</t>
  </si>
  <si>
    <t>MSI</t>
  </si>
  <si>
    <t>MOTOROLA SOLUTIONS INC</t>
  </si>
  <si>
    <t>MSM</t>
  </si>
  <si>
    <t>MSC INDUSTRIAL DIRECT CO-A</t>
  </si>
  <si>
    <t>MSN</t>
  </si>
  <si>
    <t>EMERSON RADIO CORP</t>
  </si>
  <si>
    <t>MSON</t>
  </si>
  <si>
    <t>MISONIX INC</t>
  </si>
  <si>
    <t>MSOS</t>
  </si>
  <si>
    <t>ADVISORSHARES PURE US CANN</t>
  </si>
  <si>
    <t>MSTR</t>
  </si>
  <si>
    <t>MICROSTRATEGY INC-CL A</t>
  </si>
  <si>
    <t>MSVB</t>
  </si>
  <si>
    <t>MID-SOUTHERN BANCORP INC</t>
  </si>
  <si>
    <t>MSVX</t>
  </si>
  <si>
    <t>LHA MARKET STATE ALPHA SEEKE</t>
  </si>
  <si>
    <t>MT</t>
  </si>
  <si>
    <t>ARCELORMITTAL-NY REGISTERED</t>
  </si>
  <si>
    <t>MTA</t>
  </si>
  <si>
    <t>METALLA ROYALTY &amp; STREAMING</t>
  </si>
  <si>
    <t>MTB</t>
  </si>
  <si>
    <t>M &amp; T BANK CORP</t>
  </si>
  <si>
    <t>MTBC</t>
  </si>
  <si>
    <t>MTBC INC</t>
  </si>
  <si>
    <t>MTBCP</t>
  </si>
  <si>
    <t>MTC</t>
  </si>
  <si>
    <t>MMTEC INC</t>
  </si>
  <si>
    <t>MTCH</t>
  </si>
  <si>
    <t>MATCH GROUP INC</t>
  </si>
  <si>
    <t>MTCN</t>
  </si>
  <si>
    <t>MTD</t>
  </si>
  <si>
    <t>METTLER-TOLEDO INTERNATIONAL</t>
  </si>
  <si>
    <t>MTDR</t>
  </si>
  <si>
    <t>MATADOR RESOURCES CO</t>
  </si>
  <si>
    <t>MTEM</t>
  </si>
  <si>
    <t>MOLECULAR TEMPLATES INC</t>
  </si>
  <si>
    <t>MTEX</t>
  </si>
  <si>
    <t>MANNATECH INC</t>
  </si>
  <si>
    <t>MTG</t>
  </si>
  <si>
    <t>MGIC INVESTMENT CORP</t>
  </si>
  <si>
    <t>MTGP</t>
  </si>
  <si>
    <t>WISDOMTREE MTGE PLUS BOND</t>
  </si>
  <si>
    <t>MTH</t>
  </si>
  <si>
    <t>MERITAGE HOMES CORP</t>
  </si>
  <si>
    <t>MTL</t>
  </si>
  <si>
    <t>MECHEL PJSC-SPONSORED ADR</t>
  </si>
  <si>
    <t>MTL-</t>
  </si>
  <si>
    <t>MECHEL-PREF SPON ADR</t>
  </si>
  <si>
    <t>MTLS</t>
  </si>
  <si>
    <t>MATERIALISE NV-ADR</t>
  </si>
  <si>
    <t>MTN</t>
  </si>
  <si>
    <t>VAIL RESORTS INC</t>
  </si>
  <si>
    <t>MTNB</t>
  </si>
  <si>
    <t>MATINAS BIOPHARMA HOLDINGS I</t>
  </si>
  <si>
    <t>MTOR</t>
  </si>
  <si>
    <t>MERITOR INC</t>
  </si>
  <si>
    <t>MTP</t>
  </si>
  <si>
    <t>MIDATECH PHARMA PLC-ADR</t>
  </si>
  <si>
    <t>MTR</t>
  </si>
  <si>
    <t>MESA ROYALTY TRUST</t>
  </si>
  <si>
    <t>MTRN</t>
  </si>
  <si>
    <t>MATERION CORP</t>
  </si>
  <si>
    <t>MTRX</t>
  </si>
  <si>
    <t>MATRIX SERVICE CO</t>
  </si>
  <si>
    <t>MTSC</t>
  </si>
  <si>
    <t>MTS SYSTEMS CORP</t>
  </si>
  <si>
    <t>MTSI</t>
  </si>
  <si>
    <t>MACOM TECHNOLOGY SOLUTIONS H</t>
  </si>
  <si>
    <t>MTSL</t>
  </si>
  <si>
    <t>MER TELEMANAGEMENT SOLUTIONS</t>
  </si>
  <si>
    <t>MTT</t>
  </si>
  <si>
    <t>WESTERN ASSET MUNCIPAL DEFIN</t>
  </si>
  <si>
    <t>MTUM</t>
  </si>
  <si>
    <t>ISHARES MSCI USA MOMENTUM FA</t>
  </si>
  <si>
    <t>MTW</t>
  </si>
  <si>
    <t>MANITOWOC COMPANY INC</t>
  </si>
  <si>
    <t>MTX</t>
  </si>
  <si>
    <t>MINERALS TECHNOLOGIES INC</t>
  </si>
  <si>
    <t>MTZ</t>
  </si>
  <si>
    <t>MASTEC INC</t>
  </si>
  <si>
    <t>MU</t>
  </si>
  <si>
    <t>MICRON TECHNOLOGY INC</t>
  </si>
  <si>
    <t>MUA</t>
  </si>
  <si>
    <t>BLACKROCK MUNIASSETS FUND</t>
  </si>
  <si>
    <t>MUB</t>
  </si>
  <si>
    <t>ISHARES NATIONAL MUNI BOND E</t>
  </si>
  <si>
    <t>MUC</t>
  </si>
  <si>
    <t>BLACKROCK MUNIHOLDINGS CA QU</t>
  </si>
  <si>
    <t>MUE</t>
  </si>
  <si>
    <t>BLACKROCK MUNIHOLDINGS QU II</t>
  </si>
  <si>
    <t>MUFG</t>
  </si>
  <si>
    <t>MITSUBISHI UFJ FINL-SPON ADR</t>
  </si>
  <si>
    <t>MUH</t>
  </si>
  <si>
    <t>BLACKROCK MUNIHOLDINGS FD II</t>
  </si>
  <si>
    <t>MUI</t>
  </si>
  <si>
    <t>BLACKROCK MUNI INTERM DURATI</t>
  </si>
  <si>
    <t>MUJ</t>
  </si>
  <si>
    <t>BLACKROCK MUNIHOLDINGS NJ QU</t>
  </si>
  <si>
    <t>MUNI</t>
  </si>
  <si>
    <t>PIMCO INTERMEDIATE MUNICIPAL</t>
  </si>
  <si>
    <t>MUR</t>
  </si>
  <si>
    <t>MURPHY OIL CORP</t>
  </si>
  <si>
    <t>MUS</t>
  </si>
  <si>
    <t>MUSA</t>
  </si>
  <si>
    <t>MURPHY USA INC</t>
  </si>
  <si>
    <t>MUST</t>
  </si>
  <si>
    <t>COLUMBIA MULTI-SECTOR MUNICI</t>
  </si>
  <si>
    <t>MUTE</t>
  </si>
  <si>
    <t>DIREXION DAILY COMM BEAR 3X</t>
  </si>
  <si>
    <t>MUX</t>
  </si>
  <si>
    <t>MCEWEN MINING INC</t>
  </si>
  <si>
    <t>MVBF</t>
  </si>
  <si>
    <t>MVB FINANCIAL CORP</t>
  </si>
  <si>
    <t>MVC</t>
  </si>
  <si>
    <t>MVC CAPITAL INC</t>
  </si>
  <si>
    <t>MVCD</t>
  </si>
  <si>
    <t>MVF</t>
  </si>
  <si>
    <t>BLACKROCK MUNIVEST FUND</t>
  </si>
  <si>
    <t>MVIN</t>
  </si>
  <si>
    <t>NATIXIS SEEYOND INTL MIN VOL</t>
  </si>
  <si>
    <t>MVIS</t>
  </si>
  <si>
    <t>MICROVISION INC</t>
  </si>
  <si>
    <t>MVO</t>
  </si>
  <si>
    <t>MV OIL TRUST</t>
  </si>
  <si>
    <t>MVRL</t>
  </si>
  <si>
    <t>ETRACS 150% MORTGAG REIT ETN</t>
  </si>
  <si>
    <t>MVT</t>
  </si>
  <si>
    <t>BLACKROCK MUNIVEST FUND II</t>
  </si>
  <si>
    <t>MVV</t>
  </si>
  <si>
    <t>PROSHARES ULTRA MIDCAP400</t>
  </si>
  <si>
    <t>MWA</t>
  </si>
  <si>
    <t>MUELLER WATER PRODUCTS INC-A</t>
  </si>
  <si>
    <t>MWK</t>
  </si>
  <si>
    <t>MOHAWK GROUP HOLDINGS INC</t>
  </si>
  <si>
    <t>MX</t>
  </si>
  <si>
    <t>MAGNACHIP SEMICONDUCT</t>
  </si>
  <si>
    <t>MXC</t>
  </si>
  <si>
    <t>MEXCO ENERGY CORP</t>
  </si>
  <si>
    <t>MXDU</t>
  </si>
  <si>
    <t>NATIONWIDE MAXIMUM DIVERSIFI</t>
  </si>
  <si>
    <t>MXE</t>
  </si>
  <si>
    <t>MEXICO EQUITY AND INCOME FD</t>
  </si>
  <si>
    <t>MXF</t>
  </si>
  <si>
    <t>MEXICO FUND INC</t>
  </si>
  <si>
    <t>MXI</t>
  </si>
  <si>
    <t>ISHARES GLOBAL MATERIALS ETF</t>
  </si>
  <si>
    <t>MXIM</t>
  </si>
  <si>
    <t>MAXIM INTEGRATED PRODUCTS</t>
  </si>
  <si>
    <t>MXL</t>
  </si>
  <si>
    <t>MAXLINEAR INC</t>
  </si>
  <si>
    <t>MYC</t>
  </si>
  <si>
    <t>BLACKROCK MUNIYIELD CALI FD</t>
  </si>
  <si>
    <t>MYD</t>
  </si>
  <si>
    <t>BLACKROCK MUNIYIELD FUND</t>
  </si>
  <si>
    <t>MYE</t>
  </si>
  <si>
    <t>MYERS INDUSTRIES INC</t>
  </si>
  <si>
    <t>MYF</t>
  </si>
  <si>
    <t>BLACKROCK MUNIYIELD INVESTME</t>
  </si>
  <si>
    <t>MYFW</t>
  </si>
  <si>
    <t>FIRST WESTERN FINANCIAL INC</t>
  </si>
  <si>
    <t>MYGN</t>
  </si>
  <si>
    <t>MYRIAD GENETICS INC</t>
  </si>
  <si>
    <t>MYI</t>
  </si>
  <si>
    <t>MYJ</t>
  </si>
  <si>
    <t>BLACKROCK MUNIYIELD NJ FUND</t>
  </si>
  <si>
    <t>MYL</t>
  </si>
  <si>
    <t>MYLAN NV</t>
  </si>
  <si>
    <t>MYN</t>
  </si>
  <si>
    <t>BLACKROCK MUNIYIELD NY QUALI</t>
  </si>
  <si>
    <t>MYO</t>
  </si>
  <si>
    <t>MYOMO INC</t>
  </si>
  <si>
    <t>MYOK</t>
  </si>
  <si>
    <t>MYOKARDIA INC</t>
  </si>
  <si>
    <t>MYOS</t>
  </si>
  <si>
    <t>MYOS RENS TECHNOLOGY INC</t>
  </si>
  <si>
    <t>MYOV</t>
  </si>
  <si>
    <t>MYOVANT SCIENCES LTD</t>
  </si>
  <si>
    <t>MYRG</t>
  </si>
  <si>
    <t>MYR GROUP INC/DELAWARE</t>
  </si>
  <si>
    <t>MYSZ</t>
  </si>
  <si>
    <t>MY SIZE INC</t>
  </si>
  <si>
    <t>MYT</t>
  </si>
  <si>
    <t>URBAN TEA INC</t>
  </si>
  <si>
    <t>MYY</t>
  </si>
  <si>
    <t>PROSHARES SHORT MIDCAP 400</t>
  </si>
  <si>
    <t>MZA</t>
  </si>
  <si>
    <t>BLACKROCK MUNIYIELD ARIZONA</t>
  </si>
  <si>
    <t>MZZ</t>
  </si>
  <si>
    <t>PROSHARES ULTSHRT MIDCAP400</t>
  </si>
  <si>
    <t>NAC</t>
  </si>
  <si>
    <t>NUVEEN CA QUAL MUNI INC FD</t>
  </si>
  <si>
    <t>NACP</t>
  </si>
  <si>
    <t>IMPACT SHARES NAACP MINORITY</t>
  </si>
  <si>
    <t>NAD</t>
  </si>
  <si>
    <t>NUVEEN QUAL MUNI INCOME FD</t>
  </si>
  <si>
    <t>NAII</t>
  </si>
  <si>
    <t>NATURAL ALTERNATIVES INTL</t>
  </si>
  <si>
    <t>NAIL</t>
  </si>
  <si>
    <t>DRX DLY HOMEBUILDERS BULL 3X</t>
  </si>
  <si>
    <t>NAK</t>
  </si>
  <si>
    <t>NORTHERN DYNASTY MINERALS</t>
  </si>
  <si>
    <t>NAKD</t>
  </si>
  <si>
    <t>NAKED BRAND GROUP LTD</t>
  </si>
  <si>
    <t>NAN</t>
  </si>
  <si>
    <t>NUVEEN NY QUAL MUNI INC FD</t>
  </si>
  <si>
    <t>NANR</t>
  </si>
  <si>
    <t>SPDR S&amp;P NORTH AMERICAN NATU</t>
  </si>
  <si>
    <t>NAOV</t>
  </si>
  <si>
    <t>NANOVIBRONIX INC</t>
  </si>
  <si>
    <t>NAPR</t>
  </si>
  <si>
    <t>INNOVATOR NASDAQ 100 POWER B</t>
  </si>
  <si>
    <t>NARI</t>
  </si>
  <si>
    <t>INARI MEDICAL INC</t>
  </si>
  <si>
    <t>NAT</t>
  </si>
  <si>
    <t>NORDIC AMERICAN TANKERS LTD</t>
  </si>
  <si>
    <t>NATH</t>
  </si>
  <si>
    <t>NATHAN'S FAMOUS INC</t>
  </si>
  <si>
    <t>NATI</t>
  </si>
  <si>
    <t>NATIONAL INSTRUMENTS CORP</t>
  </si>
  <si>
    <t>NATR</t>
  </si>
  <si>
    <t>NATURES SUNSHINE PRODS INC</t>
  </si>
  <si>
    <t>NAV</t>
  </si>
  <si>
    <t>NAVISTAR INTERNATIONAL CORP</t>
  </si>
  <si>
    <t>NAV-D</t>
  </si>
  <si>
    <t>NAVB</t>
  </si>
  <si>
    <t>NAVIDEA BIOPHARMACEUTICALS I</t>
  </si>
  <si>
    <t>NAVI</t>
  </si>
  <si>
    <t>NAVIENT CORP</t>
  </si>
  <si>
    <t>NAZ</t>
  </si>
  <si>
    <t>NUVEEN AZ QUAL MUNI INC FD</t>
  </si>
  <si>
    <t>NBAC</t>
  </si>
  <si>
    <t>NEWBORN ACQUISITION CORP</t>
  </si>
  <si>
    <t>NBACR</t>
  </si>
  <si>
    <t>NEWBORN ACQUISITION CORP-RTS</t>
  </si>
  <si>
    <t>NBACU</t>
  </si>
  <si>
    <t>NBACW</t>
  </si>
  <si>
    <t>NBB</t>
  </si>
  <si>
    <t>NUVEEN TAX MUNI INC</t>
  </si>
  <si>
    <t>NBEV</t>
  </si>
  <si>
    <t>NEWAGE INC</t>
  </si>
  <si>
    <t>NBH</t>
  </si>
  <si>
    <t>NEUBERGER BERMAN MUNICIPAL</t>
  </si>
  <si>
    <t>NBHC</t>
  </si>
  <si>
    <t>NATIONAL BANK HOLD-CL A</t>
  </si>
  <si>
    <t>NBIX</t>
  </si>
  <si>
    <t>NEUROCRINE BIOSCIENCES INC</t>
  </si>
  <si>
    <t>NBL</t>
  </si>
  <si>
    <t>NOBLE ENERGY INC</t>
  </si>
  <si>
    <t>NBLX</t>
  </si>
  <si>
    <t>NOBLE MIDSTREAM PARTNERS LP</t>
  </si>
  <si>
    <t>NBN</t>
  </si>
  <si>
    <t>NORTHEAST BANK</t>
  </si>
  <si>
    <t>NBO</t>
  </si>
  <si>
    <t>NEUBERGER BERMAN NY MUNI</t>
  </si>
  <si>
    <t>NBR</t>
  </si>
  <si>
    <t>NABORS INDUSTRIES LTD</t>
  </si>
  <si>
    <t>NBR-A</t>
  </si>
  <si>
    <t>NBRV</t>
  </si>
  <si>
    <t>NABRIVA THERAPEUTICS PLC</t>
  </si>
  <si>
    <t>NBSE</t>
  </si>
  <si>
    <t>NEUBASE THERAPEUTICS INC</t>
  </si>
  <si>
    <t>NBTB</t>
  </si>
  <si>
    <t>N B T BANCORP INC</t>
  </si>
  <si>
    <t>NBW</t>
  </si>
  <si>
    <t>NEUBERGER BERMAN CA MUNI</t>
  </si>
  <si>
    <t>NBY</t>
  </si>
  <si>
    <t>NOVABAY PHARMACEUTICALS INC</t>
  </si>
  <si>
    <t>NC</t>
  </si>
  <si>
    <t>NACCO INDUSTRIES-CL A</t>
  </si>
  <si>
    <t>NCA</t>
  </si>
  <si>
    <t>NUVEEN CA MUNI VALUE FD</t>
  </si>
  <si>
    <t>NCB</t>
  </si>
  <si>
    <t>NUVEEN CA MUNI VALUE FD 2</t>
  </si>
  <si>
    <t>NCBS</t>
  </si>
  <si>
    <t>NICOLET BANKSHARES INC</t>
  </si>
  <si>
    <t>NCLH</t>
  </si>
  <si>
    <t>NORWEGIAN CRUISE LINE HOLDIN</t>
  </si>
  <si>
    <t>NCMI</t>
  </si>
  <si>
    <t>NATIONAL CINEMEDIA INC</t>
  </si>
  <si>
    <t>NCNA</t>
  </si>
  <si>
    <t>NUCANA PLC-ADR</t>
  </si>
  <si>
    <t>NCNO</t>
  </si>
  <si>
    <t>NCINO INC</t>
  </si>
  <si>
    <t>NCR</t>
  </si>
  <si>
    <t>NCR CORPORATION</t>
  </si>
  <si>
    <t>NCSM</t>
  </si>
  <si>
    <t>NCS MULTISTAGE HOLDINGS INC</t>
  </si>
  <si>
    <t>NCTY</t>
  </si>
  <si>
    <t>THE9 LTD-ADR</t>
  </si>
  <si>
    <t>NCV</t>
  </si>
  <si>
    <t>NCV-A</t>
  </si>
  <si>
    <t>NCZ</t>
  </si>
  <si>
    <t>ALLIANZGI CONV &amp; INCOME II</t>
  </si>
  <si>
    <t>NCZ-A</t>
  </si>
  <si>
    <t>NDAQ</t>
  </si>
  <si>
    <t>NASDAQ INC</t>
  </si>
  <si>
    <t>NDLS</t>
  </si>
  <si>
    <t>NOODLES &amp; CO</t>
  </si>
  <si>
    <t>NDMO</t>
  </si>
  <si>
    <t>NUVEEN DYNAMIC MUNI OPPORT</t>
  </si>
  <si>
    <t>NDP</t>
  </si>
  <si>
    <t>TORTOISE ENERGY INDEPENDENCE</t>
  </si>
  <si>
    <t>NDRA</t>
  </si>
  <si>
    <t>ENDRA LIFE SCIENCES INC</t>
  </si>
  <si>
    <t>NDRAW</t>
  </si>
  <si>
    <t>NDSN</t>
  </si>
  <si>
    <t>NORDSON CORP</t>
  </si>
  <si>
    <t>NEA</t>
  </si>
  <si>
    <t>NUVEEN AMT-FR QU MUNI INC FD</t>
  </si>
  <si>
    <t>NEAR</t>
  </si>
  <si>
    <t>ISHARES SHORT MATURITY BOND</t>
  </si>
  <si>
    <t>NEE</t>
  </si>
  <si>
    <t>NEXTERA ENERGY INC</t>
  </si>
  <si>
    <t>NEE-I</t>
  </si>
  <si>
    <t>NEE-J</t>
  </si>
  <si>
    <t>NEE-K</t>
  </si>
  <si>
    <t>NEE-N</t>
  </si>
  <si>
    <t>NEE-O</t>
  </si>
  <si>
    <t>NEE-P</t>
  </si>
  <si>
    <t>NEED</t>
  </si>
  <si>
    <t>DRX DLY CONS STAPLES BULL 3X</t>
  </si>
  <si>
    <t>NEM</t>
  </si>
  <si>
    <t>NEWMONT CORP</t>
  </si>
  <si>
    <t>NEN</t>
  </si>
  <si>
    <t>NEW ENGLAND REALTY ASSOC-LP</t>
  </si>
  <si>
    <t>NEO</t>
  </si>
  <si>
    <t>NEOGENOMICS INC</t>
  </si>
  <si>
    <t>NEOG</t>
  </si>
  <si>
    <t>NEOGEN CORP</t>
  </si>
  <si>
    <t>NEON</t>
  </si>
  <si>
    <t>NEONODE INC</t>
  </si>
  <si>
    <t>NEOS</t>
  </si>
  <si>
    <t>NEOS THERAPEUTICS INC</t>
  </si>
  <si>
    <t>NEP</t>
  </si>
  <si>
    <t>NEXTERA ENERGY PARTNERS LP</t>
  </si>
  <si>
    <t>NEPH</t>
  </si>
  <si>
    <t>NEPHROS INC</t>
  </si>
  <si>
    <t>NEPT</t>
  </si>
  <si>
    <t>NEPTUNE WELLNESS SOLUTIONS I</t>
  </si>
  <si>
    <t>NERD</t>
  </si>
  <si>
    <t>ROUNDHILL BITKRAFT ESPORTS</t>
  </si>
  <si>
    <t>NERV</t>
  </si>
  <si>
    <t>MINERVA NEUROSCIENCES INC</t>
  </si>
  <si>
    <t>NES</t>
  </si>
  <si>
    <t>NUVERRA ENVIRONMENTAL SOLUTI</t>
  </si>
  <si>
    <t>NESR</t>
  </si>
  <si>
    <t>NATIONAL ENERGY SERVICES REU</t>
  </si>
  <si>
    <t>NESRW</t>
  </si>
  <si>
    <t>NET</t>
  </si>
  <si>
    <t>CLOUDFLARE INC - CLASS A</t>
  </si>
  <si>
    <t>NETE</t>
  </si>
  <si>
    <t>NET ELEMENT INC</t>
  </si>
  <si>
    <t>NETL</t>
  </si>
  <si>
    <t>NETLEASE CORPORATE REAL ESTA</t>
  </si>
  <si>
    <t>NEU</t>
  </si>
  <si>
    <t>NEWMARKET CORP</t>
  </si>
  <si>
    <t>NEV</t>
  </si>
  <si>
    <t>NUVEEN ENH MUNI VALUE FD</t>
  </si>
  <si>
    <t>NEW</t>
  </si>
  <si>
    <t>PUXIN LTD-ADR</t>
  </si>
  <si>
    <t>NEWA</t>
  </si>
  <si>
    <t>NEWATER TECHNOLOGY INC</t>
  </si>
  <si>
    <t>NEWR</t>
  </si>
  <si>
    <t>NEW RELIC INC</t>
  </si>
  <si>
    <t>NEWT</t>
  </si>
  <si>
    <t>NEWTEK BUSINESS SERVICES COR</t>
  </si>
  <si>
    <t>NEWTI</t>
  </si>
  <si>
    <t>NEWTL</t>
  </si>
  <si>
    <t>NEX</t>
  </si>
  <si>
    <t>NEXTIER OILFIELD SOLUTIONS I</t>
  </si>
  <si>
    <t>NEXA</t>
  </si>
  <si>
    <t>NEXA RESOURCES SA</t>
  </si>
  <si>
    <t>NEXT</t>
  </si>
  <si>
    <t>NEXTDECADE CORP</t>
  </si>
  <si>
    <t>NFBK</t>
  </si>
  <si>
    <t>NORTHFIELD BANCORP INC</t>
  </si>
  <si>
    <t>NFE</t>
  </si>
  <si>
    <t>NEW FORTRESS ENERGY INC</t>
  </si>
  <si>
    <t>NFG</t>
  </si>
  <si>
    <t>NATIONAL FUEL GAS CO</t>
  </si>
  <si>
    <t>NFH</t>
  </si>
  <si>
    <t>NEW FRONTIER HEALTH CORP</t>
  </si>
  <si>
    <t>NFH+</t>
  </si>
  <si>
    <t>NFIN</t>
  </si>
  <si>
    <t>NETFIN ACQUISITION CORP-CL A</t>
  </si>
  <si>
    <t>NFINU</t>
  </si>
  <si>
    <t>NETFIN AQUISITION CORP</t>
  </si>
  <si>
    <t>NFINW</t>
  </si>
  <si>
    <t>NFJ</t>
  </si>
  <si>
    <t>ALLIANZGI DVD INTRST &amp; PREM</t>
  </si>
  <si>
    <t>NFLT</t>
  </si>
  <si>
    <t>VIRTUS NEWFLEET MULTI-SECTOR</t>
  </si>
  <si>
    <t>NFLX</t>
  </si>
  <si>
    <t>NETFLIX INC</t>
  </si>
  <si>
    <t>NFRA</t>
  </si>
  <si>
    <t>FLEXSHARES STOXX GLOBAL BROA</t>
  </si>
  <si>
    <t>NFTY</t>
  </si>
  <si>
    <t>FIRST TRUST INDIA NIFTY 50 E</t>
  </si>
  <si>
    <t>NG</t>
  </si>
  <si>
    <t>NOVAGOLD RESOURCES INC</t>
  </si>
  <si>
    <t>NGA=</t>
  </si>
  <si>
    <t>NORTHERN GENESIS ACQUISITION</t>
  </si>
  <si>
    <t>NGD</t>
  </si>
  <si>
    <t>NEW GOLD INC</t>
  </si>
  <si>
    <t>NGE</t>
  </si>
  <si>
    <t>GLOBAL X MSCI NIGERIA ETF</t>
  </si>
  <si>
    <t>NGG</t>
  </si>
  <si>
    <t>NATIONAL GRID PLC-SP ADR</t>
  </si>
  <si>
    <t>NGHC</t>
  </si>
  <si>
    <t>NATIONAL GENERAL HLDGS</t>
  </si>
  <si>
    <t>NGHCN</t>
  </si>
  <si>
    <t>NGHCO</t>
  </si>
  <si>
    <t>NGHCP</t>
  </si>
  <si>
    <t>NGHCZ</t>
  </si>
  <si>
    <t>NGL</t>
  </si>
  <si>
    <t>NGL ENERGY PARTNERS LP</t>
  </si>
  <si>
    <t>NGL-B</t>
  </si>
  <si>
    <t>NGL-C</t>
  </si>
  <si>
    <t>NGLS-A</t>
  </si>
  <si>
    <t>NGM</t>
  </si>
  <si>
    <t>NGM BIOPHARMACEUTICALS INC</t>
  </si>
  <si>
    <t>NGS</t>
  </si>
  <si>
    <t>NATURAL GAS SERVICES GROUP</t>
  </si>
  <si>
    <t>NGVC</t>
  </si>
  <si>
    <t>NATURAL GROCERS BY VITAMIN C</t>
  </si>
  <si>
    <t>NGVT</t>
  </si>
  <si>
    <t>INGEVITY CORP</t>
  </si>
  <si>
    <t>NH</t>
  </si>
  <si>
    <t>NANTHEALTH INC</t>
  </si>
  <si>
    <t>NHA</t>
  </si>
  <si>
    <t>NUVEEN MUNI 2021 TGT TRM FD</t>
  </si>
  <si>
    <t>NHC</t>
  </si>
  <si>
    <t>NATIONAL HEALTHCARE CORP</t>
  </si>
  <si>
    <t>NHF</t>
  </si>
  <si>
    <t>NEXPOINT STRATEGIC OPPORTUNI</t>
  </si>
  <si>
    <t>NHI</t>
  </si>
  <si>
    <t>NATL HEALTH INVESTORS INC</t>
  </si>
  <si>
    <t>NHICU</t>
  </si>
  <si>
    <t>NEWHOLD INVESTMENT CORP</t>
  </si>
  <si>
    <t>NHLD</t>
  </si>
  <si>
    <t>NATIONAL HOLDINGS CORP</t>
  </si>
  <si>
    <t>NHLDW</t>
  </si>
  <si>
    <t>NHS</t>
  </si>
  <si>
    <t>NEUBERGER BERMAN HIGH YIELD</t>
  </si>
  <si>
    <t>NHTC</t>
  </si>
  <si>
    <t>NATURAL HEALTH TRENDS CORP</t>
  </si>
  <si>
    <t>NI</t>
  </si>
  <si>
    <t>NISOURCE INC</t>
  </si>
  <si>
    <t>NI-B</t>
  </si>
  <si>
    <t>NIB</t>
  </si>
  <si>
    <t>IPATH BLOOMBERG COCOA SUBIND</t>
  </si>
  <si>
    <t>NICE</t>
  </si>
  <si>
    <t>NICE LTD - SPON ADR</t>
  </si>
  <si>
    <t>NICK</t>
  </si>
  <si>
    <t>NICHOLAS FINANCIAL INC</t>
  </si>
  <si>
    <t>NID</t>
  </si>
  <si>
    <t>NUVEEN INT DUR MUNI TERM FD</t>
  </si>
  <si>
    <t>NIE</t>
  </si>
  <si>
    <t>ALLIANZGI EQUITY &amp; CONVERTIB</t>
  </si>
  <si>
    <t>NIFE</t>
  </si>
  <si>
    <t>DIREXION FALLEN KNIVES ETF</t>
  </si>
  <si>
    <t>NIM</t>
  </si>
  <si>
    <t>NUVEEN SEL MAT MUNI FD</t>
  </si>
  <si>
    <t>NINE</t>
  </si>
  <si>
    <t>NINE ENERGY SERVICE INC</t>
  </si>
  <si>
    <t>NIO</t>
  </si>
  <si>
    <t>NIO INC - ADR</t>
  </si>
  <si>
    <t>NIQ</t>
  </si>
  <si>
    <t>NUVEEN INT DUR QU MUN TRM FD</t>
  </si>
  <si>
    <t>NIU</t>
  </si>
  <si>
    <t>NIU TECHNOLOGIES-SPONS ADR</t>
  </si>
  <si>
    <t>NJAN</t>
  </si>
  <si>
    <t>INNOVATOR NASDAQ 100 PB ETF</t>
  </si>
  <si>
    <t>NJR</t>
  </si>
  <si>
    <t>NEW JERSEY RESOURCES CORP</t>
  </si>
  <si>
    <t>NJUL</t>
  </si>
  <si>
    <t>NJV</t>
  </si>
  <si>
    <t>NUVEEN NJ MUNI VALUE FD</t>
  </si>
  <si>
    <t>NK</t>
  </si>
  <si>
    <t>NANTKWEST INC</t>
  </si>
  <si>
    <t>NKE</t>
  </si>
  <si>
    <t>NIKE INC -CL B</t>
  </si>
  <si>
    <t>NKG</t>
  </si>
  <si>
    <t>NUVEEN GA QUAL MUNI INC FD</t>
  </si>
  <si>
    <t>NKLA</t>
  </si>
  <si>
    <t>NIKOLA CORP</t>
  </si>
  <si>
    <t>NKSH</t>
  </si>
  <si>
    <t>NATIONAL BANKSHARES INC/VA</t>
  </si>
  <si>
    <t>NKTR</t>
  </si>
  <si>
    <t>NEKTAR THERAPEUTICS</t>
  </si>
  <si>
    <t>NKTX</t>
  </si>
  <si>
    <t>NKARTA INC</t>
  </si>
  <si>
    <t>NKX</t>
  </si>
  <si>
    <t>NUVEEN CA AMT-FR MUNI INC FD</t>
  </si>
  <si>
    <t>NL</t>
  </si>
  <si>
    <t>NL INDUSTRIES</t>
  </si>
  <si>
    <t>NLOK</t>
  </si>
  <si>
    <t>NORTONLIFELOCK INC</t>
  </si>
  <si>
    <t>NLR</t>
  </si>
  <si>
    <t>VANECK URANIUM+NUCLR ENERGY</t>
  </si>
  <si>
    <t>NLS</t>
  </si>
  <si>
    <t>NAUTILUS INC</t>
  </si>
  <si>
    <t>NLSN</t>
  </si>
  <si>
    <t>NIELSEN HOLDINGS PLC</t>
  </si>
  <si>
    <t>NLTX</t>
  </si>
  <si>
    <t>NEOLEUKIN THERAPEUTICS INC</t>
  </si>
  <si>
    <t>NLY</t>
  </si>
  <si>
    <t>ANNALY CAPITAL MANAGEMENT IN</t>
  </si>
  <si>
    <t>NLY-D</t>
  </si>
  <si>
    <t>NLY-F</t>
  </si>
  <si>
    <t>NLY-G</t>
  </si>
  <si>
    <t>NLY-I</t>
  </si>
  <si>
    <t>NM</t>
  </si>
  <si>
    <t>NAVIOS MARITIME HOLDINGS INC</t>
  </si>
  <si>
    <t>NM-G</t>
  </si>
  <si>
    <t>NM-H</t>
  </si>
  <si>
    <t>NMCI</t>
  </si>
  <si>
    <t>NAVIOS MARITIME CONTAINERS L</t>
  </si>
  <si>
    <t>NMCO</t>
  </si>
  <si>
    <t>NUVEEN MUNICIPAL CREDIT OPP</t>
  </si>
  <si>
    <t>NMFC</t>
  </si>
  <si>
    <t>NEW MOUNTAIN FINANCE CORP</t>
  </si>
  <si>
    <t>NMFX</t>
  </si>
  <si>
    <t>NMI</t>
  </si>
  <si>
    <t>NUVEEN MUNI INC FD</t>
  </si>
  <si>
    <t>NMIH</t>
  </si>
  <si>
    <t>NMI HOLDINGS INC-CLASS A</t>
  </si>
  <si>
    <t>NMK-B</t>
  </si>
  <si>
    <t>NMK-C</t>
  </si>
  <si>
    <t>NML</t>
  </si>
  <si>
    <t>NB MLP &amp; ENERGY INCOME</t>
  </si>
  <si>
    <t>NMM</t>
  </si>
  <si>
    <t>NAVIOS MARITIME PARTNERS LP</t>
  </si>
  <si>
    <t>NMR</t>
  </si>
  <si>
    <t>NOMURA HOLDINGS INC-SPON ADR</t>
  </si>
  <si>
    <t>NMRD</t>
  </si>
  <si>
    <t>NEMAURA MEDICAL INC</t>
  </si>
  <si>
    <t>NMRK</t>
  </si>
  <si>
    <t>NEWMARK GROUP INC-CLASS A</t>
  </si>
  <si>
    <t>NMS</t>
  </si>
  <si>
    <t>NUVEEN MN QUAL MUNI INC FD</t>
  </si>
  <si>
    <t>NMT</t>
  </si>
  <si>
    <t>NUVEEN MA QUAL MUNI INC FD</t>
  </si>
  <si>
    <t>NMTR</t>
  </si>
  <si>
    <t>9 METERS BIOPHARMA INC</t>
  </si>
  <si>
    <t>NMY</t>
  </si>
  <si>
    <t>NUVEEN MD QUAL MUNI INC FD</t>
  </si>
  <si>
    <t>NMZ</t>
  </si>
  <si>
    <t>NUVEEN MUNI HIGH INC OPP FD</t>
  </si>
  <si>
    <t>NNA</t>
  </si>
  <si>
    <t>NAVIOS MARITIME ACQUISITION</t>
  </si>
  <si>
    <t>NNBR</t>
  </si>
  <si>
    <t>NN INC</t>
  </si>
  <si>
    <t>NNDM</t>
  </si>
  <si>
    <t>NANO DIMENSION LTD - ADR</t>
  </si>
  <si>
    <t>NNI</t>
  </si>
  <si>
    <t>NELNET INC-CL A</t>
  </si>
  <si>
    <t>NNN</t>
  </si>
  <si>
    <t>NATIONAL RETAIL PROPERTIES</t>
  </si>
  <si>
    <t>NNN-F</t>
  </si>
  <si>
    <t>NNOX</t>
  </si>
  <si>
    <t>NANO-X IMAGING LTD</t>
  </si>
  <si>
    <t>NNVC</t>
  </si>
  <si>
    <t>NANOVIRICIDES INC</t>
  </si>
  <si>
    <t>NNY</t>
  </si>
  <si>
    <t>NUVEEN NY MUNI VALUE FD</t>
  </si>
  <si>
    <t>NOA</t>
  </si>
  <si>
    <t>NORTH AMERICAN CONSTRUCTION</t>
  </si>
  <si>
    <t>NOAH</t>
  </si>
  <si>
    <t>NOAH HOLDINGS LTD-SPON ADS</t>
  </si>
  <si>
    <t>NOBL</t>
  </si>
  <si>
    <t>PROSHARES S&amp;P 500 DIVIDEND A</t>
  </si>
  <si>
    <t>NOC</t>
  </si>
  <si>
    <t>NORTHROP GRUMMAN CORP</t>
  </si>
  <si>
    <t>NOCT</t>
  </si>
  <si>
    <t>INNOVATOR NASDAQ 100 POWER</t>
  </si>
  <si>
    <t>NODK</t>
  </si>
  <si>
    <t>NI HOLDINGS INC</t>
  </si>
  <si>
    <t>NOG</t>
  </si>
  <si>
    <t>NORTHERN OIL AND GAS INC</t>
  </si>
  <si>
    <t>NOK</t>
  </si>
  <si>
    <t>NOKIA CORP-SPON ADR</t>
  </si>
  <si>
    <t>NOM</t>
  </si>
  <si>
    <t>NUVEEN MO QUAL MUNI INC FD</t>
  </si>
  <si>
    <t>NOMD</t>
  </si>
  <si>
    <t>NOMAD FOODS LTD</t>
  </si>
  <si>
    <t>NORW</t>
  </si>
  <si>
    <t>GLOBAL X MSCI NORWAY ETF</t>
  </si>
  <si>
    <t>NOV</t>
  </si>
  <si>
    <t>NATIONAL OILWELL VARCO INC</t>
  </si>
  <si>
    <t>NOVA</t>
  </si>
  <si>
    <t>SUNNOVA ENERGY INTERNATIONAL</t>
  </si>
  <si>
    <t>NOVN</t>
  </si>
  <si>
    <t>NOVAN INC</t>
  </si>
  <si>
    <t>NOVS</t>
  </si>
  <si>
    <t>NOVUS CAPITAL CORP</t>
  </si>
  <si>
    <t>NOVSU</t>
  </si>
  <si>
    <t>NOVSW</t>
  </si>
  <si>
    <t>NOVT</t>
  </si>
  <si>
    <t>NOVANTA INC</t>
  </si>
  <si>
    <t>NOW</t>
  </si>
  <si>
    <t>SERVICENOW INC</t>
  </si>
  <si>
    <t>NP</t>
  </si>
  <si>
    <t>NEENAH INC</t>
  </si>
  <si>
    <t>NPA</t>
  </si>
  <si>
    <t>NEW PROVIDENCE ACQUISIT-CL A</t>
  </si>
  <si>
    <t>NPAUU</t>
  </si>
  <si>
    <t>NEW PROVIDENCE ACQUISITION C</t>
  </si>
  <si>
    <t>NPAWW</t>
  </si>
  <si>
    <t>NPK</t>
  </si>
  <si>
    <t>NATIONAL PRESTO INDS INC</t>
  </si>
  <si>
    <t>NPN</t>
  </si>
  <si>
    <t>NUVEEN PA MUNI VALUE FD</t>
  </si>
  <si>
    <t>NPO</t>
  </si>
  <si>
    <t>ENPRO INDUSTRIES INC</t>
  </si>
  <si>
    <t>NPTN</t>
  </si>
  <si>
    <t>NEOPHOTONICS CORP</t>
  </si>
  <si>
    <t>NPV</t>
  </si>
  <si>
    <t>NUVEEN VA QUAL MUNI INC FD</t>
  </si>
  <si>
    <t>NQP</t>
  </si>
  <si>
    <t>NUVEEN PA QUAL MUNI INC FD</t>
  </si>
  <si>
    <t>NR</t>
  </si>
  <si>
    <t>NEWPARK RESOURCES INC</t>
  </si>
  <si>
    <t>NRBO</t>
  </si>
  <si>
    <t>NEUROBO PHARMACEUTICALS INC</t>
  </si>
  <si>
    <t>NRC</t>
  </si>
  <si>
    <t>NATIONAL RESEARCH CORP</t>
  </si>
  <si>
    <t>NREF</t>
  </si>
  <si>
    <t>NEXPOINT REAL ESTATE FINANCE</t>
  </si>
  <si>
    <t>NREF-A</t>
  </si>
  <si>
    <t>NRG</t>
  </si>
  <si>
    <t>NRG ENERGY INC</t>
  </si>
  <si>
    <t>NRGD</t>
  </si>
  <si>
    <t>MICROSECTORS US BIG OIL -3X</t>
  </si>
  <si>
    <t>NRGO</t>
  </si>
  <si>
    <t>MICROSECTORS US BIG OIL 2X L</t>
  </si>
  <si>
    <t>NRGU</t>
  </si>
  <si>
    <t>MICROSECTORS US BIG OIL 3X</t>
  </si>
  <si>
    <t>NRGX</t>
  </si>
  <si>
    <t>PIMCO ENRGY &amp; TACT CRDT</t>
  </si>
  <si>
    <t>NRGZ</t>
  </si>
  <si>
    <t>MICROSECTORS US BIG OIL -2X</t>
  </si>
  <si>
    <t>NRIM</t>
  </si>
  <si>
    <t>NORTHRIM BANCORP INC</t>
  </si>
  <si>
    <t>NRIX</t>
  </si>
  <si>
    <t>NURIX THERAPEUTICS INC</t>
  </si>
  <si>
    <t>NRK</t>
  </si>
  <si>
    <t>NUVEEN NY AMT-FR MUNI INC FD</t>
  </si>
  <si>
    <t>NRO</t>
  </si>
  <si>
    <t>NEUBERGER BERMAN REAL ESTATE</t>
  </si>
  <si>
    <t>NRP</t>
  </si>
  <si>
    <t>NATURAL RESOURCE PARTNERS LP</t>
  </si>
  <si>
    <t>NRT</t>
  </si>
  <si>
    <t>NORTH EUROPEAN OIL RTY TRUST</t>
  </si>
  <si>
    <t>NRUC</t>
  </si>
  <si>
    <t>NRZ</t>
  </si>
  <si>
    <t>NEW RESIDENTIAL INVESTMENT</t>
  </si>
  <si>
    <t>NRZ-A</t>
  </si>
  <si>
    <t>NRZ-B</t>
  </si>
  <si>
    <t>NRZ-C</t>
  </si>
  <si>
    <t>NS</t>
  </si>
  <si>
    <t>NUSTAR ENERGY LP</t>
  </si>
  <si>
    <t>NS-A</t>
  </si>
  <si>
    <t>NS-B</t>
  </si>
  <si>
    <t>NS-C</t>
  </si>
  <si>
    <t>NSA</t>
  </si>
  <si>
    <t>NATIONAL STORAGE AFFILIATES</t>
  </si>
  <si>
    <t>NSA-A</t>
  </si>
  <si>
    <t>NSC</t>
  </si>
  <si>
    <t>NORFOLK SOUTHERN CORP</t>
  </si>
  <si>
    <t>NSCO</t>
  </si>
  <si>
    <t>NESCO HOLDINGS INC</t>
  </si>
  <si>
    <t>NSCO+</t>
  </si>
  <si>
    <t>NSEC</t>
  </si>
  <si>
    <t>NATIONAL SECURITY GROUP INC</t>
  </si>
  <si>
    <t>NSH=</t>
  </si>
  <si>
    <t>NSIT</t>
  </si>
  <si>
    <t>INSIGHT ENTERPRISES INC</t>
  </si>
  <si>
    <t>NSL</t>
  </si>
  <si>
    <t>NUVEEN SENIOR INC FD</t>
  </si>
  <si>
    <t>NSP</t>
  </si>
  <si>
    <t>INSPERITY INC</t>
  </si>
  <si>
    <t>NSPR</t>
  </si>
  <si>
    <t>INSPIREMD INC</t>
  </si>
  <si>
    <t>NSPR+</t>
  </si>
  <si>
    <t>NSPR+B</t>
  </si>
  <si>
    <t>NSS</t>
  </si>
  <si>
    <t>NSSC</t>
  </si>
  <si>
    <t>NAPCO SECURITY TECHNOLOGIES</t>
  </si>
  <si>
    <t>NSTG</t>
  </si>
  <si>
    <t>NANOSTRING TECHNOLOGIES INC</t>
  </si>
  <si>
    <t>NSYS</t>
  </si>
  <si>
    <t>NORTECH SYSTEMS INC</t>
  </si>
  <si>
    <t>NTAP</t>
  </si>
  <si>
    <t>NETAPP INC</t>
  </si>
  <si>
    <t>NTB</t>
  </si>
  <si>
    <t>BANK OF N.T. BUTTERFIELD&amp;SON</t>
  </si>
  <si>
    <t>NTCO</t>
  </si>
  <si>
    <t>NATURA &amp;CO HOLDING-ADR</t>
  </si>
  <si>
    <t>NTCT</t>
  </si>
  <si>
    <t>NETSCOUT SYSTEMS INC</t>
  </si>
  <si>
    <t>NTEC</t>
  </si>
  <si>
    <t>INTEC PHARMA LTD</t>
  </si>
  <si>
    <t>NTES</t>
  </si>
  <si>
    <t>NETEASE INC-ADR</t>
  </si>
  <si>
    <t>NTEST</t>
  </si>
  <si>
    <t>NTEST.A</t>
  </si>
  <si>
    <t>NTEST.B</t>
  </si>
  <si>
    <t>NTEST.C</t>
  </si>
  <si>
    <t>NTG</t>
  </si>
  <si>
    <t>TORTOISE MIDSTREAM ENERGY</t>
  </si>
  <si>
    <t>NTGR</t>
  </si>
  <si>
    <t>NETGEAR INC</t>
  </si>
  <si>
    <t>NTIC</t>
  </si>
  <si>
    <t>NORTHERN TECHNOLOGIES INTL</t>
  </si>
  <si>
    <t>NTIP</t>
  </si>
  <si>
    <t>NETWORK-1 TECHNOLOGIES INC</t>
  </si>
  <si>
    <t>NTLA</t>
  </si>
  <si>
    <t>INTELLIA THERAPEUTICS INC</t>
  </si>
  <si>
    <t>NTN</t>
  </si>
  <si>
    <t>NTN BUZZTIME INC</t>
  </si>
  <si>
    <t>NTNX</t>
  </si>
  <si>
    <t>NUTANIX INC - A</t>
  </si>
  <si>
    <t>NTP</t>
  </si>
  <si>
    <t>NAM TAI PROPERTY INC</t>
  </si>
  <si>
    <t>NTR</t>
  </si>
  <si>
    <t>NUTRIEN LTD</t>
  </si>
  <si>
    <t>NTRA</t>
  </si>
  <si>
    <t>NATERA INC</t>
  </si>
  <si>
    <t>NTRP</t>
  </si>
  <si>
    <t>NEUROTROPE INC</t>
  </si>
  <si>
    <t>NTRS</t>
  </si>
  <si>
    <t>NORTHERN TRUST CORP</t>
  </si>
  <si>
    <t>NTRSO</t>
  </si>
  <si>
    <t>NTST</t>
  </si>
  <si>
    <t>NETSTREIT CORP</t>
  </si>
  <si>
    <t>NTSX</t>
  </si>
  <si>
    <t>WISDOMTREE 90/60 US BAL FUND</t>
  </si>
  <si>
    <t>NTUS</t>
  </si>
  <si>
    <t>NATUS MEDICAL INC</t>
  </si>
  <si>
    <t>NTWK</t>
  </si>
  <si>
    <t>NETSOL TECHNOLOGIES INC</t>
  </si>
  <si>
    <t>NTZ</t>
  </si>
  <si>
    <t>NATUZZI SPA-SP ADR</t>
  </si>
  <si>
    <t>NUAG</t>
  </si>
  <si>
    <t>NUVEEN ENHANCED YIELD U.S. A</t>
  </si>
  <si>
    <t>NUAN</t>
  </si>
  <si>
    <t>NUANCE COMMUNICATIONS INC</t>
  </si>
  <si>
    <t>NUBD</t>
  </si>
  <si>
    <t>NUVEEN ESG US AGGREGATE BOND</t>
  </si>
  <si>
    <t>NUDM</t>
  </si>
  <si>
    <t>NUVEEN ESG INTERNATIONAL DEV</t>
  </si>
  <si>
    <t>NUE</t>
  </si>
  <si>
    <t>NUCOR CORP</t>
  </si>
  <si>
    <t>NUEM</t>
  </si>
  <si>
    <t>NUVEEN ESG EMERGING MARKETS</t>
  </si>
  <si>
    <t>NUGT</t>
  </si>
  <si>
    <t>NUHY</t>
  </si>
  <si>
    <t>NUVEEN ESG HIGH YIELD CORP B</t>
  </si>
  <si>
    <t>NULC</t>
  </si>
  <si>
    <t>NUVEEN ESG LARGE-CAP ETF</t>
  </si>
  <si>
    <t>NULG</t>
  </si>
  <si>
    <t>NUVEEN ESG LARGE-CAP GROWTH</t>
  </si>
  <si>
    <t>NULV</t>
  </si>
  <si>
    <t>NUVEEN ESG LARGE-CAP VALUE E</t>
  </si>
  <si>
    <t>NUM</t>
  </si>
  <si>
    <t>NUVEEN MI QUAL MUNI INC FD</t>
  </si>
  <si>
    <t>NUMG</t>
  </si>
  <si>
    <t>NUVEEN ESG MID-CAP GROWTH ET</t>
  </si>
  <si>
    <t>NUMV</t>
  </si>
  <si>
    <t>NUVEEN ESG MID-CAP VALUE ETF</t>
  </si>
  <si>
    <t>NUO</t>
  </si>
  <si>
    <t>NUVEEN OH QUAL MUNI INC FD</t>
  </si>
  <si>
    <t>NURE</t>
  </si>
  <si>
    <t>NUVEEN SHORTTERM REIT ETF</t>
  </si>
  <si>
    <t>NURO</t>
  </si>
  <si>
    <t>NEUROMETRIX INC</t>
  </si>
  <si>
    <t>NUS</t>
  </si>
  <si>
    <t>NU SKIN ENTERPRISES INC - A</t>
  </si>
  <si>
    <t>NUSA</t>
  </si>
  <si>
    <t>NUVEEN ENHANCED YIELD 1-5 YE</t>
  </si>
  <si>
    <t>NUSC</t>
  </si>
  <si>
    <t>NUVEEN ESG SMALL-CAP ETF</t>
  </si>
  <si>
    <t>NUSI</t>
  </si>
  <si>
    <t>NATIONWIDE RISK-MANAGED INCO</t>
  </si>
  <si>
    <t>NUV</t>
  </si>
  <si>
    <t>NUVEEN MUNI VALUE FD</t>
  </si>
  <si>
    <t>NUVA</t>
  </si>
  <si>
    <t>NUVASIVE INC</t>
  </si>
  <si>
    <t>NUW</t>
  </si>
  <si>
    <t>NUVEEN AMT-FREE MUNI VAL FD</t>
  </si>
  <si>
    <t>NUZE</t>
  </si>
  <si>
    <t>NUZEE INC</t>
  </si>
  <si>
    <t>NVAX</t>
  </si>
  <si>
    <t>NOVAVAX INC</t>
  </si>
  <si>
    <t>NVCN</t>
  </si>
  <si>
    <t>NEOVASC INC</t>
  </si>
  <si>
    <t>NVCR</t>
  </si>
  <si>
    <t>NOVOCURE LTD</t>
  </si>
  <si>
    <t>NVDA</t>
  </si>
  <si>
    <t>NVIDIA CORP</t>
  </si>
  <si>
    <t>NVEC</t>
  </si>
  <si>
    <t>NVE CORP</t>
  </si>
  <si>
    <t>NVEE</t>
  </si>
  <si>
    <t>NV5 GLOBAL INC</t>
  </si>
  <si>
    <t>NVFY</t>
  </si>
  <si>
    <t>NOVA LIFESTYLE INC</t>
  </si>
  <si>
    <t>NVG</t>
  </si>
  <si>
    <t>NUVEEN AMT-FR MUNI CREDIT FD</t>
  </si>
  <si>
    <t>NVGS</t>
  </si>
  <si>
    <t>NAVIGATOR HOLDINGS LTD</t>
  </si>
  <si>
    <t>NVIV</t>
  </si>
  <si>
    <t>INVIVO THERAPEUTICS HOLDINGS</t>
  </si>
  <si>
    <t>NVMI</t>
  </si>
  <si>
    <t>NOVA MEASURING INSTRUMENTS</t>
  </si>
  <si>
    <t>NVO</t>
  </si>
  <si>
    <t>NOVO-NORDISK A/S-SPONS ADR</t>
  </si>
  <si>
    <t>NVR</t>
  </si>
  <si>
    <t>NVR INC</t>
  </si>
  <si>
    <t>NVRO</t>
  </si>
  <si>
    <t>NEVRO CORP</t>
  </si>
  <si>
    <t>NVS</t>
  </si>
  <si>
    <t>NOVARTIS AG-SPONSORED ADR</t>
  </si>
  <si>
    <t>NVST</t>
  </si>
  <si>
    <t>ENVISTA HOLDINGS CORP</t>
  </si>
  <si>
    <t>NVT</t>
  </si>
  <si>
    <t>NVENT ELECTRIC PLC</t>
  </si>
  <si>
    <t>NVTA</t>
  </si>
  <si>
    <t>INVITAE CORP</t>
  </si>
  <si>
    <t>NVUS</t>
  </si>
  <si>
    <t>NOVUS THERAPEUTICS INC</t>
  </si>
  <si>
    <t>NWBI</t>
  </si>
  <si>
    <t>NORTHWEST BANCSHARES INC</t>
  </si>
  <si>
    <t>NWE</t>
  </si>
  <si>
    <t>NORTHWESTERN CORP</t>
  </si>
  <si>
    <t>NWFL</t>
  </si>
  <si>
    <t>NORWOOD FINANCIAL CORP</t>
  </si>
  <si>
    <t>NWG</t>
  </si>
  <si>
    <t>NATWEST GROUP PLC -SPON ADR</t>
  </si>
  <si>
    <t>NWGI</t>
  </si>
  <si>
    <t>NEWGIOCO GROUP INC</t>
  </si>
  <si>
    <t>NWHM</t>
  </si>
  <si>
    <t>NEW HOME CO INC/THE</t>
  </si>
  <si>
    <t>NWL</t>
  </si>
  <si>
    <t>NEWELL BRANDS INC</t>
  </si>
  <si>
    <t>NWLI</t>
  </si>
  <si>
    <t>NATIONAL WESTERN LIFE GROU-A</t>
  </si>
  <si>
    <t>NWN</t>
  </si>
  <si>
    <t>NORTHWEST NATURAL HOLDING CO</t>
  </si>
  <si>
    <t>NWPX</t>
  </si>
  <si>
    <t>NORTHWEST PIPE CO</t>
  </si>
  <si>
    <t>NWS</t>
  </si>
  <si>
    <t>NEWS CORP - CLASS B</t>
  </si>
  <si>
    <t>NWSA</t>
  </si>
  <si>
    <t>NEWS CORP - CLASS A</t>
  </si>
  <si>
    <t>NX</t>
  </si>
  <si>
    <t>QUANEX BUILDING PRODUCTS</t>
  </si>
  <si>
    <t>NXC</t>
  </si>
  <si>
    <t>NUVEEN CA SEL TX-FR INC PORT</t>
  </si>
  <si>
    <t>NXE</t>
  </si>
  <si>
    <t>NEXGEN ENERGY LTD</t>
  </si>
  <si>
    <t>NXGN</t>
  </si>
  <si>
    <t>NEXTGEN HEALTHCARE INC</t>
  </si>
  <si>
    <t>NXJ</t>
  </si>
  <si>
    <t>NUVEEN NJ QUAL MUNI INC FD</t>
  </si>
  <si>
    <t>NXN</t>
  </si>
  <si>
    <t>NUVEEN NY SEL TX-FR INC PORT</t>
  </si>
  <si>
    <t>NXP</t>
  </si>
  <si>
    <t>NUVEEN SEL TX-FR INC PORT</t>
  </si>
  <si>
    <t>NXPI</t>
  </si>
  <si>
    <t>NXP SEMICONDUCTORS NV</t>
  </si>
  <si>
    <t>NXQ</t>
  </si>
  <si>
    <t>NUVEEN SEL TX-FR INC PORT 2</t>
  </si>
  <si>
    <t>NXR</t>
  </si>
  <si>
    <t>NUVEEN SEL TX-FR INC PORT 3</t>
  </si>
  <si>
    <t>NXRT</t>
  </si>
  <si>
    <t>NEXPOINT RESIDENTIAL</t>
  </si>
  <si>
    <t>NXST</t>
  </si>
  <si>
    <t>NEXSTAR MEDIA GROUP INC-CL A</t>
  </si>
  <si>
    <t>NXTC</t>
  </si>
  <si>
    <t>NEXTCURE INC</t>
  </si>
  <si>
    <t>NXTD</t>
  </si>
  <si>
    <t>NXT-ID INC</t>
  </si>
  <si>
    <t>NXTG</t>
  </si>
  <si>
    <t>FIRST TRUST INDXX NEXTG ETF</t>
  </si>
  <si>
    <t>NYC</t>
  </si>
  <si>
    <t>NEW YORK CITY REIT INC-A</t>
  </si>
  <si>
    <t>NYCB</t>
  </si>
  <si>
    <t>NEW YORK COMMUNITY BANCORP</t>
  </si>
  <si>
    <t>NYCB-A</t>
  </si>
  <si>
    <t>NYCB-U</t>
  </si>
  <si>
    <t>NYF</t>
  </si>
  <si>
    <t>ISHARES NEW YORK MUNI BOND E</t>
  </si>
  <si>
    <t>NYMT</t>
  </si>
  <si>
    <t>NEW YORK MORTGAGE TRUST INC</t>
  </si>
  <si>
    <t>NYMTM</t>
  </si>
  <si>
    <t>NYMTN</t>
  </si>
  <si>
    <t>NYMTO</t>
  </si>
  <si>
    <t>NYMTP</t>
  </si>
  <si>
    <t>NYMX</t>
  </si>
  <si>
    <t>NYMOX PHARMACEUTICAL CORP</t>
  </si>
  <si>
    <t>NYT</t>
  </si>
  <si>
    <t>NEW YORK TIMES CO-A</t>
  </si>
  <si>
    <t>NYV</t>
  </si>
  <si>
    <t>NUVEEN NY MUNI VALUE FD 2</t>
  </si>
  <si>
    <t>NZF</t>
  </si>
  <si>
    <t>NUVEEN MUNI CREDIT INC FD</t>
  </si>
  <si>
    <t>NONE</t>
  </si>
  <si>
    <t>O</t>
  </si>
  <si>
    <t>REALTY INCOME CORP</t>
  </si>
  <si>
    <t>OAC</t>
  </si>
  <si>
    <t>OAKTREE ACQUISITION CORP-A</t>
  </si>
  <si>
    <t>OAC+</t>
  </si>
  <si>
    <t>OAC=</t>
  </si>
  <si>
    <t>OAKTREE ACQUISITION CORP</t>
  </si>
  <si>
    <t>OAK-A</t>
  </si>
  <si>
    <t>OAK-B</t>
  </si>
  <si>
    <t>OAS</t>
  </si>
  <si>
    <t>OASIS PETROLEUM INC</t>
  </si>
  <si>
    <t>OBAS</t>
  </si>
  <si>
    <t>OPTIBASE LTD</t>
  </si>
  <si>
    <t>OBCI</t>
  </si>
  <si>
    <t>OCEAN BIO-CHEM INC</t>
  </si>
  <si>
    <t>OBLG</t>
  </si>
  <si>
    <t>OBLONG INC</t>
  </si>
  <si>
    <t>OBLN</t>
  </si>
  <si>
    <t>OBALON THERAPEUTICS INC</t>
  </si>
  <si>
    <t>OBNK</t>
  </si>
  <si>
    <t>ORIGIN BANCORP INC</t>
  </si>
  <si>
    <t>OBOR</t>
  </si>
  <si>
    <t>Kraneshares Msci One Belt ON</t>
  </si>
  <si>
    <t>OBSV</t>
  </si>
  <si>
    <t>OBSEVA SA</t>
  </si>
  <si>
    <t>OC</t>
  </si>
  <si>
    <t>OWENS CORNING</t>
  </si>
  <si>
    <t>OCC</t>
  </si>
  <si>
    <t>OPTICAL CABLE CORP</t>
  </si>
  <si>
    <t>OCCI</t>
  </si>
  <si>
    <t>OFS CREDIT CO INC</t>
  </si>
  <si>
    <t>OCCIP</t>
  </si>
  <si>
    <t>OCFC</t>
  </si>
  <si>
    <t>OCEANFIRST FINANCIAL CORP</t>
  </si>
  <si>
    <t>OCFCP</t>
  </si>
  <si>
    <t>OCFT</t>
  </si>
  <si>
    <t>ONECONNECT FINANCIAL TECHNO</t>
  </si>
  <si>
    <t>OCGN</t>
  </si>
  <si>
    <t>OCUGEN INC</t>
  </si>
  <si>
    <t>OCIO</t>
  </si>
  <si>
    <t>CLEARSHARES OCIO ETF</t>
  </si>
  <si>
    <t>OCN</t>
  </si>
  <si>
    <t>OCWEN FINANCIAL CORP</t>
  </si>
  <si>
    <t>OCSI</t>
  </si>
  <si>
    <t>OAKTREE STRATEGIC INCOME COR</t>
  </si>
  <si>
    <t>OCSL</t>
  </si>
  <si>
    <t>OAKTREE SPECIALTY LENDING CO</t>
  </si>
  <si>
    <t>OCUL</t>
  </si>
  <si>
    <t>OCULAR THERAPEUTIX INC</t>
  </si>
  <si>
    <t>OCX</t>
  </si>
  <si>
    <t>ONCOCYTE CORP</t>
  </si>
  <si>
    <t>ODC</t>
  </si>
  <si>
    <t>OIL-DRI CORP OF AMERICA</t>
  </si>
  <si>
    <t>ODFL</t>
  </si>
  <si>
    <t>OLD DOMINION FREIGHT LINE</t>
  </si>
  <si>
    <t>ODP</t>
  </si>
  <si>
    <t>ODP CORP/THE</t>
  </si>
  <si>
    <t>ODT</t>
  </si>
  <si>
    <t>ODONATE THERAPEUTICS INC</t>
  </si>
  <si>
    <t>OEC</t>
  </si>
  <si>
    <t>ORION ENGINEERED CARBONS SA</t>
  </si>
  <si>
    <t>OEF</t>
  </si>
  <si>
    <t>ISHARES S&amp;P 100 ETF</t>
  </si>
  <si>
    <t>OEG</t>
  </si>
  <si>
    <t>ORBITAL ENERGY GROUP INC</t>
  </si>
  <si>
    <t>OESX</t>
  </si>
  <si>
    <t>ORION ENERGY SYSTEMS INC</t>
  </si>
  <si>
    <t>OEUR</t>
  </si>
  <si>
    <t>OSHARES EUROPE QUALITY DIVID</t>
  </si>
  <si>
    <t>OFC</t>
  </si>
  <si>
    <t>CORPORATE OFFICE PROPERTIES</t>
  </si>
  <si>
    <t>OFED</t>
  </si>
  <si>
    <t>OCONEE FEDERAL FINANCIAL COR</t>
  </si>
  <si>
    <t>OFG</t>
  </si>
  <si>
    <t>OFG BANCORP</t>
  </si>
  <si>
    <t>OFG-A</t>
  </si>
  <si>
    <t>OFG-B</t>
  </si>
  <si>
    <t>OFG-D</t>
  </si>
  <si>
    <t>OFIX</t>
  </si>
  <si>
    <t>ORTHOFIX MEDICAL INC</t>
  </si>
  <si>
    <t>OFLX</t>
  </si>
  <si>
    <t>OMEGA FLEX INC</t>
  </si>
  <si>
    <t>OFS</t>
  </si>
  <si>
    <t>OFS CAPITAL CORP</t>
  </si>
  <si>
    <t>OFSSI</t>
  </si>
  <si>
    <t>OFSSL</t>
  </si>
  <si>
    <t>OFSSZ</t>
  </si>
  <si>
    <t>OGCP</t>
  </si>
  <si>
    <t>EMPIRE STATE REALTY OP-S60</t>
  </si>
  <si>
    <t>OGE</t>
  </si>
  <si>
    <t>OGE ENERGY CORP</t>
  </si>
  <si>
    <t>OGEN</t>
  </si>
  <si>
    <t>ORAGENICS INC</t>
  </si>
  <si>
    <t>OGI</t>
  </si>
  <si>
    <t>ORGANIGRAM HOLDINGS INC</t>
  </si>
  <si>
    <t>OGIG</t>
  </si>
  <si>
    <t>O'SHARES GLOBAL INTERNET GIA</t>
  </si>
  <si>
    <t>OGS</t>
  </si>
  <si>
    <t>ONE GAS INC</t>
  </si>
  <si>
    <t>OHI</t>
  </si>
  <si>
    <t>OMEGA HEALTHCARE INVESTORS</t>
  </si>
  <si>
    <t>OI</t>
  </si>
  <si>
    <t>O-I GLASS INC</t>
  </si>
  <si>
    <t>OIA</t>
  </si>
  <si>
    <t>INVESCO MUNICIPAL INCOME OPP</t>
  </si>
  <si>
    <t>OIBR.C</t>
  </si>
  <si>
    <t>OI SA-ADR</t>
  </si>
  <si>
    <t>OIH</t>
  </si>
  <si>
    <t>VANECK OIL SERVICES</t>
  </si>
  <si>
    <t>OII</t>
  </si>
  <si>
    <t>OCEANEERING INTL INC</t>
  </si>
  <si>
    <t>OIIM</t>
  </si>
  <si>
    <t>O2MICRO INTERNATIONAL-ADR</t>
  </si>
  <si>
    <t>OIL</t>
  </si>
  <si>
    <t>IPATH PURE BETA CRUDE OIL</t>
  </si>
  <si>
    <t>OILK</t>
  </si>
  <si>
    <t>PROSHARES K-1 FREE CRUDE ETF</t>
  </si>
  <si>
    <t>OIS</t>
  </si>
  <si>
    <t>OIL STATES INTERNATIONAL INC</t>
  </si>
  <si>
    <t>OKE</t>
  </si>
  <si>
    <t>ONEOK INC</t>
  </si>
  <si>
    <t>OKTA</t>
  </si>
  <si>
    <t>OKTA INC</t>
  </si>
  <si>
    <t>OLB</t>
  </si>
  <si>
    <t>OLB GROUP INC</t>
  </si>
  <si>
    <t>OLD</t>
  </si>
  <si>
    <t>THE LONG TERM CARE ETF</t>
  </si>
  <si>
    <t>OLED</t>
  </si>
  <si>
    <t>UNIVERSAL DISPLAY CORP</t>
  </si>
  <si>
    <t>OLLI</t>
  </si>
  <si>
    <t>OLLIE'S BARGAIN OUTLET HOLDI</t>
  </si>
  <si>
    <t>OLN</t>
  </si>
  <si>
    <t>OLIN CORP</t>
  </si>
  <si>
    <t>OLP</t>
  </si>
  <si>
    <t>ONE LIBERTY PROPERTIES INC</t>
  </si>
  <si>
    <t>OMAB</t>
  </si>
  <si>
    <t>GRUPO AEROPORTUARIO CEN-ADR</t>
  </si>
  <si>
    <t>OMC</t>
  </si>
  <si>
    <t>OMNICOM GROUP</t>
  </si>
  <si>
    <t>OMCL</t>
  </si>
  <si>
    <t>OMNICELL INC</t>
  </si>
  <si>
    <t>OMER</t>
  </si>
  <si>
    <t>OMEROS CORP</t>
  </si>
  <si>
    <t>OMEX</t>
  </si>
  <si>
    <t>ODYSSEY MARINE EXPLORATION</t>
  </si>
  <si>
    <t>OMF</t>
  </si>
  <si>
    <t>ONEMAIN HOLDINGS INC</t>
  </si>
  <si>
    <t>OMFL</t>
  </si>
  <si>
    <t>INVESCO RUSSELL 1000 DYN M/F</t>
  </si>
  <si>
    <t>OMFS</t>
  </si>
  <si>
    <t>INVESCO RSL 2000 DYN MLTFCTR</t>
  </si>
  <si>
    <t>OMI</t>
  </si>
  <si>
    <t>OWENS &amp; MINOR INC</t>
  </si>
  <si>
    <t>OMP</t>
  </si>
  <si>
    <t>OASIS MIDSTREAM PARTNERS LP</t>
  </si>
  <si>
    <t>ON</t>
  </si>
  <si>
    <t>ON SEMICONDUCTOR CORP</t>
  </si>
  <si>
    <t>ONB</t>
  </si>
  <si>
    <t>OLD NATIONAL BANCORP</t>
  </si>
  <si>
    <t>ONCS</t>
  </si>
  <si>
    <t>ONCOSEC MEDICAL INC</t>
  </si>
  <si>
    <t>ONCT</t>
  </si>
  <si>
    <t>ONCTERNAL THERAPEUTICS INC</t>
  </si>
  <si>
    <t>ONCY</t>
  </si>
  <si>
    <t>ONCOLYTICS BIOTECH INC</t>
  </si>
  <si>
    <t>ONDK</t>
  </si>
  <si>
    <t>ON DECK CAPITAL INC</t>
  </si>
  <si>
    <t>ONESMART INTERNATIONAL -ADR</t>
  </si>
  <si>
    <t>ONEM</t>
  </si>
  <si>
    <t>1LIFE HEALTHCARE INC</t>
  </si>
  <si>
    <t>ONEO</t>
  </si>
  <si>
    <t>SPDR RUSSELL 1000 MOMEN FOCU</t>
  </si>
  <si>
    <t>ONEQ</t>
  </si>
  <si>
    <t>FIDELITY NASDAQ COMP INDX TS</t>
  </si>
  <si>
    <t>ONEV</t>
  </si>
  <si>
    <t>SPDR RUSSELL LOW VOL FOCUS</t>
  </si>
  <si>
    <t>ONEW</t>
  </si>
  <si>
    <t>ONEWATER MARINE INC-CL A</t>
  </si>
  <si>
    <t>ONEY</t>
  </si>
  <si>
    <t>SPDR RUSSELL 1000 YIELD FOCU</t>
  </si>
  <si>
    <t>ONLN</t>
  </si>
  <si>
    <t>PROSHARES ONLINE RETAIL ETF</t>
  </si>
  <si>
    <t>ONTO</t>
  </si>
  <si>
    <t>ONTO INNOVATION INC</t>
  </si>
  <si>
    <t>ONTX</t>
  </si>
  <si>
    <t>ONCONOVA THERAPEUTICS INC</t>
  </si>
  <si>
    <t>ONTXW</t>
  </si>
  <si>
    <t>ONVO</t>
  </si>
  <si>
    <t>ORGANOVO HOLDINGS INC</t>
  </si>
  <si>
    <t>OOMA</t>
  </si>
  <si>
    <t>OOMA INC</t>
  </si>
  <si>
    <t>OPBK</t>
  </si>
  <si>
    <t>OP BANCORP</t>
  </si>
  <si>
    <t>OPCH</t>
  </si>
  <si>
    <t>OPTION CARE HEALTH INC</t>
  </si>
  <si>
    <t>OPER</t>
  </si>
  <si>
    <t>CLEARSHARES ULTRA-SHORT MATU</t>
  </si>
  <si>
    <t>OPES</t>
  </si>
  <si>
    <t>OPES ACQUISITION CORP</t>
  </si>
  <si>
    <t>OPESU</t>
  </si>
  <si>
    <t>OPESW</t>
  </si>
  <si>
    <t>OPGN</t>
  </si>
  <si>
    <t>OPGEN INC</t>
  </si>
  <si>
    <t>OPHC</t>
  </si>
  <si>
    <t>OPTIMUMBANK HOLDINGS INC</t>
  </si>
  <si>
    <t>OPI</t>
  </si>
  <si>
    <t>OFFICE PROPERTIES INCOME TRU</t>
  </si>
  <si>
    <t>OPINI</t>
  </si>
  <si>
    <t>OPINL</t>
  </si>
  <si>
    <t>OPK</t>
  </si>
  <si>
    <t>OPKO HEALTH INC</t>
  </si>
  <si>
    <t>OPNT</t>
  </si>
  <si>
    <t>OPIANT PHARMACEUTICALS INC</t>
  </si>
  <si>
    <t>OPOF</t>
  </si>
  <si>
    <t>OLD POINT FINANCIAL CORP</t>
  </si>
  <si>
    <t>OPP</t>
  </si>
  <si>
    <t>RIVERNRTH/DOUBLELNE STR OPP</t>
  </si>
  <si>
    <t>OPP^</t>
  </si>
  <si>
    <t>RIVERNRTH/DOUBLELNE ST-R-W/I</t>
  </si>
  <si>
    <t>OPRA</t>
  </si>
  <si>
    <t>OPERA LTD-ADR</t>
  </si>
  <si>
    <t>OPRT</t>
  </si>
  <si>
    <t>OPORTUN FINANCIAL CORP</t>
  </si>
  <si>
    <t>OPRX</t>
  </si>
  <si>
    <t>OPTIMIZERX CORP</t>
  </si>
  <si>
    <t>OPTN</t>
  </si>
  <si>
    <t>OPTINOSE INC</t>
  </si>
  <si>
    <t>OPTT</t>
  </si>
  <si>
    <t>OCEAN POWER TECHNOLOGIES INC</t>
  </si>
  <si>
    <t>OPY</t>
  </si>
  <si>
    <t>OPPENHEIMER HOLDINGS-CL A</t>
  </si>
  <si>
    <t>OR</t>
  </si>
  <si>
    <t>OSISKO GOLD ROYALTIES LTD</t>
  </si>
  <si>
    <t>ORA</t>
  </si>
  <si>
    <t>ORMAT TECHNOLOGIES INC</t>
  </si>
  <si>
    <t>ORAN</t>
  </si>
  <si>
    <t>ORANGE-SPON ADR</t>
  </si>
  <si>
    <t>ORBC</t>
  </si>
  <si>
    <t>ORBCOMM INC</t>
  </si>
  <si>
    <t>ORC</t>
  </si>
  <si>
    <t>ORCHID ISLAND CAPITAL INC</t>
  </si>
  <si>
    <t>ORCC</t>
  </si>
  <si>
    <t>OWL ROCK CAPITAL CORP</t>
  </si>
  <si>
    <t>ORCL</t>
  </si>
  <si>
    <t>ORACLE CORP</t>
  </si>
  <si>
    <t>ORGO</t>
  </si>
  <si>
    <t>ORGANOGENESIS HOLDINGS INC</t>
  </si>
  <si>
    <t>ORGS</t>
  </si>
  <si>
    <t>ORGENESIS INC</t>
  </si>
  <si>
    <t>ORI</t>
  </si>
  <si>
    <t>OLD REPUBLIC INTL CORP</t>
  </si>
  <si>
    <t>ORIC</t>
  </si>
  <si>
    <t>ORIC PHARMACEUTICALS INC</t>
  </si>
  <si>
    <t>ORLY</t>
  </si>
  <si>
    <t>O'REILLY AUTOMOTIVE INC</t>
  </si>
  <si>
    <t>ORMP</t>
  </si>
  <si>
    <t>ORAMED PHARMACEUTICALS INC</t>
  </si>
  <si>
    <t>ORN</t>
  </si>
  <si>
    <t>ORION GROUP HOLDINGS INC</t>
  </si>
  <si>
    <t>ORRF</t>
  </si>
  <si>
    <t>ORRSTOWN FINL SERVICES INC</t>
  </si>
  <si>
    <t>ORSN</t>
  </si>
  <si>
    <t>ORISUN ACQUISITION CORP</t>
  </si>
  <si>
    <t>ORSNR</t>
  </si>
  <si>
    <t>RISUN ACQUISITION CORP-RTS</t>
  </si>
  <si>
    <t>ORSNU</t>
  </si>
  <si>
    <t>ORSNW</t>
  </si>
  <si>
    <t>ORTX</t>
  </si>
  <si>
    <t>ORCHARD THERAPEUTICS PLC</t>
  </si>
  <si>
    <t>OSB</t>
  </si>
  <si>
    <t>NORBORD INC</t>
  </si>
  <si>
    <t>OSBC</t>
  </si>
  <si>
    <t>OLD SECOND BANCORP INC</t>
  </si>
  <si>
    <t>OSCV</t>
  </si>
  <si>
    <t>OPUS SMALL CAP VALUE ETF</t>
  </si>
  <si>
    <t>OSG</t>
  </si>
  <si>
    <t>OVERSEAS SHIPHOLDING GROUP-A</t>
  </si>
  <si>
    <t>OSH</t>
  </si>
  <si>
    <t>OAK STREET HEALTH INC</t>
  </si>
  <si>
    <t>OSIS</t>
  </si>
  <si>
    <t>OSI SYSTEMS INC</t>
  </si>
  <si>
    <t>OSK</t>
  </si>
  <si>
    <t>OSHKOSH CORP</t>
  </si>
  <si>
    <t>OSMT</t>
  </si>
  <si>
    <t>OSMOTICA PHARMACEUTICALS PLC</t>
  </si>
  <si>
    <t>OSN</t>
  </si>
  <si>
    <t>OSSEN INNOVATION CO-SPON ADR</t>
  </si>
  <si>
    <t>OSPN</t>
  </si>
  <si>
    <t>ONESPAN INC</t>
  </si>
  <si>
    <t>OSS</t>
  </si>
  <si>
    <t>ONE STOP SYSTEMS INC</t>
  </si>
  <si>
    <t>OSTK</t>
  </si>
  <si>
    <t>OVERSTOCK.COM INC</t>
  </si>
  <si>
    <t>OSUR</t>
  </si>
  <si>
    <t>ORASURE TECHNOLOGIES INC</t>
  </si>
  <si>
    <t>OSW</t>
  </si>
  <si>
    <t>ONESPAWORLD HOLDINGS LTD</t>
  </si>
  <si>
    <t>OTEL</t>
  </si>
  <si>
    <t>OTELCO INC-A</t>
  </si>
  <si>
    <t>OTEX</t>
  </si>
  <si>
    <t>OPEN TEXT CORP</t>
  </si>
  <si>
    <t>OTIC</t>
  </si>
  <si>
    <t>OTONOMY INC</t>
  </si>
  <si>
    <t>OTIS</t>
  </si>
  <si>
    <t>OTIS WORLDWIDE CORP</t>
  </si>
  <si>
    <t>OTLK</t>
  </si>
  <si>
    <t>OUTLOOK THERAPEUTICS INC</t>
  </si>
  <si>
    <t>OTLKW</t>
  </si>
  <si>
    <t>OTRK</t>
  </si>
  <si>
    <t>ONTRAK INC</t>
  </si>
  <si>
    <t>OTRKP</t>
  </si>
  <si>
    <t>OTTR</t>
  </si>
  <si>
    <t>OTTER TAIL CORP</t>
  </si>
  <si>
    <t>OUNZ</t>
  </si>
  <si>
    <t>VANECK MERK GOLD TRUST</t>
  </si>
  <si>
    <t>OUSA</t>
  </si>
  <si>
    <t>OSHARES U.S QUALITY DIVIDEND</t>
  </si>
  <si>
    <t>OUSM</t>
  </si>
  <si>
    <t>OSHARES U.S. SMALL-CAP QUALI</t>
  </si>
  <si>
    <t>OUT</t>
  </si>
  <si>
    <t>OUTFRONT MEDIA INC</t>
  </si>
  <si>
    <t>OVB</t>
  </si>
  <si>
    <t>OVERLAY SHARES CORE BOND ETF</t>
  </si>
  <si>
    <t>OVBC</t>
  </si>
  <si>
    <t>OHIO VALLEY BANC CORP</t>
  </si>
  <si>
    <t>OVF</t>
  </si>
  <si>
    <t>OVERLAY SHARES FOREIGN EQUIT</t>
  </si>
  <si>
    <t>OVID</t>
  </si>
  <si>
    <t>OVID THERAPEUTICS INC</t>
  </si>
  <si>
    <t>OVL</t>
  </si>
  <si>
    <t>OVERLAY SHARES LARGE CAP EQ</t>
  </si>
  <si>
    <t>OVLY</t>
  </si>
  <si>
    <t>OAK VALLEY BANCORP</t>
  </si>
  <si>
    <t>OVM</t>
  </si>
  <si>
    <t>OVERLAY SHARES MUNICIPAL BON</t>
  </si>
  <si>
    <t>OVS</t>
  </si>
  <si>
    <t>OVERLAY SHARES SMALL CAP EQ</t>
  </si>
  <si>
    <t>OVV</t>
  </si>
  <si>
    <t>OVINTIV INC</t>
  </si>
  <si>
    <t>OXBR</t>
  </si>
  <si>
    <t>OXBRIDGE RE HOLDINGS LTD</t>
  </si>
  <si>
    <t>OXBRW</t>
  </si>
  <si>
    <t>OXFD</t>
  </si>
  <si>
    <t>OXFORD IMMUNOTEC GLOBAL PLC</t>
  </si>
  <si>
    <t>OXLC</t>
  </si>
  <si>
    <t>OXFORD LANE CAPITAL CORP</t>
  </si>
  <si>
    <t>OXLCM</t>
  </si>
  <si>
    <t>OXLCO</t>
  </si>
  <si>
    <t>OXLCP</t>
  </si>
  <si>
    <t>OXM</t>
  </si>
  <si>
    <t>OXFORD INDUSTRIES INC</t>
  </si>
  <si>
    <t>OXSQ</t>
  </si>
  <si>
    <t>OXFORD SQUARE CAPITAL CORP</t>
  </si>
  <si>
    <t>OXSQL</t>
  </si>
  <si>
    <t>OXSQZ</t>
  </si>
  <si>
    <t>OXY</t>
  </si>
  <si>
    <t>OCCIDENTAL PETROLEUM CORP</t>
  </si>
  <si>
    <t>OXY+</t>
  </si>
  <si>
    <t>OYST</t>
  </si>
  <si>
    <t>OYSTER POINT PHARMA INC</t>
  </si>
  <si>
    <t>OZK</t>
  </si>
  <si>
    <t>BANK OZK</t>
  </si>
  <si>
    <t>PAA</t>
  </si>
  <si>
    <t>PLAINS ALL AMER PIPELINE LP</t>
  </si>
  <si>
    <t>PAAS</t>
  </si>
  <si>
    <t>PAN AMERICAN SILVER CORP</t>
  </si>
  <si>
    <t>PAC</t>
  </si>
  <si>
    <t>GRUPO AEROPORTUARIO PAC-ADR</t>
  </si>
  <si>
    <t>PACB</t>
  </si>
  <si>
    <t>PACIFIC BIOSCIENCES OF CALIF</t>
  </si>
  <si>
    <t>PACD</t>
  </si>
  <si>
    <t>PACIFIC DRILLING SA</t>
  </si>
  <si>
    <t>PACK</t>
  </si>
  <si>
    <t>RANPAK HOLDINGS CORP</t>
  </si>
  <si>
    <t>PACW</t>
  </si>
  <si>
    <t>PACWEST BANCORP</t>
  </si>
  <si>
    <t>PAE</t>
  </si>
  <si>
    <t>PAE INC</t>
  </si>
  <si>
    <t>PAEWW</t>
  </si>
  <si>
    <t>PAG</t>
  </si>
  <si>
    <t>PENSKE AUTOMOTIVE GROUP INC</t>
  </si>
  <si>
    <t>PAGP</t>
  </si>
  <si>
    <t>PLAINS GP HOLDINGS LP-CL A</t>
  </si>
  <si>
    <t>PAGS</t>
  </si>
  <si>
    <t>PAGSEGURO DIGITAL LTD-CL A</t>
  </si>
  <si>
    <t>PAHC</t>
  </si>
  <si>
    <t>PHIBRO ANIMAL HEALTH CORP-A</t>
  </si>
  <si>
    <t>PAI</t>
  </si>
  <si>
    <t>WESTERN ASSET INVESTMENT GRA</t>
  </si>
  <si>
    <t>PAK</t>
  </si>
  <si>
    <t>GLOBAL X MSCI PAKISTAN ETF</t>
  </si>
  <si>
    <t>PALC</t>
  </si>
  <si>
    <t>PACER LUNT LRG CAP MULTI-FAC</t>
  </si>
  <si>
    <t>PALL</t>
  </si>
  <si>
    <t>PAM</t>
  </si>
  <si>
    <t>PAMPA ENERGIA SA-SPON ADR</t>
  </si>
  <si>
    <t>PAMC</t>
  </si>
  <si>
    <t>PACER LUNT MIDCAP MULT-FACT</t>
  </si>
  <si>
    <t>PANA</t>
  </si>
  <si>
    <t>PANACEA ACQUISITION CORP-A</t>
  </si>
  <si>
    <t>PANA+</t>
  </si>
  <si>
    <t>PANA=</t>
  </si>
  <si>
    <t>PANACEA ACQUISITION CORP</t>
  </si>
  <si>
    <t>PAND</t>
  </si>
  <si>
    <t>PANDION THERAPEUTICS INC</t>
  </si>
  <si>
    <t>PANL</t>
  </si>
  <si>
    <t>PANGAEA LOGISTICS SOLUTIONS</t>
  </si>
  <si>
    <t>PANW</t>
  </si>
  <si>
    <t>PALO ALTO NETWORKS INC</t>
  </si>
  <si>
    <t>PAPR</t>
  </si>
  <si>
    <t>INNOVATOR S&amp;P 500 POWER BUFF</t>
  </si>
  <si>
    <t>PAR</t>
  </si>
  <si>
    <t>PAR TECHNOLOGY CORP/DEL</t>
  </si>
  <si>
    <t>PARR</t>
  </si>
  <si>
    <t>PAR PACIFIC HOLDINGS INC</t>
  </si>
  <si>
    <t>PASG</t>
  </si>
  <si>
    <t>PASSAGE BIO INC</t>
  </si>
  <si>
    <t>PASS</t>
  </si>
  <si>
    <t>DRX DLY CONS DISC BEAR 3X</t>
  </si>
  <si>
    <t>PATI</t>
  </si>
  <si>
    <t>PATRIOT TRANSPORTATION HOLDI</t>
  </si>
  <si>
    <t>PATK</t>
  </si>
  <si>
    <t>PATRICK INDUSTRIES INC</t>
  </si>
  <si>
    <t>PAUG</t>
  </si>
  <si>
    <t>INNOVATOR S&amp;P 500 POWER-AUG</t>
  </si>
  <si>
    <t>PAVE</t>
  </si>
  <si>
    <t>GLOBAL X US INFRASTRUCTURE</t>
  </si>
  <si>
    <t>PAVM</t>
  </si>
  <si>
    <t>PAVMED INC</t>
  </si>
  <si>
    <t>PAVMW</t>
  </si>
  <si>
    <t>PAVMZ</t>
  </si>
  <si>
    <t>PAWZ</t>
  </si>
  <si>
    <t>PROSHARES PET CARE ETF</t>
  </si>
  <si>
    <t>PAYC</t>
  </si>
  <si>
    <t>PAYCOM SOFTWARE INC</t>
  </si>
  <si>
    <t>PAYS</t>
  </si>
  <si>
    <t>PAYSIGN INC</t>
  </si>
  <si>
    <t>PAYX</t>
  </si>
  <si>
    <t>PAYCHEX INC</t>
  </si>
  <si>
    <t>PB</t>
  </si>
  <si>
    <t>PROSPERITY BANCSHARES INC</t>
  </si>
  <si>
    <t>PBA</t>
  </si>
  <si>
    <t>PEMBINA PIPELINE CORP</t>
  </si>
  <si>
    <t>PBB</t>
  </si>
  <si>
    <t>PBC</t>
  </si>
  <si>
    <t>PBCT</t>
  </si>
  <si>
    <t>PEOPLE'S UNITED FINANCIAL</t>
  </si>
  <si>
    <t>PBCTP</t>
  </si>
  <si>
    <t>PBD</t>
  </si>
  <si>
    <t>INVESCO GLOBAL CLEAN ENERGY</t>
  </si>
  <si>
    <t>PBDM</t>
  </si>
  <si>
    <t>INVESCO PUREBETA FTSE DEVELO</t>
  </si>
  <si>
    <t>PBE</t>
  </si>
  <si>
    <t>INVESCO DYNAMIC BIOTECHNOLOG</t>
  </si>
  <si>
    <t>PBEE</t>
  </si>
  <si>
    <t>INVESCO PUREBETA FTSE EMERGI</t>
  </si>
  <si>
    <t>PBF</t>
  </si>
  <si>
    <t>PBF ENERGY INC-CLASS A</t>
  </si>
  <si>
    <t>PBFS</t>
  </si>
  <si>
    <t>PIONEER BANCORP INC/NY</t>
  </si>
  <si>
    <t>PBFX</t>
  </si>
  <si>
    <t>PBF LOGISTICS LP</t>
  </si>
  <si>
    <t>PBH</t>
  </si>
  <si>
    <t>PRESTIGE CONSUMER HEALTHCARE</t>
  </si>
  <si>
    <t>PBHC</t>
  </si>
  <si>
    <t>PATHFINDER BANCORP INC</t>
  </si>
  <si>
    <t>PBI</t>
  </si>
  <si>
    <t>PITNEY BOWES INC</t>
  </si>
  <si>
    <t>PBI-B</t>
  </si>
  <si>
    <t>PBIP</t>
  </si>
  <si>
    <t>PRUDENTIAL BANCORP INC</t>
  </si>
  <si>
    <t>PBJ</t>
  </si>
  <si>
    <t>INVESCO DYNAMIC FOOD &amp; BEVER</t>
  </si>
  <si>
    <t>PBND</t>
  </si>
  <si>
    <t>INVESCO PUREBETA US AGGREGAT</t>
  </si>
  <si>
    <t>PBP</t>
  </si>
  <si>
    <t>INVESCO S&amp;P 500 BUYWRITE ETF</t>
  </si>
  <si>
    <t>PBPB</t>
  </si>
  <si>
    <t>POTBELLY CORP</t>
  </si>
  <si>
    <t>PBR</t>
  </si>
  <si>
    <t>PETROLEO BRASILEIRO-SPON ADR</t>
  </si>
  <si>
    <t>PBR.A</t>
  </si>
  <si>
    <t>PETROLEO BRASIL-SP PREF  ADR</t>
  </si>
  <si>
    <t>PBS</t>
  </si>
  <si>
    <t>INVESCO DYNAMIC MEDIA ETF</t>
  </si>
  <si>
    <t>PBSM</t>
  </si>
  <si>
    <t>INVESCO PUREBETA MSCI USA SM</t>
  </si>
  <si>
    <t>PBT</t>
  </si>
  <si>
    <t>PERMIAN BASIN ROYALTY TRUST</t>
  </si>
  <si>
    <t>PBTP</t>
  </si>
  <si>
    <t>INVESCO PUREBETA 0-5 YR US T</t>
  </si>
  <si>
    <t>PBTS</t>
  </si>
  <si>
    <t>POWERBRIDGE TECHNOLOGIES CO</t>
  </si>
  <si>
    <t>PBUS</t>
  </si>
  <si>
    <t>INVESCO PUREBETA MSCI USA ET</t>
  </si>
  <si>
    <t>PBW</t>
  </si>
  <si>
    <t>INVESCO WILDERHILL CLEAN ENE</t>
  </si>
  <si>
    <t>PBY</t>
  </si>
  <si>
    <t>PBYI</t>
  </si>
  <si>
    <t>PUMA BIOTECHNOLOGY INC</t>
  </si>
  <si>
    <t>PCAR</t>
  </si>
  <si>
    <t>PACCAR INC</t>
  </si>
  <si>
    <t>PCB</t>
  </si>
  <si>
    <t>PCB BANCORP</t>
  </si>
  <si>
    <t>PCEF</t>
  </si>
  <si>
    <t>INVESCO CEF INCOME COMPOSITE</t>
  </si>
  <si>
    <t>PCF</t>
  </si>
  <si>
    <t>HIGH INCOME SECURITIES FUND</t>
  </si>
  <si>
    <t>PCG</t>
  </si>
  <si>
    <t>P G &amp; E CORP</t>
  </si>
  <si>
    <t>PCG-A</t>
  </si>
  <si>
    <t>PCG-B</t>
  </si>
  <si>
    <t>PCG-C</t>
  </si>
  <si>
    <t>PCG-D</t>
  </si>
  <si>
    <t>PCG-E</t>
  </si>
  <si>
    <t>PCG-G</t>
  </si>
  <si>
    <t>PCG-H</t>
  </si>
  <si>
    <t>PCG-I</t>
  </si>
  <si>
    <t>PCGU</t>
  </si>
  <si>
    <t>PCH</t>
  </si>
  <si>
    <t>POTLATCHDELTIC CORP</t>
  </si>
  <si>
    <t>PCI</t>
  </si>
  <si>
    <t>PIMCO DYNAMIC CREDIT AND MOR</t>
  </si>
  <si>
    <t>PCK</t>
  </si>
  <si>
    <t>PIMCO CALIFORNIA MUNICIPA II</t>
  </si>
  <si>
    <t>PCM</t>
  </si>
  <si>
    <t>PCM FUND INC</t>
  </si>
  <si>
    <t>PCN</t>
  </si>
  <si>
    <t>PIMCO CORPORATE &amp; INCOME STR</t>
  </si>
  <si>
    <t>PCOM</t>
  </si>
  <si>
    <t>POINTS INTERNATIONAL LTD</t>
  </si>
  <si>
    <t>PCPL</t>
  </si>
  <si>
    <t>CC NEUBERGER PRINCIPAL HDS-A</t>
  </si>
  <si>
    <t>PCPL+</t>
  </si>
  <si>
    <t>PCPL=</t>
  </si>
  <si>
    <t>CC NEUBERGER PRINCIPAL HOLDI</t>
  </si>
  <si>
    <t>PCQ</t>
  </si>
  <si>
    <t>PIMCO CALIFORNIA MUNI INC FD</t>
  </si>
  <si>
    <t>PCRX</t>
  </si>
  <si>
    <t>PACIRA BIOSCIENCES INC</t>
  </si>
  <si>
    <t>PCSB</t>
  </si>
  <si>
    <t>PCSB FINANCIAL CORP</t>
  </si>
  <si>
    <t>PCTI</t>
  </si>
  <si>
    <t>PCTEL INC</t>
  </si>
  <si>
    <t>PCTY</t>
  </si>
  <si>
    <t>PAYLOCITY HOLDING CORP</t>
  </si>
  <si>
    <t>PCVX</t>
  </si>
  <si>
    <t>VAXCYTE INC</t>
  </si>
  <si>
    <t>PCY</t>
  </si>
  <si>
    <t>INVESCO EMERGING MARKETS SOV</t>
  </si>
  <si>
    <t>PCYG</t>
  </si>
  <si>
    <t>PARK CITY GROUP INC</t>
  </si>
  <si>
    <t>PCYO</t>
  </si>
  <si>
    <t>PURE CYCLE CORP</t>
  </si>
  <si>
    <t>PD</t>
  </si>
  <si>
    <t>PAGERDUTY INC</t>
  </si>
  <si>
    <t>PDBC</t>
  </si>
  <si>
    <t>INVESCO OPTIMUM YIELD DIVERS</t>
  </si>
  <si>
    <t>PDCE</t>
  </si>
  <si>
    <t>PDC ENERGY INC</t>
  </si>
  <si>
    <t>PDCO</t>
  </si>
  <si>
    <t>PATTERSON COS INC</t>
  </si>
  <si>
    <t>PDD</t>
  </si>
  <si>
    <t>PINDUODUO INC-ADR</t>
  </si>
  <si>
    <t>PDEC</t>
  </si>
  <si>
    <t>INNOVATOR S&amp;P POWER BUFF-DEC</t>
  </si>
  <si>
    <t>PDEV</t>
  </si>
  <si>
    <t>PRINCIPAL INTERNATIONAL CORE</t>
  </si>
  <si>
    <t>PDEX</t>
  </si>
  <si>
    <t>PRO-DEX INC</t>
  </si>
  <si>
    <t>PDFS</t>
  </si>
  <si>
    <t>PDF SOLUTIONS INC</t>
  </si>
  <si>
    <t>PDI</t>
  </si>
  <si>
    <t>PIMCO DYNAMIC INCOME FUND</t>
  </si>
  <si>
    <t>PDLB</t>
  </si>
  <si>
    <t>PDL COMMUNITY BANCORP</t>
  </si>
  <si>
    <t>PDLI</t>
  </si>
  <si>
    <t>PDL BIOPHARMA INC</t>
  </si>
  <si>
    <t>PDM</t>
  </si>
  <si>
    <t>PIEDMONT OFFICE REALTY TRU-A</t>
  </si>
  <si>
    <t>PDN</t>
  </si>
  <si>
    <t>INVESCO FTSE RAFI DEVELOPED</t>
  </si>
  <si>
    <t>PDP</t>
  </si>
  <si>
    <t>INVESCO DWA MOMENTUM ETF</t>
  </si>
  <si>
    <t>PDS</t>
  </si>
  <si>
    <t>PRECISION DRILLING CORP</t>
  </si>
  <si>
    <t>PDSB</t>
  </si>
  <si>
    <t>PDS BIOTECHNOLOGY CORP</t>
  </si>
  <si>
    <t>PDT</t>
  </si>
  <si>
    <t>JOHN HAN PREMIUM DIVIDEND FD</t>
  </si>
  <si>
    <t>PE</t>
  </si>
  <si>
    <t>PARSLEY ENERGY INC-CLASS A</t>
  </si>
  <si>
    <t>PEAK</t>
  </si>
  <si>
    <t>HEALTHPEAK PROPERTIES INC</t>
  </si>
  <si>
    <t>PEB</t>
  </si>
  <si>
    <t>PEBBLEBROOK HOTEL TRUST</t>
  </si>
  <si>
    <t>PEB-C</t>
  </si>
  <si>
    <t>PEB-D</t>
  </si>
  <si>
    <t>PEB-E</t>
  </si>
  <si>
    <t>PEB-F</t>
  </si>
  <si>
    <t>PEBK</t>
  </si>
  <si>
    <t>PEOPLES BANCORP OF NC</t>
  </si>
  <si>
    <t>PEBO</t>
  </si>
  <si>
    <t>PEOPLES BANCORP INC</t>
  </si>
  <si>
    <t>PECK</t>
  </si>
  <si>
    <t>PECK CO HOLDINGS INC/THE</t>
  </si>
  <si>
    <t>PED</t>
  </si>
  <si>
    <t>PEDEVCO CORP</t>
  </si>
  <si>
    <t>PEG</t>
  </si>
  <si>
    <t>PUBLIC SERVICE ENTERPRISE GP</t>
  </si>
  <si>
    <t>PEGA</t>
  </si>
  <si>
    <t>PEGASYSTEMS INC</t>
  </si>
  <si>
    <t>PEI</t>
  </si>
  <si>
    <t>PENN REAL ESTATE INVEST TST</t>
  </si>
  <si>
    <t>PEI-B</t>
  </si>
  <si>
    <t>PEI-C</t>
  </si>
  <si>
    <t>PEI-D</t>
  </si>
  <si>
    <t>PEIX</t>
  </si>
  <si>
    <t>PACIFIC ETHANOL INC</t>
  </si>
  <si>
    <t>PEJ</t>
  </si>
  <si>
    <t>INVESCO DYNAMIC LEISURE AND</t>
  </si>
  <si>
    <t>PEN</t>
  </si>
  <si>
    <t>PENUMBRA INC</t>
  </si>
  <si>
    <t>PENN</t>
  </si>
  <si>
    <t>PENN NATIONAL GAMING INC</t>
  </si>
  <si>
    <t>PEO</t>
  </si>
  <si>
    <t>ADAMS NATURAL RESOURCES FUND</t>
  </si>
  <si>
    <t>PEP</t>
  </si>
  <si>
    <t>PEPSICO INC</t>
  </si>
  <si>
    <t>PERI</t>
  </si>
  <si>
    <t>PERION NETWORK LTD</t>
  </si>
  <si>
    <t>PESI</t>
  </si>
  <si>
    <t>PERMA-FIX ENVIRONMENTAL SVCS</t>
  </si>
  <si>
    <t>PETQ</t>
  </si>
  <si>
    <t>PETIQ INC</t>
  </si>
  <si>
    <t>PETS</t>
  </si>
  <si>
    <t>PETMED EXPRESS INC</t>
  </si>
  <si>
    <t>PETZ</t>
  </si>
  <si>
    <t>TDH HOLDINGS INC</t>
  </si>
  <si>
    <t>PEX</t>
  </si>
  <si>
    <t>PROSHARES GLOBAL LISTED PRIV</t>
  </si>
  <si>
    <t>PEXL</t>
  </si>
  <si>
    <t>PACER US EXPORT LEADERS ETF</t>
  </si>
  <si>
    <t>PEY</t>
  </si>
  <si>
    <t>INVESCO HIGH YIELD EQUITY DI</t>
  </si>
  <si>
    <t>PEZ</t>
  </si>
  <si>
    <t>INVESCO DWA CONSUMER CYCLICA</t>
  </si>
  <si>
    <t>PFBC</t>
  </si>
  <si>
    <t>PREFERRED BANK/LOS ANGELES</t>
  </si>
  <si>
    <t>PFBI</t>
  </si>
  <si>
    <t>PREMIER FINANCIAL BANCORP</t>
  </si>
  <si>
    <t>PFC</t>
  </si>
  <si>
    <t>PREMIER FINANCIAL CORP</t>
  </si>
  <si>
    <t>PFD</t>
  </si>
  <si>
    <t>PFE</t>
  </si>
  <si>
    <t>PFIZER INC</t>
  </si>
  <si>
    <t>PFEB</t>
  </si>
  <si>
    <t>INNOVATOR SP 500 POWER - FEB</t>
  </si>
  <si>
    <t>PFF</t>
  </si>
  <si>
    <t>ISHARES PREFERRED &amp; INCOME S</t>
  </si>
  <si>
    <t>PFFA</t>
  </si>
  <si>
    <t>Virtus InfraCap US PFD ETF</t>
  </si>
  <si>
    <t>PFFD</t>
  </si>
  <si>
    <t>GLOBAL X US PREFERRED ETF</t>
  </si>
  <si>
    <t>PFFL</t>
  </si>
  <si>
    <t>ETRACS MON PAY 2XLEV PREFER</t>
  </si>
  <si>
    <t>PFFR</t>
  </si>
  <si>
    <t>INFRACAP REIT PREFERRED ETF</t>
  </si>
  <si>
    <t>PFFV</t>
  </si>
  <si>
    <t>GLOBAL X VARIABLE RATE PREF</t>
  </si>
  <si>
    <t>PFG</t>
  </si>
  <si>
    <t>PRINCIPAL FINANCIAL GROUP</t>
  </si>
  <si>
    <t>PFGC</t>
  </si>
  <si>
    <t>PERFORMANCE FOOD GROUP CO</t>
  </si>
  <si>
    <t>PFH</t>
  </si>
  <si>
    <t>PFHD</t>
  </si>
  <si>
    <t>PROFESSIONAL HOLDING CORP-A</t>
  </si>
  <si>
    <t>PFI</t>
  </si>
  <si>
    <t>INVESCO DWA FINANCIAL MOMENT</t>
  </si>
  <si>
    <t>PFIE</t>
  </si>
  <si>
    <t>PROFIRE ENERGY INC</t>
  </si>
  <si>
    <t>PFIG</t>
  </si>
  <si>
    <t>INVESCO FUNDAMENTAL INVESTME</t>
  </si>
  <si>
    <t>PFIN</t>
  </si>
  <si>
    <t>P &amp; F INDUSTRIES -CL A</t>
  </si>
  <si>
    <t>PFIS</t>
  </si>
  <si>
    <t>PEOPLES FINANCIAL SERVICES</t>
  </si>
  <si>
    <t>PFL</t>
  </si>
  <si>
    <t>PIMCO INCOME STRATEGY FUND</t>
  </si>
  <si>
    <t>PFLD</t>
  </si>
  <si>
    <t>AAM LOW DUR PREF &amp; INC SEC</t>
  </si>
  <si>
    <t>PFLT</t>
  </si>
  <si>
    <t>PENNANTPARK FLOATING RATE CA</t>
  </si>
  <si>
    <t>PFM</t>
  </si>
  <si>
    <t>INVESCO DIVIDEND ACHIEVERS E</t>
  </si>
  <si>
    <t>PFMT</t>
  </si>
  <si>
    <t>PERFORMANT FINANCIAL CORP</t>
  </si>
  <si>
    <t>PFN</t>
  </si>
  <si>
    <t>PIMCO INCOME STRATEGY FD II</t>
  </si>
  <si>
    <t>PFNX</t>
  </si>
  <si>
    <t>PFENEX INC</t>
  </si>
  <si>
    <t>PFO</t>
  </si>
  <si>
    <t>PFPT</t>
  </si>
  <si>
    <t>PROOFPOINT INC</t>
  </si>
  <si>
    <t>PFS</t>
  </si>
  <si>
    <t>PROVIDENT FINANCIAL SERVICES</t>
  </si>
  <si>
    <t>PFSI</t>
  </si>
  <si>
    <t>PENNYMAC FINANCIAL SERVICES</t>
  </si>
  <si>
    <t>PFSW</t>
  </si>
  <si>
    <t>PFSWEB INC</t>
  </si>
  <si>
    <t>PFXF</t>
  </si>
  <si>
    <t>VANECK PRFD SEC EX FINANCIAL</t>
  </si>
  <si>
    <t>PG</t>
  </si>
  <si>
    <t>PROCTER &amp; GAMBLE CO/THE</t>
  </si>
  <si>
    <t>PGAL</t>
  </si>
  <si>
    <t>GLOBAL X MSCI PORTUGAL ETF</t>
  </si>
  <si>
    <t>PGC</t>
  </si>
  <si>
    <t>PEAPACK GLADSTONE FINL CORP</t>
  </si>
  <si>
    <t>PGEN</t>
  </si>
  <si>
    <t>PRECIGEN INC</t>
  </si>
  <si>
    <t>PGF</t>
  </si>
  <si>
    <t>INVESCO FINANCIAL PREFERRED</t>
  </si>
  <si>
    <t>PGHY</t>
  </si>
  <si>
    <t>INVESCO GLOBAL SHORT TERM HI</t>
  </si>
  <si>
    <t>PGJ</t>
  </si>
  <si>
    <t>INVESCO GOLDEN DRAGON CHINA</t>
  </si>
  <si>
    <t>PGM</t>
  </si>
  <si>
    <t>IPATH SERIES B BBG PLATINUM</t>
  </si>
  <si>
    <t>PGNY</t>
  </si>
  <si>
    <t>PROGYNY INC</t>
  </si>
  <si>
    <t>PGP</t>
  </si>
  <si>
    <t>PIMCO GLOBAL STOCKSPLUS &amp; IN</t>
  </si>
  <si>
    <t>PGR</t>
  </si>
  <si>
    <t>PROGRESSIVE CORP</t>
  </si>
  <si>
    <t>PGRE</t>
  </si>
  <si>
    <t>PARAMOUNT GROUP INC</t>
  </si>
  <si>
    <t>PGTI</t>
  </si>
  <si>
    <t>PGT INNOVATIONS INC</t>
  </si>
  <si>
    <t>PGX</t>
  </si>
  <si>
    <t>INVESCO PREFERRED ETF</t>
  </si>
  <si>
    <t>PGZ</t>
  </si>
  <si>
    <t>PRINCIPAL REAL ESTATE INCOME</t>
  </si>
  <si>
    <t>PH</t>
  </si>
  <si>
    <t>PARKER HANNIFIN CORP</t>
  </si>
  <si>
    <t>PHAS</t>
  </si>
  <si>
    <t>PHASEBIO PHARMACEUTICALS INC</t>
  </si>
  <si>
    <t>PHAT</t>
  </si>
  <si>
    <t>PHATHOM PHARMACEUTICALS INC</t>
  </si>
  <si>
    <t>PHB</t>
  </si>
  <si>
    <t>INVESCO FUNDAMENTAL HIGH YIE</t>
  </si>
  <si>
    <t>PHCF</t>
  </si>
  <si>
    <t>PUHUI WEALTH INVESTMENT MANA</t>
  </si>
  <si>
    <t>PHD</t>
  </si>
  <si>
    <t>PIONEER FLOATING RATE TRUST</t>
  </si>
  <si>
    <t>PHDG</t>
  </si>
  <si>
    <t>INVESCO S&amp;P 500 DOWNSIDE HED</t>
  </si>
  <si>
    <t>PHG</t>
  </si>
  <si>
    <t>KONINKLIJKE PHILIPS NVR- NY</t>
  </si>
  <si>
    <t>PHGE</t>
  </si>
  <si>
    <t>BIOMX INC</t>
  </si>
  <si>
    <t>PHGE+</t>
  </si>
  <si>
    <t>PHGE=</t>
  </si>
  <si>
    <t>PHI</t>
  </si>
  <si>
    <t>PLDT INC-SPON ADR</t>
  </si>
  <si>
    <t>PHIO</t>
  </si>
  <si>
    <t>PHIO PHARMACEUTICALS CORP</t>
  </si>
  <si>
    <t>PHIOW</t>
  </si>
  <si>
    <t>PHK</t>
  </si>
  <si>
    <t>PIMCO HIGH INCOME FUND</t>
  </si>
  <si>
    <t>PHM</t>
  </si>
  <si>
    <t>PULTEGROUP INC</t>
  </si>
  <si>
    <t>PHO</t>
  </si>
  <si>
    <t>INVESCO WATER RESOURCES ETF</t>
  </si>
  <si>
    <t>PHR</t>
  </si>
  <si>
    <t>PHREESIA INC</t>
  </si>
  <si>
    <t>PHT</t>
  </si>
  <si>
    <t>PIONEER HIGH INCOME TRUST</t>
  </si>
  <si>
    <t>PHUN</t>
  </si>
  <si>
    <t>PHUNWARE INC</t>
  </si>
  <si>
    <t>PHUNW</t>
  </si>
  <si>
    <t>PHX</t>
  </si>
  <si>
    <t>PANHANDLE OIL AND GAS INC-A</t>
  </si>
  <si>
    <t>PHYL</t>
  </si>
  <si>
    <t>PGIM ACTIVE HIGH YIELD BOND</t>
  </si>
  <si>
    <t>PHYS</t>
  </si>
  <si>
    <t>SPROTT PHYSICAL GOLD TRUST</t>
  </si>
  <si>
    <t>PI</t>
  </si>
  <si>
    <t>IMPINJ INC</t>
  </si>
  <si>
    <t>PIAI=</t>
  </si>
  <si>
    <t>PIC</t>
  </si>
  <si>
    <t>PIVOTAL INVESTMENT CORP II-A</t>
  </si>
  <si>
    <t>PIC+</t>
  </si>
  <si>
    <t>PIC=</t>
  </si>
  <si>
    <t>PIVOTAL INVESTMENT CORP II</t>
  </si>
  <si>
    <t>PICB</t>
  </si>
  <si>
    <t>INVESCO INTERNATIONAL CORPOR</t>
  </si>
  <si>
    <t>PICK</t>
  </si>
  <si>
    <t>ISHARES MSCI GLOBAL METALS &amp;</t>
  </si>
  <si>
    <t>PICO</t>
  </si>
  <si>
    <t>PICO HOLDINGS INC</t>
  </si>
  <si>
    <t>PID</t>
  </si>
  <si>
    <t>INVESCO INTERNATIONAL DIVIDE</t>
  </si>
  <si>
    <t>PIE</t>
  </si>
  <si>
    <t>INVESCO DWA EMERGING MARKETS</t>
  </si>
  <si>
    <t>PIH</t>
  </si>
  <si>
    <t>1347 PROPERTY INSURANCE HOLD</t>
  </si>
  <si>
    <t>PIHPP</t>
  </si>
  <si>
    <t>PII</t>
  </si>
  <si>
    <t>POLARIS INC</t>
  </si>
  <si>
    <t>PILL</t>
  </si>
  <si>
    <t>DIREXION DLY PHARMA BULL 3X</t>
  </si>
  <si>
    <t>PIM</t>
  </si>
  <si>
    <t>PUTNAM MASTER INTER INC TST</t>
  </si>
  <si>
    <t>PIN</t>
  </si>
  <si>
    <t>INVESCO INDIA EXCHANGE-TRADE</t>
  </si>
  <si>
    <t>PINC</t>
  </si>
  <si>
    <t>PREMIER INC-CLASS A</t>
  </si>
  <si>
    <t>PINE</t>
  </si>
  <si>
    <t>ALPINE INCOME PROPERTY TRUST</t>
  </si>
  <si>
    <t>PING</t>
  </si>
  <si>
    <t>PING IDENTITY HOLDING CORP</t>
  </si>
  <si>
    <t>PINS</t>
  </si>
  <si>
    <t>PINTEREST INC- CLASS A</t>
  </si>
  <si>
    <t>PIO</t>
  </si>
  <si>
    <t>INVESCO GLOBAL WATER ETF</t>
  </si>
  <si>
    <t>PIPR</t>
  </si>
  <si>
    <t>PIPER SANDLER COS</t>
  </si>
  <si>
    <t>PIRS</t>
  </si>
  <si>
    <t>PIERIS PHARMACEUTICALS INC</t>
  </si>
  <si>
    <t>PIXY</t>
  </si>
  <si>
    <t>SHIFTPIXY INC</t>
  </si>
  <si>
    <t>PIZ</t>
  </si>
  <si>
    <t>INVESCO DWA DEVELOPED MARKET</t>
  </si>
  <si>
    <t>PJAN</t>
  </si>
  <si>
    <t>INNOVATOR S&amp;P 500 POWER-JAN</t>
  </si>
  <si>
    <t>PJH</t>
  </si>
  <si>
    <t>PJP</t>
  </si>
  <si>
    <t>INVESCO DYNAMIC PHARMACEUTIC</t>
  </si>
  <si>
    <t>PJT</t>
  </si>
  <si>
    <t>PJT PARTNERS INC - A</t>
  </si>
  <si>
    <t>PJUL</t>
  </si>
  <si>
    <t>PJUN</t>
  </si>
  <si>
    <t>Innovator S&amp;P500 P-BUFF JUNE</t>
  </si>
  <si>
    <t>PK</t>
  </si>
  <si>
    <t>PARK HOTELS &amp; RESORTS INC</t>
  </si>
  <si>
    <t>PKB</t>
  </si>
  <si>
    <t>INVESCO DYNAMIC BUILDING &amp; C</t>
  </si>
  <si>
    <t>PKBK</t>
  </si>
  <si>
    <t>PARKE BANCORP INC</t>
  </si>
  <si>
    <t>PKE</t>
  </si>
  <si>
    <t>PARK AEROSPACE CORP</t>
  </si>
  <si>
    <t>PKG</t>
  </si>
  <si>
    <t>PACKAGING CORP OF AMERICA</t>
  </si>
  <si>
    <t>PKI</t>
  </si>
  <si>
    <t>PERKINELMER INC</t>
  </si>
  <si>
    <t>PKO</t>
  </si>
  <si>
    <t>PIMCO INCOME OPPORTUNITY FND</t>
  </si>
  <si>
    <t>PKOH</t>
  </si>
  <si>
    <t>PARK-OHIO HOLDINGS CORP</t>
  </si>
  <si>
    <t>PKW</t>
  </si>
  <si>
    <t>INVESCO BUYBACK ACHIEVERS ET</t>
  </si>
  <si>
    <t>PKX</t>
  </si>
  <si>
    <t>POSCO- SPON ADR</t>
  </si>
  <si>
    <t>PLAB</t>
  </si>
  <si>
    <t>PHOTRONICS INC</t>
  </si>
  <si>
    <t>PLAG</t>
  </si>
  <si>
    <t>PLANET GREEN HOLDINGS CORP</t>
  </si>
  <si>
    <t>PLAN</t>
  </si>
  <si>
    <t>ANAPLAN INC</t>
  </si>
  <si>
    <t>PLAT</t>
  </si>
  <si>
    <t>WISDOMTREE GROWTH LEADERS FU</t>
  </si>
  <si>
    <t>PLAY</t>
  </si>
  <si>
    <t>DAVE &amp; BUSTER'S ENTERTAINMEN</t>
  </si>
  <si>
    <t>PLBC</t>
  </si>
  <si>
    <t>PLUMAS BANCORP</t>
  </si>
  <si>
    <t>PLC</t>
  </si>
  <si>
    <t>PRINCIPAL US LARGE CAP INDEX</t>
  </si>
  <si>
    <t>PLCE</t>
  </si>
  <si>
    <t>CHILDREN'S PLACE INC/THE</t>
  </si>
  <si>
    <t>PLD</t>
  </si>
  <si>
    <t>PROLOGIS INC</t>
  </si>
  <si>
    <t>PLG</t>
  </si>
  <si>
    <t>PLATINUM GROUP METALS LTD</t>
  </si>
  <si>
    <t>PLIN</t>
  </si>
  <si>
    <t>CHINA XIANGTAI FOOD CO LTD</t>
  </si>
  <si>
    <t>PLL</t>
  </si>
  <si>
    <t>PIEDMONT LITHIUM LTD-ADR</t>
  </si>
  <si>
    <t>PLM</t>
  </si>
  <si>
    <t>POLYMET MINING CORP</t>
  </si>
  <si>
    <t>PLMR</t>
  </si>
  <si>
    <t>PALOMAR HOLDINGS INC</t>
  </si>
  <si>
    <t>PLNT</t>
  </si>
  <si>
    <t>PLANET FITNESS INC - CL A</t>
  </si>
  <si>
    <t>PLOW</t>
  </si>
  <si>
    <t>DOUGLAS DYNAMICS INC</t>
  </si>
  <si>
    <t>PLPC</t>
  </si>
  <si>
    <t>PREFORMED LINE PRODUCTS CO</t>
  </si>
  <si>
    <t>PLRX</t>
  </si>
  <si>
    <t>PLIANT THERAPEUTICS INC</t>
  </si>
  <si>
    <t>PLSE</t>
  </si>
  <si>
    <t>PULSE BIOSCIENCES INC</t>
  </si>
  <si>
    <t>PLT</t>
  </si>
  <si>
    <t>PLANTRONICS INC</t>
  </si>
  <si>
    <t>PLTM</t>
  </si>
  <si>
    <t>GRANITESHARES PLATINUM TRUST</t>
  </si>
  <si>
    <t>PLUG</t>
  </si>
  <si>
    <t>PLUG POWER INC</t>
  </si>
  <si>
    <t>PLUS</t>
  </si>
  <si>
    <t>EPLUS INC</t>
  </si>
  <si>
    <t>PLW</t>
  </si>
  <si>
    <t>INVESCO 1-30 LADDERED TREASU</t>
  </si>
  <si>
    <t>PLX</t>
  </si>
  <si>
    <t>PROTALIX BIOTHERAPEUTICS INC</t>
  </si>
  <si>
    <t>PLXP</t>
  </si>
  <si>
    <t>PLX PHARMA INC</t>
  </si>
  <si>
    <t>PLXS</t>
  </si>
  <si>
    <t>PLEXUS CORP</t>
  </si>
  <si>
    <t>PLYA</t>
  </si>
  <si>
    <t>PLAYA HOTELS &amp; RESORTS NV</t>
  </si>
  <si>
    <t>PLYM</t>
  </si>
  <si>
    <t>PLYMOUTH INDUSTRIAL REIT INC</t>
  </si>
  <si>
    <t>PLYM-A</t>
  </si>
  <si>
    <t>PM</t>
  </si>
  <si>
    <t>PHILIP MORRIS INTERNATIONAL</t>
  </si>
  <si>
    <t>PMAR</t>
  </si>
  <si>
    <t>PMAY</t>
  </si>
  <si>
    <t>INNOVATOR S&amp;P 500 P-BUFF MAY</t>
  </si>
  <si>
    <t>PMBC</t>
  </si>
  <si>
    <t>PACIFIC MERCANTILE BANCORP</t>
  </si>
  <si>
    <t>PMD</t>
  </si>
  <si>
    <t>PSYCHEMEDICS CORP</t>
  </si>
  <si>
    <t>PME</t>
  </si>
  <si>
    <t>PINGTAN MARINE ENTERPRISE LT</t>
  </si>
  <si>
    <t>PMF</t>
  </si>
  <si>
    <t>PIMCO MUNICIPAL INCOME FUND</t>
  </si>
  <si>
    <t>PML</t>
  </si>
  <si>
    <t>PIMCO MUNICIPAL INCOME FD II</t>
  </si>
  <si>
    <t>PMM</t>
  </si>
  <si>
    <t>PUTNAM MANAGED MUNI INCM TRS</t>
  </si>
  <si>
    <t>PMO</t>
  </si>
  <si>
    <t>PUTNAM MUNI OPPORTUNITIES TR</t>
  </si>
  <si>
    <t>PMT</t>
  </si>
  <si>
    <t>PENNYMAC MORTGAGE INVESTMENT</t>
  </si>
  <si>
    <t>PMT-A</t>
  </si>
  <si>
    <t>PMT-B</t>
  </si>
  <si>
    <t>PMX</t>
  </si>
  <si>
    <t>PIMCO MUNI INCOME FUND III</t>
  </si>
  <si>
    <t>PNBK</t>
  </si>
  <si>
    <t>PATRIOT NATIONAL BANCORP INC</t>
  </si>
  <si>
    <t>PNC</t>
  </si>
  <si>
    <t>PNC FINANCIAL SERVICES GROUP</t>
  </si>
  <si>
    <t>PNC-P</t>
  </si>
  <si>
    <t>PNF</t>
  </si>
  <si>
    <t>PIMCO NEW YORK MUNI INC FD</t>
  </si>
  <si>
    <t>PNFP</t>
  </si>
  <si>
    <t>PINNACLE FINANCIAL PARTNERS</t>
  </si>
  <si>
    <t>PNFPP</t>
  </si>
  <si>
    <t>PNI</t>
  </si>
  <si>
    <t>PIMCO NEW YORK MUNICIPAL II</t>
  </si>
  <si>
    <t>PNM</t>
  </si>
  <si>
    <t>PNM RESOURCES INC</t>
  </si>
  <si>
    <t>PNNT</t>
  </si>
  <si>
    <t>PENNANTPARK INVESTMENT CORP</t>
  </si>
  <si>
    <t>PNNTG</t>
  </si>
  <si>
    <t>PNOV</t>
  </si>
  <si>
    <t>INNOVATOR S&amp;P POWER BUFFER-N</t>
  </si>
  <si>
    <t>PNQI</t>
  </si>
  <si>
    <t>INVESCO NASDAQ INTERNET ETF</t>
  </si>
  <si>
    <t>PNR</t>
  </si>
  <si>
    <t>PENTAIR PLC</t>
  </si>
  <si>
    <t>PNRG</t>
  </si>
  <si>
    <t>PRIMEENERGY RESOURCES CORP</t>
  </si>
  <si>
    <t>PNTG</t>
  </si>
  <si>
    <t>PENNANT GROUP INC/THE</t>
  </si>
  <si>
    <t>PNW</t>
  </si>
  <si>
    <t>PINNACLE WEST CAPITAL</t>
  </si>
  <si>
    <t>POAI</t>
  </si>
  <si>
    <t>PREDICTIVE ONCOLOGY INC</t>
  </si>
  <si>
    <t>POCT</t>
  </si>
  <si>
    <t>INNOVATOR S&amp;P 500 POWER OCT</t>
  </si>
  <si>
    <t>PODD</t>
  </si>
  <si>
    <t>INSULET CORP</t>
  </si>
  <si>
    <t>POLA</t>
  </si>
  <si>
    <t>POLAR POWER INC</t>
  </si>
  <si>
    <t>POOL</t>
  </si>
  <si>
    <t>POOL CORP</t>
  </si>
  <si>
    <t>POR</t>
  </si>
  <si>
    <t>PORTLAND GENERAL ELECTRIC CO</t>
  </si>
  <si>
    <t>POST</t>
  </si>
  <si>
    <t>POST HOLDINGS INC</t>
  </si>
  <si>
    <t>POTX</t>
  </si>
  <si>
    <t>GLOBAL X CANNABIS ETF</t>
  </si>
  <si>
    <t>POWI</t>
  </si>
  <si>
    <t>POWER INTEGRATIONS INC</t>
  </si>
  <si>
    <t>POWL</t>
  </si>
  <si>
    <t>POWELL INDUSTRIES INC</t>
  </si>
  <si>
    <t>PPA</t>
  </si>
  <si>
    <t>INVESCO AEROSPACE &amp; DEFENSE</t>
  </si>
  <si>
    <t>PPBI</t>
  </si>
  <si>
    <t>PACIFIC PREMIER BANCORP INC</t>
  </si>
  <si>
    <t>PPC</t>
  </si>
  <si>
    <t>PILGRIM'S PRIDE CORP</t>
  </si>
  <si>
    <t>PPD</t>
  </si>
  <si>
    <t>PPD INC</t>
  </si>
  <si>
    <t>PPDM</t>
  </si>
  <si>
    <t>PORTFOLIO PLUS DEV MKT ETF</t>
  </si>
  <si>
    <t>PPEM</t>
  </si>
  <si>
    <t>PORTFOLIO PLUS EMG MKT ETF</t>
  </si>
  <si>
    <t>PPG</t>
  </si>
  <si>
    <t>PPG INDUSTRIES INC</t>
  </si>
  <si>
    <t>PPH</t>
  </si>
  <si>
    <t>VANECK PHARMACEUTICAL</t>
  </si>
  <si>
    <t>PPIH</t>
  </si>
  <si>
    <t>PERMA-PIPE INTERNATIONAL HOL</t>
  </si>
  <si>
    <t>PPL</t>
  </si>
  <si>
    <t>PPL CORP</t>
  </si>
  <si>
    <t>PPLC</t>
  </si>
  <si>
    <t>PORTFOLIO PLUS S&amp;P 500 ETF</t>
  </si>
  <si>
    <t>PPLT</t>
  </si>
  <si>
    <t>PPMC</t>
  </si>
  <si>
    <t>PORTFOLIO PLUS S&amp;P MDCAP ETF</t>
  </si>
  <si>
    <t>PPR</t>
  </si>
  <si>
    <t>VOYA PRIME RATE TRUST</t>
  </si>
  <si>
    <t>PPSC</t>
  </si>
  <si>
    <t>PORTFOLIO PLUS S&amp;P SMCAP ETF</t>
  </si>
  <si>
    <t>PPSI</t>
  </si>
  <si>
    <t>PIONEER POWER SOLUTIONS INC</t>
  </si>
  <si>
    <t>PPT</t>
  </si>
  <si>
    <t>PUTNAM PREMIER INCOME TRUST</t>
  </si>
  <si>
    <t>PPTY</t>
  </si>
  <si>
    <t>US DIVERSIFIED REAL ESTATE</t>
  </si>
  <si>
    <t>PPX</t>
  </si>
  <si>
    <t>PQDI</t>
  </si>
  <si>
    <t>PRINCIPAL SPECTRUM TAX-ADVAN</t>
  </si>
  <si>
    <t>PQG</t>
  </si>
  <si>
    <t>PQ GROUP HOLDINGS INC</t>
  </si>
  <si>
    <t>PQIN</t>
  </si>
  <si>
    <t>PGIM QMA STRATEGIC ALPHA INT</t>
  </si>
  <si>
    <t>PQLC</t>
  </si>
  <si>
    <t>PGIM QMA STRATEGIC ALPHA LAR</t>
  </si>
  <si>
    <t>PQSG</t>
  </si>
  <si>
    <t>PGIM QMA STRATEGIC ALPHA SMA</t>
  </si>
  <si>
    <t>PQSV</t>
  </si>
  <si>
    <t>PRA</t>
  </si>
  <si>
    <t>PROASSURANCE CORP</t>
  </si>
  <si>
    <t>PRAA</t>
  </si>
  <si>
    <t>PRA GROUP INC</t>
  </si>
  <si>
    <t>PRAH</t>
  </si>
  <si>
    <t>PRA HEALTH SCIENCES INC</t>
  </si>
  <si>
    <t>PRCP</t>
  </si>
  <si>
    <t>PERCEPTRON INC</t>
  </si>
  <si>
    <t>PRDO</t>
  </si>
  <si>
    <t>PERDOCEO EDUCATION CORP</t>
  </si>
  <si>
    <t>PRE-F</t>
  </si>
  <si>
    <t>PRE-G</t>
  </si>
  <si>
    <t>PRE-H</t>
  </si>
  <si>
    <t>PRE-I</t>
  </si>
  <si>
    <t>PREF</t>
  </si>
  <si>
    <t>PRNCPAL SPCTRM PREF SEC ACTV</t>
  </si>
  <si>
    <t>PRF</t>
  </si>
  <si>
    <t>INVESCO FTSE RAFI US 1000 ET</t>
  </si>
  <si>
    <t>PRFT</t>
  </si>
  <si>
    <t>PERFICIENT INC</t>
  </si>
  <si>
    <t>PRFX</t>
  </si>
  <si>
    <t>PAINREFORM LTD</t>
  </si>
  <si>
    <t>PRFZ</t>
  </si>
  <si>
    <t>INVESCO FTSE RAFI US 1500 SM</t>
  </si>
  <si>
    <t>PRGO</t>
  </si>
  <si>
    <t>PERRIGO CO PLC</t>
  </si>
  <si>
    <t>PRGS</t>
  </si>
  <si>
    <t>PROGRESS SOFTWARE CORP</t>
  </si>
  <si>
    <t>PRGX</t>
  </si>
  <si>
    <t>PRGX GLOBAL INC</t>
  </si>
  <si>
    <t>PRH</t>
  </si>
  <si>
    <t>PRI</t>
  </si>
  <si>
    <t>PRIMERICA INC</t>
  </si>
  <si>
    <t>PRIF-A</t>
  </si>
  <si>
    <t>PRIF-B</t>
  </si>
  <si>
    <t>PRIF-C</t>
  </si>
  <si>
    <t>PRIF-D</t>
  </si>
  <si>
    <t>PRIF-E</t>
  </si>
  <si>
    <t>PRIF-F</t>
  </si>
  <si>
    <t>PRIM</t>
  </si>
  <si>
    <t>PRIMORIS SERVICES CORP</t>
  </si>
  <si>
    <t>PRK</t>
  </si>
  <si>
    <t>PARK NATIONAL CORP</t>
  </si>
  <si>
    <t>PRLB</t>
  </si>
  <si>
    <t>PROTO LABS INC</t>
  </si>
  <si>
    <t>PRMW</t>
  </si>
  <si>
    <t>PRIMO WATER CORP</t>
  </si>
  <si>
    <t>PRN</t>
  </si>
  <si>
    <t>INVESCO DWA INDUSTRIALS MOME</t>
  </si>
  <si>
    <t>PRNB</t>
  </si>
  <si>
    <t>PRINCIPIA BIOPHARMA INC</t>
  </si>
  <si>
    <t>PRNT</t>
  </si>
  <si>
    <t>THE 3D PRINTING ETF</t>
  </si>
  <si>
    <t>PRO</t>
  </si>
  <si>
    <t>PROS HOLDINGS INC</t>
  </si>
  <si>
    <t>PROF</t>
  </si>
  <si>
    <t>PROFOUND MEDICAL CORP</t>
  </si>
  <si>
    <t>PROG</t>
  </si>
  <si>
    <t>PROGENITY INC</t>
  </si>
  <si>
    <t>PROS</t>
  </si>
  <si>
    <t>PROSIGHT GLOBAL INC</t>
  </si>
  <si>
    <t>PROV</t>
  </si>
  <si>
    <t>PROVIDENT FINANCIAL HLDGS</t>
  </si>
  <si>
    <t>PRPB=</t>
  </si>
  <si>
    <t>PRPH</t>
  </si>
  <si>
    <t>PROPHASE LABS INC</t>
  </si>
  <si>
    <t>PRPL</t>
  </si>
  <si>
    <t>PURPLE INNOVATION INC</t>
  </si>
  <si>
    <t>PRPLW</t>
  </si>
  <si>
    <t>PRPO</t>
  </si>
  <si>
    <t>PRECIPIO INC</t>
  </si>
  <si>
    <t>PRQR</t>
  </si>
  <si>
    <t>PROQR THERAPEUTICS NV</t>
  </si>
  <si>
    <t>PRS</t>
  </si>
  <si>
    <t>PRSC</t>
  </si>
  <si>
    <t>PROVIDENCE SERVICE CORP</t>
  </si>
  <si>
    <t>PRSP</t>
  </si>
  <si>
    <t>PERSPECTA INC</t>
  </si>
  <si>
    <t>PRT</t>
  </si>
  <si>
    <t>PERMROCK ROYALTY TRUST</t>
  </si>
  <si>
    <t>PRTA</t>
  </si>
  <si>
    <t>PROTHENA CORP PLC</t>
  </si>
  <si>
    <t>PRTH</t>
  </si>
  <si>
    <t>PRIORITY TECHNOLOGY HOLDINGS</t>
  </si>
  <si>
    <t>PRTK</t>
  </si>
  <si>
    <t>PARATEK PHARMACEUTICALS INC</t>
  </si>
  <si>
    <t>PRTS</t>
  </si>
  <si>
    <t>CARPARTS.COM INC</t>
  </si>
  <si>
    <t>PRTY</t>
  </si>
  <si>
    <t>PARTY CITY HOLDCO INC</t>
  </si>
  <si>
    <t>PRU</t>
  </si>
  <si>
    <t>PRUDENTIAL FINANCIAL INC</t>
  </si>
  <si>
    <t>PRVB</t>
  </si>
  <si>
    <t>PROVENTION BIO INC</t>
  </si>
  <si>
    <t>PRVL</t>
  </si>
  <si>
    <t>PREVAIL THERAPEUTICS INC</t>
  </si>
  <si>
    <t>PS</t>
  </si>
  <si>
    <t>PLURALSIGHT INC - A</t>
  </si>
  <si>
    <t>PSA</t>
  </si>
  <si>
    <t>PUBLIC STORAGE</t>
  </si>
  <si>
    <t>PSA-B</t>
  </si>
  <si>
    <t>PSA-C</t>
  </si>
  <si>
    <t>PSA-D</t>
  </si>
  <si>
    <t>PSA-E</t>
  </si>
  <si>
    <t>PSA-F</t>
  </si>
  <si>
    <t>PSA-G</t>
  </si>
  <si>
    <t>PSA-H</t>
  </si>
  <si>
    <t>PSA-I</t>
  </si>
  <si>
    <t>PSA-J</t>
  </si>
  <si>
    <t>PSA-K</t>
  </si>
  <si>
    <t>PSA-L</t>
  </si>
  <si>
    <t>PSA-M</t>
  </si>
  <si>
    <t>PSA-W</t>
  </si>
  <si>
    <t>PSA-X</t>
  </si>
  <si>
    <t>PSAC</t>
  </si>
  <si>
    <t>PROPERTY SOLUTIONS ACQUISITI</t>
  </si>
  <si>
    <t>PSACU</t>
  </si>
  <si>
    <t>PSACW</t>
  </si>
  <si>
    <t>PSB</t>
  </si>
  <si>
    <t>PS BUSINESS PARKS INC/CA</t>
  </si>
  <si>
    <t>PSB-W</t>
  </si>
  <si>
    <t>PSB-X</t>
  </si>
  <si>
    <t>PSB-Y</t>
  </si>
  <si>
    <t>PSB-Z</t>
  </si>
  <si>
    <t>PSC</t>
  </si>
  <si>
    <t>PRINCIPAL US SMALL CAP INDEX</t>
  </si>
  <si>
    <t>PSCC</t>
  </si>
  <si>
    <t>INVESCO S&amp;P SMALLCAP CONSUME</t>
  </si>
  <si>
    <t>PSCD</t>
  </si>
  <si>
    <t>PSCE</t>
  </si>
  <si>
    <t>INVESCO S&amp;P SMALLCAP ENERGY</t>
  </si>
  <si>
    <t>PSCF</t>
  </si>
  <si>
    <t>INVESCO S&amp;P SMALLCAP FINANCI</t>
  </si>
  <si>
    <t>PSCH</t>
  </si>
  <si>
    <t>INVESCO S&amp;P SMALLCAP HEALTH</t>
  </si>
  <si>
    <t>PSCI</t>
  </si>
  <si>
    <t>INVESCO S&amp;P SMALLCAP INDUSTR</t>
  </si>
  <si>
    <t>PSCM</t>
  </si>
  <si>
    <t>INVESCO S&amp;P SMALLCAP MATERIA</t>
  </si>
  <si>
    <t>PSCT</t>
  </si>
  <si>
    <t>INVESCO S&amp;P SMALLCAP INFORMA</t>
  </si>
  <si>
    <t>PSCU</t>
  </si>
  <si>
    <t>INVESCO S&amp;P S C U&amp;C SER ETF</t>
  </si>
  <si>
    <t>PSEC</t>
  </si>
  <si>
    <t>PROSPECT CAPITAL CORP</t>
  </si>
  <si>
    <t>PSEP</t>
  </si>
  <si>
    <t>INNOVATOR S&amp;P 500 POWER-SEPT</t>
  </si>
  <si>
    <t>PSET</t>
  </si>
  <si>
    <t>PRINCIPAL PRICE SET IND ETF</t>
  </si>
  <si>
    <t>PSF</t>
  </si>
  <si>
    <t>COHEN &amp; STEERS SELECT PREFER</t>
  </si>
  <si>
    <t>PSHG</t>
  </si>
  <si>
    <t>PERFORMANCE SHIPPING INC</t>
  </si>
  <si>
    <t>PSI</t>
  </si>
  <si>
    <t>INVESCO DYNAMIC SEMICONDUCTO</t>
  </si>
  <si>
    <t>PSJ</t>
  </si>
  <si>
    <t>INVESCO DYNAMIC SOFTWARE ETF</t>
  </si>
  <si>
    <t>PSK</t>
  </si>
  <si>
    <t>SPDR WELLS FARGO PREFERRED</t>
  </si>
  <si>
    <t>PSL</t>
  </si>
  <si>
    <t>INVESCO DWA CONSUMER STAPLES</t>
  </si>
  <si>
    <t>PSLV</t>
  </si>
  <si>
    <t>SPROTT PHYSICAL SILVER TRUST</t>
  </si>
  <si>
    <t>PSM</t>
  </si>
  <si>
    <t>PRINCIPAL US SMALL CORE INDX</t>
  </si>
  <si>
    <t>PSMB</t>
  </si>
  <si>
    <t>INVESCO BALANCED MULTI-ASSET</t>
  </si>
  <si>
    <t>PSMC</t>
  </si>
  <si>
    <t>INVESCO CONSERVATIVE MULTI-A</t>
  </si>
  <si>
    <t>PSMG</t>
  </si>
  <si>
    <t>INVESCO GROWTH MULTI-ASSET A</t>
  </si>
  <si>
    <t>PSMM</t>
  </si>
  <si>
    <t>INVESCO MODERATELY CONSERVAT</t>
  </si>
  <si>
    <t>PSMT</t>
  </si>
  <si>
    <t>PRICESMART INC</t>
  </si>
  <si>
    <t>PSN</t>
  </si>
  <si>
    <t>PARSONS CORP</t>
  </si>
  <si>
    <t>PSNL</t>
  </si>
  <si>
    <t>PERSONALIS INC</t>
  </si>
  <si>
    <t>PSO</t>
  </si>
  <si>
    <t>PEARSON PLC-SPONSORED ADR</t>
  </si>
  <si>
    <t>PSP</t>
  </si>
  <si>
    <t>INVESCO GLOBAL LISTED PRIVAT</t>
  </si>
  <si>
    <t>PSQ</t>
  </si>
  <si>
    <t>PROSHARES SHORT QQQ</t>
  </si>
  <si>
    <t>PSR</t>
  </si>
  <si>
    <t>INVESCO ACTIVE US REAL ESTAT</t>
  </si>
  <si>
    <t>PST</t>
  </si>
  <si>
    <t>PROSHARES ULTRASHORT 7-10 YR</t>
  </si>
  <si>
    <t>PSTG</t>
  </si>
  <si>
    <t>PURE STORAGE INC - CLASS A</t>
  </si>
  <si>
    <t>PSTH=</t>
  </si>
  <si>
    <t>PERSHING SQUARE TONTINE HOLD</t>
  </si>
  <si>
    <t>PSTI</t>
  </si>
  <si>
    <t>PLURISTEM THERAPEUTICS INC</t>
  </si>
  <si>
    <t>PSTL</t>
  </si>
  <si>
    <t>POSTAL REALTY TRUST INC- A</t>
  </si>
  <si>
    <t>PSTV</t>
  </si>
  <si>
    <t>PLUS THERAPEUTICS INC</t>
  </si>
  <si>
    <t>PSTX</t>
  </si>
  <si>
    <t>POSEIDA THERAPEUTICS INC</t>
  </si>
  <si>
    <t>PSV</t>
  </si>
  <si>
    <t>HERMITAGE OFFSHORE SERVICES</t>
  </si>
  <si>
    <t>PSX</t>
  </si>
  <si>
    <t>PHILLIPS 66</t>
  </si>
  <si>
    <t>PSXP</t>
  </si>
  <si>
    <t>PHILLIPS 66 PARTNERS LP</t>
  </si>
  <si>
    <t>PT</t>
  </si>
  <si>
    <t>PINTEC TECHNOLOGY HOLDINGS L</t>
  </si>
  <si>
    <t>PTAC</t>
  </si>
  <si>
    <t>PROPTECH ACQUISITION CORP-A</t>
  </si>
  <si>
    <t>PTACU</t>
  </si>
  <si>
    <t>PROPTECH ACQUISITION CORPORA</t>
  </si>
  <si>
    <t>PTACW</t>
  </si>
  <si>
    <t>PTBD</t>
  </si>
  <si>
    <t>PACER TRENDPILOT US BOND ETF</t>
  </si>
  <si>
    <t>PTC</t>
  </si>
  <si>
    <t>PTC INC</t>
  </si>
  <si>
    <t>PTCT</t>
  </si>
  <si>
    <t>PTC THERAPEUTICS INC</t>
  </si>
  <si>
    <t>PTE</t>
  </si>
  <si>
    <t>POLARITYTE INC</t>
  </si>
  <si>
    <t>PTEN</t>
  </si>
  <si>
    <t>PATTERSON-UTI ENERGY INC</t>
  </si>
  <si>
    <t>PTEU</t>
  </si>
  <si>
    <t>PACER TRENDPILOT EUROPEAN ET</t>
  </si>
  <si>
    <t>PTF</t>
  </si>
  <si>
    <t>INVESCO DWA TECHNOLOGY MOMEN</t>
  </si>
  <si>
    <t>PTGX</t>
  </si>
  <si>
    <t>PROTAGONIST THERAPEUTICS INC</t>
  </si>
  <si>
    <t>PTH</t>
  </si>
  <si>
    <t>INVESCO DWA HEALTHCARE MOMEN</t>
  </si>
  <si>
    <t>PTI</t>
  </si>
  <si>
    <t>PROTEOSTASIS THERAPEUTICS IN</t>
  </si>
  <si>
    <t>PTIN</t>
  </si>
  <si>
    <t>PACER TRENDPILOT INTL ETF</t>
  </si>
  <si>
    <t>PTK=</t>
  </si>
  <si>
    <t>PTK ACQUISITION CORP</t>
  </si>
  <si>
    <t>PTLC</t>
  </si>
  <si>
    <t>PACER TRENDPILOT US LARGE CA</t>
  </si>
  <si>
    <t>PTMC</t>
  </si>
  <si>
    <t>PACER TRENDPILOT US MID CAP</t>
  </si>
  <si>
    <t>PTMN</t>
  </si>
  <si>
    <t>PORTMAN RIDGE FINANCE CORP</t>
  </si>
  <si>
    <t>PTN</t>
  </si>
  <si>
    <t>PALATIN TECHNOLOGIES INC</t>
  </si>
  <si>
    <t>PTNQ</t>
  </si>
  <si>
    <t>PACER TRENDPILOT 100 ETF</t>
  </si>
  <si>
    <t>PTNR</t>
  </si>
  <si>
    <t>PARTNER COMMUNICATIONS-ADR</t>
  </si>
  <si>
    <t>PTON</t>
  </si>
  <si>
    <t>PELOTON INTERACTIVE INC-A</t>
  </si>
  <si>
    <t>PTR</t>
  </si>
  <si>
    <t>PETROCHINA CO LTD -ADR</t>
  </si>
  <si>
    <t>PTRS</t>
  </si>
  <si>
    <t>PARTNERS BANCORP</t>
  </si>
  <si>
    <t>PTSI</t>
  </si>
  <si>
    <t>P.A.M. TRANSPORTATION SVCS</t>
  </si>
  <si>
    <t>PTVCA</t>
  </si>
  <si>
    <t>PROTECTIVE INSURANCE CORP- A</t>
  </si>
  <si>
    <t>PTVCB</t>
  </si>
  <si>
    <t>PROTECTIVE INSURANCE CORP- B</t>
  </si>
  <si>
    <t>PTY</t>
  </si>
  <si>
    <t>PIMCO CORPORATE &amp; INCOME OPP</t>
  </si>
  <si>
    <t>PUI</t>
  </si>
  <si>
    <t>INVESCO DWA UTILITIES MOMENT</t>
  </si>
  <si>
    <t>PUK</t>
  </si>
  <si>
    <t>PRUDENTIAL PLC-ADR</t>
  </si>
  <si>
    <t>PUK-</t>
  </si>
  <si>
    <t>PUK-A</t>
  </si>
  <si>
    <t>PULM</t>
  </si>
  <si>
    <t>PULMATRIX INC</t>
  </si>
  <si>
    <t>PULS</t>
  </si>
  <si>
    <t>PGIM ULTRA SHORT BOND ETF</t>
  </si>
  <si>
    <t>PUMP</t>
  </si>
  <si>
    <t>PROPETRO HOLDING CORP</t>
  </si>
  <si>
    <t>PUTW</t>
  </si>
  <si>
    <t>WISDOMTREE CBOE S&amp;P 500 PTWT</t>
  </si>
  <si>
    <t>PUYI</t>
  </si>
  <si>
    <t>PUYI INC - ADR</t>
  </si>
  <si>
    <t>PVAC</t>
  </si>
  <si>
    <t>PENN VIRGINIA CORP</t>
  </si>
  <si>
    <t>PVBC</t>
  </si>
  <si>
    <t>PROVIDENT BANCORP INC</t>
  </si>
  <si>
    <t>PVG</t>
  </si>
  <si>
    <t>PRETIUM RESOURCES INC</t>
  </si>
  <si>
    <t>PVH</t>
  </si>
  <si>
    <t>PVH CORP</t>
  </si>
  <si>
    <t>PVI</t>
  </si>
  <si>
    <t>INVESCO VRDO TAX-FREE WEEKLY</t>
  </si>
  <si>
    <t>PVL</t>
  </si>
  <si>
    <t>PERMIANVILLE ROYALTY TRUST</t>
  </si>
  <si>
    <t>PW</t>
  </si>
  <si>
    <t>POWER REIT</t>
  </si>
  <si>
    <t>PW-A</t>
  </si>
  <si>
    <t>PWB</t>
  </si>
  <si>
    <t>INVESCO DYNAMIC LARGE CAP GR</t>
  </si>
  <si>
    <t>PWC</t>
  </si>
  <si>
    <t>INVESCO DYNAMIC MARKET ETF</t>
  </si>
  <si>
    <t>PWFL</t>
  </si>
  <si>
    <t>POWERFLEET INC</t>
  </si>
  <si>
    <t>PWOD</t>
  </si>
  <si>
    <t>PENNS WOODS BANCORP INC</t>
  </si>
  <si>
    <t>PWR</t>
  </si>
  <si>
    <t>QUANTA SERVICES INC</t>
  </si>
  <si>
    <t>PWS</t>
  </si>
  <si>
    <t>PACER WEALTHSHIELD ETF</t>
  </si>
  <si>
    <t>PWV</t>
  </si>
  <si>
    <t>INVESCO DYNAMIC LARGE CAP VA</t>
  </si>
  <si>
    <t>PWZ</t>
  </si>
  <si>
    <t>INVESCO CALIFORNIA AMT-FREE</t>
  </si>
  <si>
    <t>PXD</t>
  </si>
  <si>
    <t>PIONEER NATURAL RESOURCES CO</t>
  </si>
  <si>
    <t>PXE</t>
  </si>
  <si>
    <t>INVESCO DYNAMIC ENERGY EXPLO</t>
  </si>
  <si>
    <t>PXF</t>
  </si>
  <si>
    <t>PXH</t>
  </si>
  <si>
    <t>INVESCO FTSE RAFI EMERGING M</t>
  </si>
  <si>
    <t>PXI</t>
  </si>
  <si>
    <t>INVESCO DWA ENERGY MOMENTUM</t>
  </si>
  <si>
    <t>PXJ</t>
  </si>
  <si>
    <t>INVESCO DYNAMIC OIL &amp; GAS SE</t>
  </si>
  <si>
    <t>PXLW</t>
  </si>
  <si>
    <t>PIXELWORKS INC</t>
  </si>
  <si>
    <t>PXQ</t>
  </si>
  <si>
    <t>INVESCO DYNAMIC NETWORKING E</t>
  </si>
  <si>
    <t>PXS</t>
  </si>
  <si>
    <t>PYXIS TANKERS INC</t>
  </si>
  <si>
    <t>PY</t>
  </si>
  <si>
    <t>PRINCIPAL SHAREHLD YIELD ETF</t>
  </si>
  <si>
    <t>PYN</t>
  </si>
  <si>
    <t>PIMCO NEW YORK MUNICIPAL III</t>
  </si>
  <si>
    <t>PYPD</t>
  </si>
  <si>
    <t>POLYPID LTD</t>
  </si>
  <si>
    <t>PYPE</t>
  </si>
  <si>
    <t>ETRACS NYSE PICKENS CORE ETN</t>
  </si>
  <si>
    <t>PYPL</t>
  </si>
  <si>
    <t>PAYPAL HOLDINGS INC</t>
  </si>
  <si>
    <t>PYS</t>
  </si>
  <si>
    <t>PYT</t>
  </si>
  <si>
    <t>PYZ</t>
  </si>
  <si>
    <t>INVESCO DWA BASIC MATERIALS</t>
  </si>
  <si>
    <t>PZA</t>
  </si>
  <si>
    <t>INVESCO NATIONAL AMT-FREE MU</t>
  </si>
  <si>
    <t>PZC</t>
  </si>
  <si>
    <t>PIMCO CALIFORNIA MUNICIP III</t>
  </si>
  <si>
    <t>PZD</t>
  </si>
  <si>
    <t>INVESCO CLEANTECH ETF</t>
  </si>
  <si>
    <t>PZG</t>
  </si>
  <si>
    <t>PARAMOUNT GOLD NEVADA CORP</t>
  </si>
  <si>
    <t>PZN</t>
  </si>
  <si>
    <t>PZENA INVESTMENT MANAGM-CL A</t>
  </si>
  <si>
    <t>PZT</t>
  </si>
  <si>
    <t>INVESCO NEW YORK AMT-FREE MU</t>
  </si>
  <si>
    <t>PZZA</t>
  </si>
  <si>
    <t>PAPA JOHN'S INTL INC</t>
  </si>
  <si>
    <t>QABA</t>
  </si>
  <si>
    <t>FIRST TRUST NASDAQ ABA CBIF</t>
  </si>
  <si>
    <t>QADA</t>
  </si>
  <si>
    <t>QAD INC-A</t>
  </si>
  <si>
    <t>QADB</t>
  </si>
  <si>
    <t>QAD INC-B</t>
  </si>
  <si>
    <t>QAI</t>
  </si>
  <si>
    <t>IQ HEDGE MULTI-STRAT TRACKER</t>
  </si>
  <si>
    <t>QARP</t>
  </si>
  <si>
    <t>DBX ETF TRUST - XTRACKERS RU</t>
  </si>
  <si>
    <t>QAT</t>
  </si>
  <si>
    <t>ISHARES MSCI QATAR ETF</t>
  </si>
  <si>
    <t>QCLN</t>
  </si>
  <si>
    <t>FIRST TRUST NASDAQ CLEAN EDG</t>
  </si>
  <si>
    <t>QCOM</t>
  </si>
  <si>
    <t>QUALCOMM INC</t>
  </si>
  <si>
    <t>QCRH</t>
  </si>
  <si>
    <t>QCR HOLDINGS INC</t>
  </si>
  <si>
    <t>QD</t>
  </si>
  <si>
    <t>QUDIAN INC-SPON ADR</t>
  </si>
  <si>
    <t>QDEF</t>
  </si>
  <si>
    <t>FLEXSHARES QUALITY DIVIDEND</t>
  </si>
  <si>
    <t>QDEL</t>
  </si>
  <si>
    <t>QUIDEL CORP</t>
  </si>
  <si>
    <t>QDF</t>
  </si>
  <si>
    <t>QDIV</t>
  </si>
  <si>
    <t>GLOBAL X S&amp;P 500 QLTY DIV</t>
  </si>
  <si>
    <t>QDYN</t>
  </si>
  <si>
    <t>QED</t>
  </si>
  <si>
    <t>IQ HEDGE EVENT-DRIVEN TRACKE</t>
  </si>
  <si>
    <t>QEFA</t>
  </si>
  <si>
    <t>SPDR MSCI EAFE STRATEGICFACT</t>
  </si>
  <si>
    <t>QEMM</t>
  </si>
  <si>
    <t>SPDR MSCI EMERGING MARKETS S</t>
  </si>
  <si>
    <t>QEP</t>
  </si>
  <si>
    <t>QEP RESOURCES INC</t>
  </si>
  <si>
    <t>QFIN</t>
  </si>
  <si>
    <t>360 FINANCE INC -ADR</t>
  </si>
  <si>
    <t>QGEN</t>
  </si>
  <si>
    <t>QIAGEN N.V.</t>
  </si>
  <si>
    <t>QGRO</t>
  </si>
  <si>
    <t>AMERICAN CENTURY STOXX US QL</t>
  </si>
  <si>
    <t>QH</t>
  </si>
  <si>
    <t>QUHUO LTD-ADR</t>
  </si>
  <si>
    <t>QID</t>
  </si>
  <si>
    <t>PROSHARES ULTRASHORT QQQ</t>
  </si>
  <si>
    <t>QINT</t>
  </si>
  <si>
    <t>AMERICAN CENTURY QLTY DIVER</t>
  </si>
  <si>
    <t>QIWI</t>
  </si>
  <si>
    <t>QIWI PLC-SPONSORED ADR</t>
  </si>
  <si>
    <t>QK</t>
  </si>
  <si>
    <t>Q&amp;K INTERNATIONAL GROUP-ADR</t>
  </si>
  <si>
    <t>QLC</t>
  </si>
  <si>
    <t>FLEXSHARES US QUALITY LG CAP</t>
  </si>
  <si>
    <t>QLD</t>
  </si>
  <si>
    <t>PROSHARES ULTRA QQQ</t>
  </si>
  <si>
    <t>QLGN</t>
  </si>
  <si>
    <t>QUALIGEN THERAPEUTICS INC</t>
  </si>
  <si>
    <t>QLS</t>
  </si>
  <si>
    <t>IQ HEDGE LONG/SHORT TRACKER</t>
  </si>
  <si>
    <t>QLTA</t>
  </si>
  <si>
    <t>ISHARES AAA - A RATED CORPOR</t>
  </si>
  <si>
    <t>QLV</t>
  </si>
  <si>
    <t>FLEXSHARES US QUALITY LOW VO</t>
  </si>
  <si>
    <t>QLVD</t>
  </si>
  <si>
    <t>FLEXSHARES DEVELOPED MARKETS</t>
  </si>
  <si>
    <t>QLVE</t>
  </si>
  <si>
    <t>FLEXSHARES EMERGING MARKETS</t>
  </si>
  <si>
    <t>QLYS</t>
  </si>
  <si>
    <t>QUALYS INC</t>
  </si>
  <si>
    <t>QMCO</t>
  </si>
  <si>
    <t>QUANTUM CORP</t>
  </si>
  <si>
    <t>QMJ</t>
  </si>
  <si>
    <t>DIREXION S&amp;P 500 HIGH - LOW</t>
  </si>
  <si>
    <t>QMN</t>
  </si>
  <si>
    <t>IQ HEDGE MARKET NEUT TRACK</t>
  </si>
  <si>
    <t>QMOM</t>
  </si>
  <si>
    <t>ALPHA US QUANT MOM ETF</t>
  </si>
  <si>
    <t>QNST</t>
  </si>
  <si>
    <t>QUINSTREET INC</t>
  </si>
  <si>
    <t>QQEW</t>
  </si>
  <si>
    <t>FIRST TRUST NASDQ 100 EQ WEI</t>
  </si>
  <si>
    <t>QQH</t>
  </si>
  <si>
    <t>HCM DEFENDER 100 INDEX ETF</t>
  </si>
  <si>
    <t>QQQ</t>
  </si>
  <si>
    <t>INVESCO QQQ TRUST SERIES 1</t>
  </si>
  <si>
    <t>QQQE</t>
  </si>
  <si>
    <t>DIREXION NASDAQ-100 EQ WEIGH</t>
  </si>
  <si>
    <t>QQQX</t>
  </si>
  <si>
    <t>NUVEEN NAS100 DYN OVERWRT FD</t>
  </si>
  <si>
    <t>QQXT</t>
  </si>
  <si>
    <t>FIRST TRUST NASDAQ-100 EX-TE</t>
  </si>
  <si>
    <t>QRFT</t>
  </si>
  <si>
    <t>QRAFT AI-ENH US LRG CAP ETF</t>
  </si>
  <si>
    <t>QRHC</t>
  </si>
  <si>
    <t>QUEST RESOURCE HOLDING CORP</t>
  </si>
  <si>
    <t>QRTAV</t>
  </si>
  <si>
    <t>QURATE RETAIL INC-SER A-W/I</t>
  </si>
  <si>
    <t>QRTBV</t>
  </si>
  <si>
    <t>QURATE RETAIL INC-SER B-W/I</t>
  </si>
  <si>
    <t>QRTEA</t>
  </si>
  <si>
    <t>QURATE RETAIL INC-SERIES A</t>
  </si>
  <si>
    <t>QRTEB</t>
  </si>
  <si>
    <t>QURATE RETAIL GROUP INC-B</t>
  </si>
  <si>
    <t>QRTEV</t>
  </si>
  <si>
    <t>QRVO</t>
  </si>
  <si>
    <t>QORVO INC</t>
  </si>
  <si>
    <t>QSR</t>
  </si>
  <si>
    <t>RESTAURANT BRANDS INTERN</t>
  </si>
  <si>
    <t>QSY</t>
  </si>
  <si>
    <t>WISDOMTREE US QUALITY SHAREH</t>
  </si>
  <si>
    <t>QTEC</t>
  </si>
  <si>
    <t>FIRST TRUST NASDQ 100 TECH I</t>
  </si>
  <si>
    <t>QTNT</t>
  </si>
  <si>
    <t>QUOTIENT LTD</t>
  </si>
  <si>
    <t>QTRX</t>
  </si>
  <si>
    <t>QUANTERIX CORP</t>
  </si>
  <si>
    <t>QTS</t>
  </si>
  <si>
    <t>QTS REALTY TRUST INC-CL A</t>
  </si>
  <si>
    <t>QTS-A</t>
  </si>
  <si>
    <t>QTS-B</t>
  </si>
  <si>
    <t>QTT</t>
  </si>
  <si>
    <t>QUTOUTIAO INC-ADR</t>
  </si>
  <si>
    <t>QTUM</t>
  </si>
  <si>
    <t>DEFIANCE QUANTUM ETF</t>
  </si>
  <si>
    <t>QTWO</t>
  </si>
  <si>
    <t>Q2 HOLDINGS INC</t>
  </si>
  <si>
    <t>QUAD</t>
  </si>
  <si>
    <t>QUAD GRAPHICS INC</t>
  </si>
  <si>
    <t>QUAL</t>
  </si>
  <si>
    <t>ISHARES MSCI USA QUALITY FAC</t>
  </si>
  <si>
    <t>QUIK</t>
  </si>
  <si>
    <t>QUICKLOGIC CORP</t>
  </si>
  <si>
    <t>QUMU</t>
  </si>
  <si>
    <t>QUMU CORP</t>
  </si>
  <si>
    <t>QUOT</t>
  </si>
  <si>
    <t>QUOTIENT TECHNOLOGY INC</t>
  </si>
  <si>
    <t>QURE</t>
  </si>
  <si>
    <t>UNIQURE NV</t>
  </si>
  <si>
    <t>QUS</t>
  </si>
  <si>
    <t>SPDR MSCI USA STRATEGICFACTO</t>
  </si>
  <si>
    <t>QVAL</t>
  </si>
  <si>
    <t>ALPHA ARCH US QNT VALUE ETF</t>
  </si>
  <si>
    <t>QVCC</t>
  </si>
  <si>
    <t>QVCD</t>
  </si>
  <si>
    <t>QVM</t>
  </si>
  <si>
    <t>ARROW QVM EQUITY FACTOR ETF</t>
  </si>
  <si>
    <t>QWLD</t>
  </si>
  <si>
    <t>SPDR MSCI WORLD STRATEGICFAC</t>
  </si>
  <si>
    <t>QYLD</t>
  </si>
  <si>
    <t>GLOBAL X NASD 100 COV CALL</t>
  </si>
  <si>
    <t>R</t>
  </si>
  <si>
    <t>RYDER SYSTEM INC</t>
  </si>
  <si>
    <t>RA</t>
  </si>
  <si>
    <t>BROOKFIELD REAL ASSETS INCOM</t>
  </si>
  <si>
    <t>RAAX</t>
  </si>
  <si>
    <t>VANECK REAL ASSET ALLOCATION</t>
  </si>
  <si>
    <t>RACA</t>
  </si>
  <si>
    <t>THERAPEUTICS ACQUISITION-A</t>
  </si>
  <si>
    <t>RACE</t>
  </si>
  <si>
    <t>FERRARI NV</t>
  </si>
  <si>
    <t>RAD</t>
  </si>
  <si>
    <t>RITE AID CORP</t>
  </si>
  <si>
    <t>RADA</t>
  </si>
  <si>
    <t>RADA ELECTRONIC INDS LTD</t>
  </si>
  <si>
    <t>RAFE</t>
  </si>
  <si>
    <t>PIMCO RAFI ESG US ETF</t>
  </si>
  <si>
    <t>RAIL</t>
  </si>
  <si>
    <t>FREIGHTCAR AMERICA INC</t>
  </si>
  <si>
    <t>RALS</t>
  </si>
  <si>
    <t>PROSHARES RAFI LONG/SHORT</t>
  </si>
  <si>
    <t>RAMP</t>
  </si>
  <si>
    <t>LIVERAMP HOLDINGS INC</t>
  </si>
  <si>
    <t>RAND</t>
  </si>
  <si>
    <t>RAND CAPITAL CORP</t>
  </si>
  <si>
    <t>RAPT</t>
  </si>
  <si>
    <t>RAPT THERAPEUTICS INC</t>
  </si>
  <si>
    <t>RARE</t>
  </si>
  <si>
    <t>ULTRAGENYX PHARMACEUTICAL IN</t>
  </si>
  <si>
    <t>RAVE</t>
  </si>
  <si>
    <t>RAVE RESTAURANT GROUP INC</t>
  </si>
  <si>
    <t>RAVI</t>
  </si>
  <si>
    <t>FLEXSHARES READY ACCESS VARI</t>
  </si>
  <si>
    <t>RAVN</t>
  </si>
  <si>
    <t>RAVEN INDUSTRIES INC</t>
  </si>
  <si>
    <t>RBA</t>
  </si>
  <si>
    <t>RITCHIE BROS AUCTIONEERS</t>
  </si>
  <si>
    <t>RBAC=</t>
  </si>
  <si>
    <t>REDBALL ACQUISITION CORP</t>
  </si>
  <si>
    <t>RBB</t>
  </si>
  <si>
    <t>RBB BANCORP</t>
  </si>
  <si>
    <t>RBBN</t>
  </si>
  <si>
    <t>RIBBON COMMUNICATIONS INC</t>
  </si>
  <si>
    <t>RBC</t>
  </si>
  <si>
    <t>REGAL BELOIT CORP</t>
  </si>
  <si>
    <t>RBCAA</t>
  </si>
  <si>
    <t>REPUBLIC BANCORP INC-CLASS A</t>
  </si>
  <si>
    <t>RBCN</t>
  </si>
  <si>
    <t>RUBICON TECHNOLOGY INC</t>
  </si>
  <si>
    <t>RBIN</t>
  </si>
  <si>
    <t>NATIONWIDE RISK-BASED INTL E</t>
  </si>
  <si>
    <t>RBKB</t>
  </si>
  <si>
    <t>RHINEBECK BANCORP INC</t>
  </si>
  <si>
    <t>RBNC</t>
  </si>
  <si>
    <t>RELIANT BANCORP INC</t>
  </si>
  <si>
    <t>RBUS</t>
  </si>
  <si>
    <t>NATIONWIDE RISK-BASED US EQ</t>
  </si>
  <si>
    <t>RC</t>
  </si>
  <si>
    <t>READY CAPITAL CORP</t>
  </si>
  <si>
    <t>RCA</t>
  </si>
  <si>
    <t>RCB</t>
  </si>
  <si>
    <t>RCD</t>
  </si>
  <si>
    <t>RCEL</t>
  </si>
  <si>
    <t>AVITA THERAPEUTICS INC</t>
  </si>
  <si>
    <t>RCG</t>
  </si>
  <si>
    <t>RENN FUND INC</t>
  </si>
  <si>
    <t>RCI</t>
  </si>
  <si>
    <t>ROGERS COMMUNICATIONS INC-B</t>
  </si>
  <si>
    <t>RCII</t>
  </si>
  <si>
    <t>RENT-A-CENTER INC</t>
  </si>
  <si>
    <t>RCKT</t>
  </si>
  <si>
    <t>ROCKET PHARMACEUTICALS INC</t>
  </si>
  <si>
    <t>RCKY</t>
  </si>
  <si>
    <t>ROCKY BRANDS INC</t>
  </si>
  <si>
    <t>RCL</t>
  </si>
  <si>
    <t>ROYAL CARIBBEAN CRUISES LTD</t>
  </si>
  <si>
    <t>RCM</t>
  </si>
  <si>
    <t>R1 RCM INC</t>
  </si>
  <si>
    <t>RCMT</t>
  </si>
  <si>
    <t>RCM TECHNOLOGIES INC</t>
  </si>
  <si>
    <t>RCON</t>
  </si>
  <si>
    <t>RECON TECHNOLOGY LTD</t>
  </si>
  <si>
    <t>RCP</t>
  </si>
  <si>
    <t>RCS</t>
  </si>
  <si>
    <t>PIMCO STRATEGIC INCOME FUND</t>
  </si>
  <si>
    <t>RCUS</t>
  </si>
  <si>
    <t>ARCUS BIOSCIENCES INC</t>
  </si>
  <si>
    <t>RDCM</t>
  </si>
  <si>
    <t>RADCOM LTD</t>
  </si>
  <si>
    <t>RDFN</t>
  </si>
  <si>
    <t>REDFIN CORP</t>
  </si>
  <si>
    <t>RDHL</t>
  </si>
  <si>
    <t>REDHILL BIOPHARMA LTD-SP ADR</t>
  </si>
  <si>
    <t>RDI</t>
  </si>
  <si>
    <t>READING INTERNATIONAL INC-A</t>
  </si>
  <si>
    <t>RDIB</t>
  </si>
  <si>
    <t>READING INTERNATIONAL INC-B</t>
  </si>
  <si>
    <t>RDIV</t>
  </si>
  <si>
    <t>INVESCO S&amp;P ULTRA DIVIDEND</t>
  </si>
  <si>
    <t>RDN</t>
  </si>
  <si>
    <t>RADIAN GROUP INC</t>
  </si>
  <si>
    <t>RDNT</t>
  </si>
  <si>
    <t>RADNET INC</t>
  </si>
  <si>
    <t>RDOG</t>
  </si>
  <si>
    <t>ALPS REIT DIVIDEND DOGS ETF</t>
  </si>
  <si>
    <t>RDS.A</t>
  </si>
  <si>
    <t>ROYAL DUTCH SHELL-SPON ADR-A</t>
  </si>
  <si>
    <t>RDS.B</t>
  </si>
  <si>
    <t>ROYAL DUTCH SHELL-SPON ADR-B</t>
  </si>
  <si>
    <t>RDUS</t>
  </si>
  <si>
    <t>RADIUS HEALTH INC</t>
  </si>
  <si>
    <t>RDVT</t>
  </si>
  <si>
    <t>RED VIOLET INC</t>
  </si>
  <si>
    <t>RDVY</t>
  </si>
  <si>
    <t>FIRST TRUST RISING DIVIDEND</t>
  </si>
  <si>
    <t>RDWR</t>
  </si>
  <si>
    <t>RADWARE LTD</t>
  </si>
  <si>
    <t>RDY</t>
  </si>
  <si>
    <t>DR. REDDY'S LABORATORIES-ADR</t>
  </si>
  <si>
    <t>RE</t>
  </si>
  <si>
    <t>EVEREST RE GROUP LTD</t>
  </si>
  <si>
    <t>REAL</t>
  </si>
  <si>
    <t>REALREAL INC/THE</t>
  </si>
  <si>
    <t>RECS</t>
  </si>
  <si>
    <t>COLUMBIA RESRH ENHANCED CORE</t>
  </si>
  <si>
    <t>REDU</t>
  </si>
  <si>
    <t>RISE EDUCATION CAYMAN - ADR</t>
  </si>
  <si>
    <t>REED</t>
  </si>
  <si>
    <t>REED'S INC</t>
  </si>
  <si>
    <t>REET</t>
  </si>
  <si>
    <t>ISHARES GLOBAL REIT ETF</t>
  </si>
  <si>
    <t>REFR</t>
  </si>
  <si>
    <t>RESEARCH FRONTIERS INC</t>
  </si>
  <si>
    <t>REG</t>
  </si>
  <si>
    <t>REGENCY CENTERS CORP</t>
  </si>
  <si>
    <t>REGI</t>
  </si>
  <si>
    <t>RENEWABLE ENERGY GROUP INC</t>
  </si>
  <si>
    <t>REGL</t>
  </si>
  <si>
    <t>PRSHRS S&amp;P MID 400 DVD ARIST</t>
  </si>
  <si>
    <t>REGN</t>
  </si>
  <si>
    <t>REGENERON PHARMACEUTICALS</t>
  </si>
  <si>
    <t>REI</t>
  </si>
  <si>
    <t>RING ENERGY INC</t>
  </si>
  <si>
    <t>REK</t>
  </si>
  <si>
    <t>PROSHARES SHORT REAL ESTATE</t>
  </si>
  <si>
    <t>REKR</t>
  </si>
  <si>
    <t>REKOR SYSTEMS INC</t>
  </si>
  <si>
    <t>RELL</t>
  </si>
  <si>
    <t>RICHARDSON ELEC LTD</t>
  </si>
  <si>
    <t>RELV</t>
  </si>
  <si>
    <t>RELIV INTERNATIONAL INC</t>
  </si>
  <si>
    <t>RELX</t>
  </si>
  <si>
    <t>RELX PLC - SPON ADR</t>
  </si>
  <si>
    <t>REM</t>
  </si>
  <si>
    <t>ISHARES MORTGAGE REAL ESTATE</t>
  </si>
  <si>
    <t>REML</t>
  </si>
  <si>
    <t>X-LINKS 2X MORTG REIT ETN</t>
  </si>
  <si>
    <t>REMX</t>
  </si>
  <si>
    <t>VANECK RARE EARTH/STR METAL</t>
  </si>
  <si>
    <t>RENN</t>
  </si>
  <si>
    <t>RENREN INC-ADR</t>
  </si>
  <si>
    <t>REPH</t>
  </si>
  <si>
    <t>RECRO PHARMA INC</t>
  </si>
  <si>
    <t>REPL</t>
  </si>
  <si>
    <t>REPLIMUNE GROUP INC</t>
  </si>
  <si>
    <t>RES</t>
  </si>
  <si>
    <t>RPC INC</t>
  </si>
  <si>
    <t>RESD</t>
  </si>
  <si>
    <t>WISDOMTREE INTERNATIONAL ESG</t>
  </si>
  <si>
    <t>RESE</t>
  </si>
  <si>
    <t>WISDOMTREE EM MKT ESG FUND</t>
  </si>
  <si>
    <t>RESI</t>
  </si>
  <si>
    <t>FRONT YARD RESIDENTIAL CORP</t>
  </si>
  <si>
    <t>RESN</t>
  </si>
  <si>
    <t>RESONANT INC</t>
  </si>
  <si>
    <t>RESP</t>
  </si>
  <si>
    <t>WISDOMTREE US ESG FUND</t>
  </si>
  <si>
    <t>RETA</t>
  </si>
  <si>
    <t>REATA PHARMACEUTICALS INC-A</t>
  </si>
  <si>
    <t>RETL</t>
  </si>
  <si>
    <t>DIREXION DLY RETAIL BULL 3X</t>
  </si>
  <si>
    <t>RETO</t>
  </si>
  <si>
    <t>RETO ECO-SOLUTIONS INC</t>
  </si>
  <si>
    <t>REV</t>
  </si>
  <si>
    <t>REVLON INC-CLASS A</t>
  </si>
  <si>
    <t>REVG</t>
  </si>
  <si>
    <t>REV GROUP INC</t>
  </si>
  <si>
    <t>REVS</t>
  </si>
  <si>
    <t>COLUMBIA RESEARCH ENHANCED V</t>
  </si>
  <si>
    <t>REW</t>
  </si>
  <si>
    <t>PROSHARES ULTRASHORT TECH</t>
  </si>
  <si>
    <t>REX</t>
  </si>
  <si>
    <t>REX AMERICAN RESOURCES CORP</t>
  </si>
  <si>
    <t>REXN</t>
  </si>
  <si>
    <t>REXAHN PHARMACEUTICALS INC</t>
  </si>
  <si>
    <t>REXR</t>
  </si>
  <si>
    <t>REXFORD INDUSTRIAL REALTY IN</t>
  </si>
  <si>
    <t>REXR-A</t>
  </si>
  <si>
    <t>REXR-B</t>
  </si>
  <si>
    <t>REXR-C</t>
  </si>
  <si>
    <t>REYN</t>
  </si>
  <si>
    <t>REYNOLDS CONSUMER PRODUCTS I</t>
  </si>
  <si>
    <t>REZ</t>
  </si>
  <si>
    <t>ISHARES RESIDENTIAL REAL EST</t>
  </si>
  <si>
    <t>REZI</t>
  </si>
  <si>
    <t>RESIDEO TECHNOLOGIES INC</t>
  </si>
  <si>
    <t>RF</t>
  </si>
  <si>
    <t>REGIONS FINANCIAL CORP</t>
  </si>
  <si>
    <t>RF-A</t>
  </si>
  <si>
    <t>RF-B</t>
  </si>
  <si>
    <t>RF-C</t>
  </si>
  <si>
    <t>RFAP</t>
  </si>
  <si>
    <t>FIRST TRUST DYNAMIC APAC ETF</t>
  </si>
  <si>
    <t>RFCI</t>
  </si>
  <si>
    <t>RIVERFRONT DYNAMIC CORE INCO</t>
  </si>
  <si>
    <t>RFDA</t>
  </si>
  <si>
    <t>RIVERFRONT DYNAMIC US DV ETF</t>
  </si>
  <si>
    <t>RFDI</t>
  </si>
  <si>
    <t>FIRST TRST DYN DEVEL INT ETF</t>
  </si>
  <si>
    <t>RFEM</t>
  </si>
  <si>
    <t>FIRST TRUST RIVERFRONT DYNAM</t>
  </si>
  <si>
    <t>RFEU</t>
  </si>
  <si>
    <t>FIRST TR DYNAMIC EUROPE ETF</t>
  </si>
  <si>
    <t>RFFC</t>
  </si>
  <si>
    <t>RIVERFRONT DYNAMIC US FC ETF</t>
  </si>
  <si>
    <t>RFG</t>
  </si>
  <si>
    <t>INVESCO S&amp;P MIDCAP 400 PURE</t>
  </si>
  <si>
    <t>RFI</t>
  </si>
  <si>
    <t>COHEN &amp; STEERS TOT RET RLTY</t>
  </si>
  <si>
    <t>RFIL</t>
  </si>
  <si>
    <t>RF INDUSTRIES LTD</t>
  </si>
  <si>
    <t>RFL</t>
  </si>
  <si>
    <t>RAFAEL HOLDINGS INC-CLASS B</t>
  </si>
  <si>
    <t>RFM</t>
  </si>
  <si>
    <t>RIVERNORTH FLEXIBLE MUNI</t>
  </si>
  <si>
    <t>RFP</t>
  </si>
  <si>
    <t>RESOLUTE FOREST PRODUCTS</t>
  </si>
  <si>
    <t>RFUN</t>
  </si>
  <si>
    <t>RIVERFRONT DYNAMIC UNCONSTRA</t>
  </si>
  <si>
    <t>RFV</t>
  </si>
  <si>
    <t>RGA</t>
  </si>
  <si>
    <t>REINSURANCE GROUP OF AMERICA</t>
  </si>
  <si>
    <t>RGCO</t>
  </si>
  <si>
    <t>RGC RESOURCES INC</t>
  </si>
  <si>
    <t>RGEN</t>
  </si>
  <si>
    <t>REPLIGEN CORP</t>
  </si>
  <si>
    <t>RGI</t>
  </si>
  <si>
    <t>RGLD</t>
  </si>
  <si>
    <t>ROYAL GOLD INC</t>
  </si>
  <si>
    <t>RGLS</t>
  </si>
  <si>
    <t>REGULUS THERAPEUTICS INC</t>
  </si>
  <si>
    <t>RGNX</t>
  </si>
  <si>
    <t>REGENXBIO INC</t>
  </si>
  <si>
    <t>RGP</t>
  </si>
  <si>
    <t>RESOURCES CONNECTION INC</t>
  </si>
  <si>
    <t>RGR</t>
  </si>
  <si>
    <t>STURM RUGER &amp; CO INC</t>
  </si>
  <si>
    <t>RGS</t>
  </si>
  <si>
    <t>REGIS CORP</t>
  </si>
  <si>
    <t>RGT</t>
  </si>
  <si>
    <t>ROYCE GLOBAL VALUE TRUST</t>
  </si>
  <si>
    <t>RH</t>
  </si>
  <si>
    <t>RHE</t>
  </si>
  <si>
    <t>REGIONAL HEALTH PROPERTIES</t>
  </si>
  <si>
    <t>RHE-A</t>
  </si>
  <si>
    <t>RHI</t>
  </si>
  <si>
    <t>ROBERT HALF INTL INC</t>
  </si>
  <si>
    <t>RHP</t>
  </si>
  <si>
    <t>RYMAN HOSPITALITY PROPERTIES</t>
  </si>
  <si>
    <t>RHS</t>
  </si>
  <si>
    <t>RIBT</t>
  </si>
  <si>
    <t>RICEBRAN TECHNOLOGIES</t>
  </si>
  <si>
    <t>RICK</t>
  </si>
  <si>
    <t>RCI HOSPITALITY HOLDINGS INC</t>
  </si>
  <si>
    <t>RIG</t>
  </si>
  <si>
    <t>TRANSOCEAN LTD</t>
  </si>
  <si>
    <t>RIGL</t>
  </si>
  <si>
    <t>RIGEL PHARMACEUTICALS INC</t>
  </si>
  <si>
    <t>RIGS</t>
  </si>
  <si>
    <t>RIVERFRONT STRATEGIC INCOME</t>
  </si>
  <si>
    <t>RILY</t>
  </si>
  <si>
    <t>B. RILEY FINANCIAL INC</t>
  </si>
  <si>
    <t>RILYG</t>
  </si>
  <si>
    <t>RILYH</t>
  </si>
  <si>
    <t>RILYI</t>
  </si>
  <si>
    <t>RILYL</t>
  </si>
  <si>
    <t>RILYM</t>
  </si>
  <si>
    <t>RILYN</t>
  </si>
  <si>
    <t>RILYO</t>
  </si>
  <si>
    <t>RILYP</t>
  </si>
  <si>
    <t>RILYZ</t>
  </si>
  <si>
    <t>RINF</t>
  </si>
  <si>
    <t>PROSHARES INFLATION EXPECTAT</t>
  </si>
  <si>
    <t>RING</t>
  </si>
  <si>
    <t>ISHARES MSCI GLOBAL GOLD MIN</t>
  </si>
  <si>
    <t>RIO</t>
  </si>
  <si>
    <t>RIO TINTO PLC-SPON ADR</t>
  </si>
  <si>
    <t>RIOT</t>
  </si>
  <si>
    <t>RIOT BLOCKCHAIN INC</t>
  </si>
  <si>
    <t>RISE</t>
  </si>
  <si>
    <t>SIT RISING RATE ETF</t>
  </si>
  <si>
    <t>RISN</t>
  </si>
  <si>
    <t>INSPIRE TACTICAL BALANCED ES</t>
  </si>
  <si>
    <t>RIV</t>
  </si>
  <si>
    <t>RIVERNORTH OPPORTUNITIES FND</t>
  </si>
  <si>
    <t>RIVE</t>
  </si>
  <si>
    <t>RIVERVIEW FINANCIAL CORP</t>
  </si>
  <si>
    <t>RJA</t>
  </si>
  <si>
    <t>ELEMENTS ROGERS AGRI TOT RET</t>
  </si>
  <si>
    <t>RJF</t>
  </si>
  <si>
    <t>RAYMOND JAMES FINANCIAL INC</t>
  </si>
  <si>
    <t>RJI</t>
  </si>
  <si>
    <t>ELEMENTS ROGERS TOTAL RETURN</t>
  </si>
  <si>
    <t>RJN</t>
  </si>
  <si>
    <t>ELEMENTS ROGERS ENERGY TR</t>
  </si>
  <si>
    <t>RJZ</t>
  </si>
  <si>
    <t>ELEMENTS ROGERS METALS TR</t>
  </si>
  <si>
    <t>RKDA</t>
  </si>
  <si>
    <t>ARCADIA BIOSCIENCES INC</t>
  </si>
  <si>
    <t>RKT</t>
  </si>
  <si>
    <t>ROCKET COS INC-CLASS A</t>
  </si>
  <si>
    <t>RL</t>
  </si>
  <si>
    <t>RALPH LAUREN CORP</t>
  </si>
  <si>
    <t>RLAY</t>
  </si>
  <si>
    <t>RELAY THERAPEUTICS INC</t>
  </si>
  <si>
    <t>RLGT</t>
  </si>
  <si>
    <t>RADIANT LOGISTICS INC</t>
  </si>
  <si>
    <t>RLGY</t>
  </si>
  <si>
    <t>REALOGY HOLDINGS CORP</t>
  </si>
  <si>
    <t>RLH</t>
  </si>
  <si>
    <t>RED LION HOTELS CORP</t>
  </si>
  <si>
    <t>RLI</t>
  </si>
  <si>
    <t>RLI CORP</t>
  </si>
  <si>
    <t>RLJ</t>
  </si>
  <si>
    <t>RLJ LODGING TRUST</t>
  </si>
  <si>
    <t>RLJ-A</t>
  </si>
  <si>
    <t>RLMD</t>
  </si>
  <si>
    <t>RELMADA THERAPEUTICS INC</t>
  </si>
  <si>
    <t>RLY</t>
  </si>
  <si>
    <t>SPDR SSGA MULTI-ASSET REAL R</t>
  </si>
  <si>
    <t>RM</t>
  </si>
  <si>
    <t>REGIONAL MANAGEMENT CORP</t>
  </si>
  <si>
    <t>RMAX</t>
  </si>
  <si>
    <t>RE/MAX HOLDINGS INC-CL A</t>
  </si>
  <si>
    <t>RMBI</t>
  </si>
  <si>
    <t>RICHMOND MUTUAL BANCORPORATI</t>
  </si>
  <si>
    <t>RMBL</t>
  </si>
  <si>
    <t>RUMBLEON INC-B</t>
  </si>
  <si>
    <t>RMBS</t>
  </si>
  <si>
    <t>RAMBUS INC</t>
  </si>
  <si>
    <t>RMCF</t>
  </si>
  <si>
    <t>ROCKY MOUNTAIN CHOC FACT INC</t>
  </si>
  <si>
    <t>RMD</t>
  </si>
  <si>
    <t>RESMED INC</t>
  </si>
  <si>
    <t>RMED</t>
  </si>
  <si>
    <t>RA MEDICAL SYSTEMS INC</t>
  </si>
  <si>
    <t>RMG</t>
  </si>
  <si>
    <t>RMG ACQUISITION CORP-CL A</t>
  </si>
  <si>
    <t>RMG+</t>
  </si>
  <si>
    <t>RMG=</t>
  </si>
  <si>
    <t>RMG ACQUISITION CORP</t>
  </si>
  <si>
    <t>RMI</t>
  </si>
  <si>
    <t>RIVERNORTH OPPORT MUNI INC</t>
  </si>
  <si>
    <t>RMM</t>
  </si>
  <si>
    <t>RIVERNORTH MANAGED DURATION</t>
  </si>
  <si>
    <t>RMNI</t>
  </si>
  <si>
    <t>RIMINI STREET INC</t>
  </si>
  <si>
    <t>RMPL-</t>
  </si>
  <si>
    <t>RMR</t>
  </si>
  <si>
    <t>RMR GROUP INC/THE - A</t>
  </si>
  <si>
    <t>RMRM</t>
  </si>
  <si>
    <t>RMR MORTGAGE TRUST</t>
  </si>
  <si>
    <t>RMT</t>
  </si>
  <si>
    <t>ROYCE MICRO-CAP TRUST INC</t>
  </si>
  <si>
    <t>RMTI</t>
  </si>
  <si>
    <t>ROCKWELL MEDICAL INC</t>
  </si>
  <si>
    <t>RNA</t>
  </si>
  <si>
    <t>AVIDITY BIOSCIENCES INC</t>
  </si>
  <si>
    <t>RNDB</t>
  </si>
  <si>
    <t>RANDOLPH BANCORP INC</t>
  </si>
  <si>
    <t>RNDM</t>
  </si>
  <si>
    <t>DEVELOPED INT SELECT EQUITY</t>
  </si>
  <si>
    <t>RNDV</t>
  </si>
  <si>
    <t>US EQUITY DIVIDEND SELECT</t>
  </si>
  <si>
    <t>RNEM</t>
  </si>
  <si>
    <t>EMERGING MARKETS EQTY SELECT</t>
  </si>
  <si>
    <t>RNET</t>
  </si>
  <si>
    <t>RIGNET INC</t>
  </si>
  <si>
    <t>RNG</t>
  </si>
  <si>
    <t>RINGCENTRAL INC-CLASS A</t>
  </si>
  <si>
    <t>RNGR</t>
  </si>
  <si>
    <t>RANGER ENERGY SERVICES INC</t>
  </si>
  <si>
    <t>RNLC</t>
  </si>
  <si>
    <t>LARGE CAP US EQUITY SELECT</t>
  </si>
  <si>
    <t>RNLX</t>
  </si>
  <si>
    <t>RENALYTIX AI PLC-ADR</t>
  </si>
  <si>
    <t>RNMC</t>
  </si>
  <si>
    <t>MID CAP US EQUITY SELECT ETF</t>
  </si>
  <si>
    <t>RNP</t>
  </si>
  <si>
    <t>COHEN &amp; STEERS REIT AND PREF</t>
  </si>
  <si>
    <t>RNR</t>
  </si>
  <si>
    <t>RENAISSANCERE HOLDINGS LTD</t>
  </si>
  <si>
    <t>RNR-E</t>
  </si>
  <si>
    <t>RNR-F</t>
  </si>
  <si>
    <t>RNSC</t>
  </si>
  <si>
    <t>SMALL CAP US EQUITY SELECT</t>
  </si>
  <si>
    <t>RNST</t>
  </si>
  <si>
    <t>RENASANT CORP</t>
  </si>
  <si>
    <t>RNWK</t>
  </si>
  <si>
    <t>REALNETWORKS INC</t>
  </si>
  <si>
    <t>ROAD</t>
  </si>
  <si>
    <t>CONSTRUCTION PARTNERS INC-A</t>
  </si>
  <si>
    <t>ROAM</t>
  </si>
  <si>
    <t>HARTFORD MULTIFACTOR EMERGIN</t>
  </si>
  <si>
    <t>ROBO</t>
  </si>
  <si>
    <t>ROBO GLOBAL ROBOTICS AND AUT</t>
  </si>
  <si>
    <t>ROBT</t>
  </si>
  <si>
    <t>FIRST TRUST NASDAQ ARTIFICIA</t>
  </si>
  <si>
    <t>ROCH</t>
  </si>
  <si>
    <t>ROTH CH ACQUISITION I CO</t>
  </si>
  <si>
    <t>ROCHU</t>
  </si>
  <si>
    <t>ROCHW</t>
  </si>
  <si>
    <t>ROCK</t>
  </si>
  <si>
    <t>GIBRALTAR INDUSTRIES INC</t>
  </si>
  <si>
    <t>RODE</t>
  </si>
  <si>
    <t>HARTFORD MULTIFACTOR DIVERSI</t>
  </si>
  <si>
    <t>RODI</t>
  </si>
  <si>
    <t>IPATH RETURN ON DISABILITY E</t>
  </si>
  <si>
    <t>RODM</t>
  </si>
  <si>
    <t>HARTFORD MULTIFACTOR DEVELOP</t>
  </si>
  <si>
    <t>ROG</t>
  </si>
  <si>
    <t>ROGERS CORP</t>
  </si>
  <si>
    <t>ROIC</t>
  </si>
  <si>
    <t>RETAIL OPPORTUNITY INVESTMEN</t>
  </si>
  <si>
    <t>ROK</t>
  </si>
  <si>
    <t>ROCKWELL AUTOMATION INC</t>
  </si>
  <si>
    <t>ROKT</t>
  </si>
  <si>
    <t>SPDR S&amp;P KENSHO FINAL FRONTI</t>
  </si>
  <si>
    <t>ROKU</t>
  </si>
  <si>
    <t>ROKU INC</t>
  </si>
  <si>
    <t>ROL</t>
  </si>
  <si>
    <t>ROLLINS INC</t>
  </si>
  <si>
    <t>ROLL</t>
  </si>
  <si>
    <t>RBC BEARINGS INC</t>
  </si>
  <si>
    <t>ROM</t>
  </si>
  <si>
    <t>PROSHARES ULTRA TECHNOLOGY</t>
  </si>
  <si>
    <t>ROMO</t>
  </si>
  <si>
    <t>STRATEGY SHARES NEWFOUND/RES</t>
  </si>
  <si>
    <t>ROOF</t>
  </si>
  <si>
    <t>IQ US REAL ESTATE SMALL CAP</t>
  </si>
  <si>
    <t>ROP</t>
  </si>
  <si>
    <t>ROPER TECHNOLOGIES INC</t>
  </si>
  <si>
    <t>ROSC</t>
  </si>
  <si>
    <t>HARTFORD MULTIFACTOR SMALL C</t>
  </si>
  <si>
    <t>ROST</t>
  </si>
  <si>
    <t>ROSS STORES INC</t>
  </si>
  <si>
    <t>ROUS</t>
  </si>
  <si>
    <t>HARTFORD MULTIFACTOR US EQUI</t>
  </si>
  <si>
    <t>RP</t>
  </si>
  <si>
    <t>REALPAGE INC</t>
  </si>
  <si>
    <t>RPAI</t>
  </si>
  <si>
    <t>RETAIL PROPERTIES OF AME - A</t>
  </si>
  <si>
    <t>RPAR</t>
  </si>
  <si>
    <t>RPAR RISK PARITY ETF</t>
  </si>
  <si>
    <t>RPAY</t>
  </si>
  <si>
    <t>REPAY HOLDINGS CORP</t>
  </si>
  <si>
    <t>RPD</t>
  </si>
  <si>
    <t>RAPID7 INC</t>
  </si>
  <si>
    <t>RPG</t>
  </si>
  <si>
    <t>INVESCO S&amp;P 500 PURE GROWTH</t>
  </si>
  <si>
    <t>RPLA</t>
  </si>
  <si>
    <t>REPLAY ACQUISITION CORP</t>
  </si>
  <si>
    <t>RPLA+</t>
  </si>
  <si>
    <t>RPLA=</t>
  </si>
  <si>
    <t>RPM</t>
  </si>
  <si>
    <t>RPM INTERNATIONAL INC</t>
  </si>
  <si>
    <t>RPRX</t>
  </si>
  <si>
    <t>ROYALTY PHARMA PLC- CL A</t>
  </si>
  <si>
    <t>RPT</t>
  </si>
  <si>
    <t>RPT REALTY</t>
  </si>
  <si>
    <t>RPT-D</t>
  </si>
  <si>
    <t>RPTX</t>
  </si>
  <si>
    <t>REPARE THERAPEUTICS INC</t>
  </si>
  <si>
    <t>RPV</t>
  </si>
  <si>
    <t>INVESCO S&amp;P 500 PURE VALUE E</t>
  </si>
  <si>
    <t>RQI</t>
  </si>
  <si>
    <t>COHEN &amp; STEERS QUAL INC RLTY</t>
  </si>
  <si>
    <t>RRBI</t>
  </si>
  <si>
    <t>RED RIVER BANCSHARES INC</t>
  </si>
  <si>
    <t>RRC</t>
  </si>
  <si>
    <t>RANGE RESOURCES CORP</t>
  </si>
  <si>
    <t>RRD</t>
  </si>
  <si>
    <t>RR DONNELLEY &amp; SONS CO</t>
  </si>
  <si>
    <t>RRGB</t>
  </si>
  <si>
    <t>RED ROBIN GOURMET BURGERS</t>
  </si>
  <si>
    <t>RRR</t>
  </si>
  <si>
    <t>RED ROCK RESORTS INC-CLASS A</t>
  </si>
  <si>
    <t>RS</t>
  </si>
  <si>
    <t>RELIANCE STEEL &amp; ALUMINUM</t>
  </si>
  <si>
    <t>RSF</t>
  </si>
  <si>
    <t>RIVERNORTH SPECIALTY FINANCE</t>
  </si>
  <si>
    <t>RSG</t>
  </si>
  <si>
    <t>REPUBLIC SERVICES INC</t>
  </si>
  <si>
    <t>RSP</t>
  </si>
  <si>
    <t>RSSS</t>
  </si>
  <si>
    <t>RESEARCH SOLUTIONS INC</t>
  </si>
  <si>
    <t>RST</t>
  </si>
  <si>
    <t>ROSETTA STONE INC</t>
  </si>
  <si>
    <t>RSX</t>
  </si>
  <si>
    <t>VANECK RUSSIA ETF</t>
  </si>
  <si>
    <t>RSXJ</t>
  </si>
  <si>
    <t>VANECK RUSSIA SMALL-CAP</t>
  </si>
  <si>
    <t>RTH</t>
  </si>
  <si>
    <t>VANECK RETAIL ETF</t>
  </si>
  <si>
    <t>RTLR</t>
  </si>
  <si>
    <t>RATTLER MIDSTREAM LP</t>
  </si>
  <si>
    <t>RTM</t>
  </si>
  <si>
    <t>RTRX</t>
  </si>
  <si>
    <t>RETROPHIN INC</t>
  </si>
  <si>
    <t>RTX</t>
  </si>
  <si>
    <t>RAYTHEON TECHNOLOGIES CORP</t>
  </si>
  <si>
    <t>RUBY</t>
  </si>
  <si>
    <t>RUBIUS THERAPEUTICS INC</t>
  </si>
  <si>
    <t>RUHN</t>
  </si>
  <si>
    <t>RUHNN HOLDING LTD-ADR</t>
  </si>
  <si>
    <t>RUN</t>
  </si>
  <si>
    <t>SUNRUN INC</t>
  </si>
  <si>
    <t>RUSHA</t>
  </si>
  <si>
    <t>RUSH ENTERPRISES INC-CL A</t>
  </si>
  <si>
    <t>RUSHB</t>
  </si>
  <si>
    <t>RUSH ENTERPRISES INC - CL B</t>
  </si>
  <si>
    <t>RUSL</t>
  </si>
  <si>
    <t>DIREXION DAILY RUSSIA BULL 2</t>
  </si>
  <si>
    <t>RUTH</t>
  </si>
  <si>
    <t>RUTH'S HOSPITALITY GROUP INC</t>
  </si>
  <si>
    <t>RVI</t>
  </si>
  <si>
    <t>RETAIL VALUE INC</t>
  </si>
  <si>
    <t>RVLV</t>
  </si>
  <si>
    <t>REVOLVE GROUP INC</t>
  </si>
  <si>
    <t>RVMD</t>
  </si>
  <si>
    <t>REVOLUTION MEDICINES INC</t>
  </si>
  <si>
    <t>RVNC</t>
  </si>
  <si>
    <t>REVANCE THERAPEUTICS INC</t>
  </si>
  <si>
    <t>RVNU</t>
  </si>
  <si>
    <t>XTRACKERS MUNICIPAL INFRASTR</t>
  </si>
  <si>
    <t>RVP</t>
  </si>
  <si>
    <t>RETRACTABLE TECHNOLOGIES INC</t>
  </si>
  <si>
    <t>RVRS</t>
  </si>
  <si>
    <t>REVERSE CAP WEIGHTED US LARG</t>
  </si>
  <si>
    <t>RVSB</t>
  </si>
  <si>
    <t>RIVERVIEW BANCORP INC</t>
  </si>
  <si>
    <t>RVT</t>
  </si>
  <si>
    <t>ROYCE VALUE TRUST</t>
  </si>
  <si>
    <t>RWCD</t>
  </si>
  <si>
    <t>DIREXION MSCI CYC/DEF</t>
  </si>
  <si>
    <t>RWDC</t>
  </si>
  <si>
    <t>DIREXION MSCI DEF/CYC</t>
  </si>
  <si>
    <t>RWDE</t>
  </si>
  <si>
    <t>DIREXION MSCI DM/EM</t>
  </si>
  <si>
    <t>RWED</t>
  </si>
  <si>
    <t>DIREXION MSCI EM/DM</t>
  </si>
  <si>
    <t>RWGV</t>
  </si>
  <si>
    <t>DIREXION RUSSELL G/V</t>
  </si>
  <si>
    <t>RWIU</t>
  </si>
  <si>
    <t>DIREXION FTSE/RUSSELL INT/US</t>
  </si>
  <si>
    <t>RWJ</t>
  </si>
  <si>
    <t>INVESCO S&amp;P SMALLCAP 600</t>
  </si>
  <si>
    <t>RWK</t>
  </si>
  <si>
    <t>INVESCO S&amp;P MIDCAP 400 REV</t>
  </si>
  <si>
    <t>RWL</t>
  </si>
  <si>
    <t>INVESCO S&amp;P 500 REVENUE ETF</t>
  </si>
  <si>
    <t>RWLK</t>
  </si>
  <si>
    <t>REWALK ROBOTICS LTD</t>
  </si>
  <si>
    <t>RWLS</t>
  </si>
  <si>
    <t>DIREXION RUSSELL LARGE/SMALL</t>
  </si>
  <si>
    <t>RWM</t>
  </si>
  <si>
    <t>PROSHARES SHORT RUSSELL2000</t>
  </si>
  <si>
    <t>RWO</t>
  </si>
  <si>
    <t>SPDR DJ GLOBAL REAL ESTATE E</t>
  </si>
  <si>
    <t>RWR</t>
  </si>
  <si>
    <t>SPDR DOW JONES REIT ETF</t>
  </si>
  <si>
    <t>RWSL</t>
  </si>
  <si>
    <t>DIREXION RUSSELL SMALL/LARGE</t>
  </si>
  <si>
    <t>RWT</t>
  </si>
  <si>
    <t>REDWOOD TRUST INC</t>
  </si>
  <si>
    <t>RWUI</t>
  </si>
  <si>
    <t>DIREXION FTSE/RUSSELL US/INT</t>
  </si>
  <si>
    <t>RWVG</t>
  </si>
  <si>
    <t>DIREXION RUSSELL V/G</t>
  </si>
  <si>
    <t>RWX</t>
  </si>
  <si>
    <t>SPDR DR INTERNATIONAL RL EST</t>
  </si>
  <si>
    <t>RXD</t>
  </si>
  <si>
    <t>PROSHARES ULTRASHORT HEALTH</t>
  </si>
  <si>
    <t>RXI</t>
  </si>
  <si>
    <t>ISHARES GLOBAL CONSUMER DISC</t>
  </si>
  <si>
    <t>RXL</t>
  </si>
  <si>
    <t>PROSHARES ULTRA HEALTH CARE</t>
  </si>
  <si>
    <t>RXN</t>
  </si>
  <si>
    <t>REXNORD CORP</t>
  </si>
  <si>
    <t>RXT</t>
  </si>
  <si>
    <t>RACKSPACE TECHNOLOGY INC</t>
  </si>
  <si>
    <t>RY</t>
  </si>
  <si>
    <t>ROYAL BANK OF CANADA</t>
  </si>
  <si>
    <t>RY-T</t>
  </si>
  <si>
    <t>RYAAY</t>
  </si>
  <si>
    <t>RYANAIR HOLDINGS PLC-SP ADR</t>
  </si>
  <si>
    <t>RYAM</t>
  </si>
  <si>
    <t>RAYONIER ADVANCED MATERIALS</t>
  </si>
  <si>
    <t>RYB</t>
  </si>
  <si>
    <t>RYB EDUCATION INC-ADR</t>
  </si>
  <si>
    <t>RYE</t>
  </si>
  <si>
    <t>RYF</t>
  </si>
  <si>
    <t>RYH</t>
  </si>
  <si>
    <t>RYI</t>
  </si>
  <si>
    <t>RYERSON HOLDING CORP</t>
  </si>
  <si>
    <t>RYJ</t>
  </si>
  <si>
    <t>INVESCO RAYMOND JAMES SB-1 E</t>
  </si>
  <si>
    <t>RYLD</t>
  </si>
  <si>
    <t>GLOBAL X RUSSELL 2000 COV CL</t>
  </si>
  <si>
    <t>RYN</t>
  </si>
  <si>
    <t>RAYONIER INC</t>
  </si>
  <si>
    <t>RYT</t>
  </si>
  <si>
    <t>RYTM</t>
  </si>
  <si>
    <t>RHYTHM PHARMACEUTICALS INC</t>
  </si>
  <si>
    <t>RYU</t>
  </si>
  <si>
    <t>RZA</t>
  </si>
  <si>
    <t>RZB</t>
  </si>
  <si>
    <t>RZG</t>
  </si>
  <si>
    <t>INVESCO S&amp;P SMALLCAP 600 PUR</t>
  </si>
  <si>
    <t>RZV</t>
  </si>
  <si>
    <t>SA</t>
  </si>
  <si>
    <t>SEABRIDGE GOLD INC</t>
  </si>
  <si>
    <t>SAA</t>
  </si>
  <si>
    <t>PROSHARES ULTRA SMALLCAP600</t>
  </si>
  <si>
    <t>SABR</t>
  </si>
  <si>
    <t>SABRE CORP</t>
  </si>
  <si>
    <t>SACC</t>
  </si>
  <si>
    <t>SACH</t>
  </si>
  <si>
    <t>SACHEM CAPITAL CORP</t>
  </si>
  <si>
    <t>SAF</t>
  </si>
  <si>
    <t>SAFE</t>
  </si>
  <si>
    <t>SAFEHOLD INC</t>
  </si>
  <si>
    <t>SAFM</t>
  </si>
  <si>
    <t>SANDERSON FARMS INC</t>
  </si>
  <si>
    <t>SAFT</t>
  </si>
  <si>
    <t>SAFETY INSURANCE GROUP INC</t>
  </si>
  <si>
    <t>SAGE</t>
  </si>
  <si>
    <t>SAGE THERAPEUTICS INC</t>
  </si>
  <si>
    <t>SAH</t>
  </si>
  <si>
    <t>SONIC AUTOMOTIVE INC-CLASS A</t>
  </si>
  <si>
    <t>SAIA</t>
  </si>
  <si>
    <t>SAIA INC</t>
  </si>
  <si>
    <t>SAIC</t>
  </si>
  <si>
    <t>SCIENCE APPLICATIONS INTE</t>
  </si>
  <si>
    <t>SAIL</t>
  </si>
  <si>
    <t>SAILPOINT TECHNOLOGIES HOLDI</t>
  </si>
  <si>
    <t>SAK</t>
  </si>
  <si>
    <t>SAL</t>
  </si>
  <si>
    <t>SALISBURY BANCORP INC</t>
  </si>
  <si>
    <t>SALM</t>
  </si>
  <si>
    <t>SALEM MEDIA GROUP INC</t>
  </si>
  <si>
    <t>SALT</t>
  </si>
  <si>
    <t>SCORPIO BULKERS INC</t>
  </si>
  <si>
    <t>SAM</t>
  </si>
  <si>
    <t>BOSTON BEER COMPANY INC-A</t>
  </si>
  <si>
    <t>SAMA</t>
  </si>
  <si>
    <t>SCHULTZE SPECIAL PURPOSE ACQ</t>
  </si>
  <si>
    <t>SAMAU</t>
  </si>
  <si>
    <t>SAMAW</t>
  </si>
  <si>
    <t>SAMG</t>
  </si>
  <si>
    <t>SILVERCREST ASSET MANAGEME-A</t>
  </si>
  <si>
    <t>SAN</t>
  </si>
  <si>
    <t>BANCO SANTANDER SA-SPON ADR</t>
  </si>
  <si>
    <t>SAN-B</t>
  </si>
  <si>
    <t>SAND</t>
  </si>
  <si>
    <t>SANDSTORM GOLD LTD</t>
  </si>
  <si>
    <t>SANM</t>
  </si>
  <si>
    <t>SANMINA CORP</t>
  </si>
  <si>
    <t>SANW</t>
  </si>
  <si>
    <t>S&amp;W SEED CO</t>
  </si>
  <si>
    <t>SAP</t>
  </si>
  <si>
    <t>SAP SE-SPONSORED ADR</t>
  </si>
  <si>
    <t>SAQN</t>
  </si>
  <si>
    <t>SOFTWARE ACQUISITION GROUP-A</t>
  </si>
  <si>
    <t>SAQNU</t>
  </si>
  <si>
    <t>SOFTWARE ACQUISITION GROUP I</t>
  </si>
  <si>
    <t>SAQNW</t>
  </si>
  <si>
    <t>SAR</t>
  </si>
  <si>
    <t>SARATOGA INVESTMENT CORP</t>
  </si>
  <si>
    <t>SASR</t>
  </si>
  <si>
    <t>SANDY SPRING BANCORP INC</t>
  </si>
  <si>
    <t>SATS</t>
  </si>
  <si>
    <t>ECHOSTAR CORP-A</t>
  </si>
  <si>
    <t>SAVA</t>
  </si>
  <si>
    <t>CASSAVA SCIENCES INC</t>
  </si>
  <si>
    <t>SAVE</t>
  </si>
  <si>
    <t>SPIRIT AIRLINES INC</t>
  </si>
  <si>
    <t>SB</t>
  </si>
  <si>
    <t>SAFE BULKERS INC</t>
  </si>
  <si>
    <t>SB-C</t>
  </si>
  <si>
    <t>SB-D</t>
  </si>
  <si>
    <t>SBAC</t>
  </si>
  <si>
    <t>SBA COMMUNICATIONS CORP</t>
  </si>
  <si>
    <t>SBB</t>
  </si>
  <si>
    <t>PROSHARES SHORT SMALLCAP600</t>
  </si>
  <si>
    <t>SBBA</t>
  </si>
  <si>
    <t>SBBP</t>
  </si>
  <si>
    <t>STRONGBRIDGE BIOPHARMA PLC</t>
  </si>
  <si>
    <t>SBCF</t>
  </si>
  <si>
    <t>SEACOAST BANKING CORP/FL</t>
  </si>
  <si>
    <t>SBE</t>
  </si>
  <si>
    <t>SWITCHBACK ENERGY ACQUISIT-A</t>
  </si>
  <si>
    <t>SBE+</t>
  </si>
  <si>
    <t>SBE=</t>
  </si>
  <si>
    <t>SWITCHBACK ENERGY ACQUISITIO</t>
  </si>
  <si>
    <t>SBFG</t>
  </si>
  <si>
    <t>SB FINANCIAL GROUP INC</t>
  </si>
  <si>
    <t>SBGI</t>
  </si>
  <si>
    <t>SINCLAIR BROADCAST GROUP -A</t>
  </si>
  <si>
    <t>SBH</t>
  </si>
  <si>
    <t>SALLY BEAUTY HOLDINGS INC</t>
  </si>
  <si>
    <t>SBI</t>
  </si>
  <si>
    <t>WESTERN ASSET INTERMEDIATE</t>
  </si>
  <si>
    <t>SBIO</t>
  </si>
  <si>
    <t>ALPS MEDICAL BREAKTHROUGHS</t>
  </si>
  <si>
    <t>SBLK</t>
  </si>
  <si>
    <t>STAR BULK CARRIERS CORP</t>
  </si>
  <si>
    <t>SBLKZ</t>
  </si>
  <si>
    <t>SBM</t>
  </si>
  <si>
    <t>PROSHARES SHORT BASIC MAT</t>
  </si>
  <si>
    <t>SBNY</t>
  </si>
  <si>
    <t>SIGNATURE BANK</t>
  </si>
  <si>
    <t>SBOW</t>
  </si>
  <si>
    <t>SILVERBOW RESOURCES INC</t>
  </si>
  <si>
    <t>SBPH</t>
  </si>
  <si>
    <t>SPRING BANK PHARMACEUTICALS</t>
  </si>
  <si>
    <t>SBR</t>
  </si>
  <si>
    <t>SABINE ROYALTY TRUST</t>
  </si>
  <si>
    <t>SBRA</t>
  </si>
  <si>
    <t>SABRA HEALTH CARE REIT INC</t>
  </si>
  <si>
    <t>SBS</t>
  </si>
  <si>
    <t>CIA SANEAMENTO BASICO DE-ADR</t>
  </si>
  <si>
    <t>SBSI</t>
  </si>
  <si>
    <t>SOUTHSIDE BANCSHARES INC</t>
  </si>
  <si>
    <t>SBSW</t>
  </si>
  <si>
    <t>SIBANYE-STILLWATER LTD-ADR</t>
  </si>
  <si>
    <t>SBT</t>
  </si>
  <si>
    <t>STERLING BANCORP INC/MI</t>
  </si>
  <si>
    <t>SBUG</t>
  </si>
  <si>
    <t>IPATH SILVER ETN</t>
  </si>
  <si>
    <t>SBUX</t>
  </si>
  <si>
    <t>STARBUCKS CORP</t>
  </si>
  <si>
    <t>SC</t>
  </si>
  <si>
    <t>SANTANDER CONSUMER USA HOLDI</t>
  </si>
  <si>
    <t>SCA</t>
  </si>
  <si>
    <t>SCC</t>
  </si>
  <si>
    <t>PROSHARES ULTRASHORT CONS SV</t>
  </si>
  <si>
    <t>SCCB</t>
  </si>
  <si>
    <t>SCCO</t>
  </si>
  <si>
    <t>SOUTHERN COPPER CORP</t>
  </si>
  <si>
    <t>SCD</t>
  </si>
  <si>
    <t>LMP CAPITAL AND INCOME FUND</t>
  </si>
  <si>
    <t>SCE-B</t>
  </si>
  <si>
    <t>SCE-C</t>
  </si>
  <si>
    <t>SCE-D</t>
  </si>
  <si>
    <t>SCE-E</t>
  </si>
  <si>
    <t>SCE-G</t>
  </si>
  <si>
    <t>SCE-H</t>
  </si>
  <si>
    <t>SCE-J</t>
  </si>
  <si>
    <t>SCE-K</t>
  </si>
  <si>
    <t>SCE-L</t>
  </si>
  <si>
    <t>SCHA</t>
  </si>
  <si>
    <t>SCHWAB US SMALL-CAP ETF</t>
  </si>
  <si>
    <t>SCHB</t>
  </si>
  <si>
    <t>SCHWAB US BROAD MARKET ETF</t>
  </si>
  <si>
    <t>SCHC</t>
  </si>
  <si>
    <t>SCHWAB INTL SMALL-CAP EQUITY</t>
  </si>
  <si>
    <t>SCHD</t>
  </si>
  <si>
    <t>SCHWAB US DVD EQUITY ETF</t>
  </si>
  <si>
    <t>SCHE</t>
  </si>
  <si>
    <t>SCHWAB EMERGING MARKETS EQUI</t>
  </si>
  <si>
    <t>SCHF</t>
  </si>
  <si>
    <t>SCHWAB INTL EQUITY ETF</t>
  </si>
  <si>
    <t>SCHG</t>
  </si>
  <si>
    <t>SCHWAB U.S. LARGE-CAP GROWTH</t>
  </si>
  <si>
    <t>SCHH</t>
  </si>
  <si>
    <t>SCHWAB US REIT ETF</t>
  </si>
  <si>
    <t>SCHI</t>
  </si>
  <si>
    <t>SCHWAB 5-10 YEAR CORPORATE B</t>
  </si>
  <si>
    <t>SCHJ</t>
  </si>
  <si>
    <t>SCHWAB 1-5 YEAR CORPORATE BO</t>
  </si>
  <si>
    <t>SCHK</t>
  </si>
  <si>
    <t>SCHWAB 1000 INDEX ETF</t>
  </si>
  <si>
    <t>SCHL</t>
  </si>
  <si>
    <t>SCHOLASTIC CORP</t>
  </si>
  <si>
    <t>SCHM</t>
  </si>
  <si>
    <t>SCHWAB US MID CAP ETF</t>
  </si>
  <si>
    <t>SCHN</t>
  </si>
  <si>
    <t>SCHNITZER STEEL INDS INC-A</t>
  </si>
  <si>
    <t>SCHO</t>
  </si>
  <si>
    <t>SCHWAB SHORT-TERM US TREAS</t>
  </si>
  <si>
    <t>SCHP</t>
  </si>
  <si>
    <t>SCHWAB U.S. TIPS ETF</t>
  </si>
  <si>
    <t>SCHQ</t>
  </si>
  <si>
    <t>SCHWAB LONG-TERM US TREASURY</t>
  </si>
  <si>
    <t>SCHR</t>
  </si>
  <si>
    <t>SCHWAB INTERMEDIATE-TERM US</t>
  </si>
  <si>
    <t>SCHV</t>
  </si>
  <si>
    <t>SCHWAB US LARGE-CAP VALUE</t>
  </si>
  <si>
    <t>SCHW</t>
  </si>
  <si>
    <t>SCHWAB (CHARLES) CORP</t>
  </si>
  <si>
    <t>SCHW-C</t>
  </si>
  <si>
    <t>SCHW-D</t>
  </si>
  <si>
    <t>SCHX</t>
  </si>
  <si>
    <t>SCHWAB US LARGE-CAP ETF</t>
  </si>
  <si>
    <t>SCHZ</t>
  </si>
  <si>
    <t>SCHWAB US AGGREGATE BOND ETF</t>
  </si>
  <si>
    <t>SCI</t>
  </si>
  <si>
    <t>SERVICE CORP INTERNATIONAL</t>
  </si>
  <si>
    <t>SCJ</t>
  </si>
  <si>
    <t>ISHARES MSCI JAPAN SMALL-CAP</t>
  </si>
  <si>
    <t>SCKT</t>
  </si>
  <si>
    <t>SOCKET MOBILE INC</t>
  </si>
  <si>
    <t>SCL</t>
  </si>
  <si>
    <t>STEPAN CO</t>
  </si>
  <si>
    <t>SCM</t>
  </si>
  <si>
    <t>STELLUS CAPITAL INVESTMENT C</t>
  </si>
  <si>
    <t>SCO</t>
  </si>
  <si>
    <t>SCON</t>
  </si>
  <si>
    <t>SUPERCONDUCTOR TECHNOLOGIES</t>
  </si>
  <si>
    <t>SCOR</t>
  </si>
  <si>
    <t>COMSCORE INC</t>
  </si>
  <si>
    <t>SCPE</t>
  </si>
  <si>
    <t>SC HEALTH CORP-A</t>
  </si>
  <si>
    <t>SCPE+</t>
  </si>
  <si>
    <t>SCPE=</t>
  </si>
  <si>
    <t>SC HEALTH CORP</t>
  </si>
  <si>
    <t>SCPH</t>
  </si>
  <si>
    <t>SCPHARMACEUTICALS INC</t>
  </si>
  <si>
    <t>SCPL</t>
  </si>
  <si>
    <t>SCIPLAY CORP-CLASS A</t>
  </si>
  <si>
    <t>SCS</t>
  </si>
  <si>
    <t>STEELCASE INC-CL A</t>
  </si>
  <si>
    <t>SCSC</t>
  </si>
  <si>
    <t>SCANSOURCE INC</t>
  </si>
  <si>
    <t>SCU</t>
  </si>
  <si>
    <t>SCULPTOR CAPITAL MANAGEMENT</t>
  </si>
  <si>
    <t>SCVL</t>
  </si>
  <si>
    <t>SHOE CARNIVAL INC</t>
  </si>
  <si>
    <t>SCVX</t>
  </si>
  <si>
    <t>SCVX CORP - CLASS A</t>
  </si>
  <si>
    <t>SCVX+</t>
  </si>
  <si>
    <t>SCVX=</t>
  </si>
  <si>
    <t>SCVX CORP</t>
  </si>
  <si>
    <t>SCWX</t>
  </si>
  <si>
    <t>SECUREWORKS CORP - A</t>
  </si>
  <si>
    <t>SCX</t>
  </si>
  <si>
    <t>STARRETT (L.S.) CO  -CL A</t>
  </si>
  <si>
    <t>SCYX</t>
  </si>
  <si>
    <t>SCYNEXIS INC</t>
  </si>
  <si>
    <t>SCZ</t>
  </si>
  <si>
    <t>ISHARES MSCI EAFE SMALL-CAP</t>
  </si>
  <si>
    <t>SD</t>
  </si>
  <si>
    <t>SANDRIDGE ENERGY INC</t>
  </si>
  <si>
    <t>SDC</t>
  </si>
  <si>
    <t>SMILEDIRECTCLUB INC</t>
  </si>
  <si>
    <t>SDCI</t>
  </si>
  <si>
    <t>USCF SUMMERHAVEN DYNAMIC ETF</t>
  </si>
  <si>
    <t>SDD</t>
  </si>
  <si>
    <t>PROSHARES ULTRASHORT SC600</t>
  </si>
  <si>
    <t>SDEM</t>
  </si>
  <si>
    <t>SDG</t>
  </si>
  <si>
    <t>ISHARES SUSTAINABLE MSCI GLB</t>
  </si>
  <si>
    <t>SDGA</t>
  </si>
  <si>
    <t>IMPACT SHARES SUSTAINABLE DE</t>
  </si>
  <si>
    <t>SDGR</t>
  </si>
  <si>
    <t>SCHRODINGER INC</t>
  </si>
  <si>
    <t>SDIV</t>
  </si>
  <si>
    <t>GLOBAL X SUPERDIVIDEND ETF</t>
  </si>
  <si>
    <t>SDOG</t>
  </si>
  <si>
    <t>ALPS SECTOR DIVIDEND DOGS</t>
  </si>
  <si>
    <t>SDOW</t>
  </si>
  <si>
    <t>PROSHARES ULTPRO SHRT DOW30</t>
  </si>
  <si>
    <t>SDP</t>
  </si>
  <si>
    <t>PROSHARES ULTSHRT UTILITIES</t>
  </si>
  <si>
    <t>SDPI</t>
  </si>
  <si>
    <t>SUPERIOR DRILLING PRODUCTS I</t>
  </si>
  <si>
    <t>SDS</t>
  </si>
  <si>
    <t>PROSHARES ULTRASHORT S&amp;P500</t>
  </si>
  <si>
    <t>SDVY</t>
  </si>
  <si>
    <t>FIRST TRUST SMID CAP RISING</t>
  </si>
  <si>
    <t>SDY</t>
  </si>
  <si>
    <t>SPDR S&amp;P DIVIDEND ETF</t>
  </si>
  <si>
    <t>SDYL</t>
  </si>
  <si>
    <t>ETRACS 2X S&amp;P DVD ETN</t>
  </si>
  <si>
    <t>SE</t>
  </si>
  <si>
    <t>SEA LTD-ADR</t>
  </si>
  <si>
    <t>SEAC</t>
  </si>
  <si>
    <t>SEACHANGE INTERNATIONAL INC</t>
  </si>
  <si>
    <t>SEAS</t>
  </si>
  <si>
    <t>SEAWORLD ENTERTAINMENT INC</t>
  </si>
  <si>
    <t>SEB</t>
  </si>
  <si>
    <t>SEABOARD CORP</t>
  </si>
  <si>
    <t>SECO</t>
  </si>
  <si>
    <t>SECOO HOLDING LTD - ADR</t>
  </si>
  <si>
    <t>SECT</t>
  </si>
  <si>
    <t>MAIN SECTOR ROTATION ETF</t>
  </si>
  <si>
    <t>SEDG</t>
  </si>
  <si>
    <t>SOLAREDGE TECHNOLOGIES INC</t>
  </si>
  <si>
    <t>SEE</t>
  </si>
  <si>
    <t>SEALED AIR CORP</t>
  </si>
  <si>
    <t>SEED</t>
  </si>
  <si>
    <t>ORIGIN AGRITECH LTD</t>
  </si>
  <si>
    <t>SEEL</t>
  </si>
  <si>
    <t>SEELOS THERAPEUTICS INC</t>
  </si>
  <si>
    <t>SEF</t>
  </si>
  <si>
    <t>PROSHARES SHORT FINANCIALS</t>
  </si>
  <si>
    <t>SEIC</t>
  </si>
  <si>
    <t>SEI INVESTMENTS COMPANY</t>
  </si>
  <si>
    <t>SEIX</t>
  </si>
  <si>
    <t>VIRTUS SEIX SENIOR LOAN ETF</t>
  </si>
  <si>
    <t>SELB</t>
  </si>
  <si>
    <t>SELECTA BIOSCIENCES INC</t>
  </si>
  <si>
    <t>SELF</t>
  </si>
  <si>
    <t>GLOBAL SELF STORAGE INC</t>
  </si>
  <si>
    <t>SEM</t>
  </si>
  <si>
    <t>SELECT MEDICAL HOLDINGS CORP</t>
  </si>
  <si>
    <t>SENEA</t>
  </si>
  <si>
    <t>SENECA FOODS CORP - CL A</t>
  </si>
  <si>
    <t>SENEB</t>
  </si>
  <si>
    <t>SENECA FOODS CORP - CL B</t>
  </si>
  <si>
    <t>SENS</t>
  </si>
  <si>
    <t>SENSEONICS HOLDINGS INC</t>
  </si>
  <si>
    <t>SEPZ</t>
  </si>
  <si>
    <t>TRUESHARES STRUC OUT SEP ETF</t>
  </si>
  <si>
    <t>SERV</t>
  </si>
  <si>
    <t>SERVICEMASTER GLOBAL HOLDING</t>
  </si>
  <si>
    <t>SESN</t>
  </si>
  <si>
    <t>SESEN BIO INC</t>
  </si>
  <si>
    <t>SF</t>
  </si>
  <si>
    <t>STIFEL FINANCIAL CORP</t>
  </si>
  <si>
    <t>SF-A</t>
  </si>
  <si>
    <t>SF-B</t>
  </si>
  <si>
    <t>SF-C</t>
  </si>
  <si>
    <t>SFB</t>
  </si>
  <si>
    <t>SFBC</t>
  </si>
  <si>
    <t>SOUND FINANCIAL BANCORP INC</t>
  </si>
  <si>
    <t>SFBS</t>
  </si>
  <si>
    <t>SERVISFIRST BANCSHARES INC</t>
  </si>
  <si>
    <t>SFE</t>
  </si>
  <si>
    <t>SAFEGUARD SCIENTIFICS INC</t>
  </si>
  <si>
    <t>SFET</t>
  </si>
  <si>
    <t>SAFE-T GROUP LTD-ADR</t>
  </si>
  <si>
    <t>SFHY</t>
  </si>
  <si>
    <t>WISDOMTREE U.S. SHORT TERM H</t>
  </si>
  <si>
    <t>SFIG</t>
  </si>
  <si>
    <t>WISDOMTREE US SHORT TERM COR</t>
  </si>
  <si>
    <t>SFIX</t>
  </si>
  <si>
    <t>STITCH FIX INC-CLASS A</t>
  </si>
  <si>
    <t>SFL</t>
  </si>
  <si>
    <t>SFL CORP LTD</t>
  </si>
  <si>
    <t>SFM</t>
  </si>
  <si>
    <t>SPROUTS FARMERS MARKET INC</t>
  </si>
  <si>
    <t>SFNC</t>
  </si>
  <si>
    <t>SIMMONS FIRST NATL CORP-CL A</t>
  </si>
  <si>
    <t>SFST</t>
  </si>
  <si>
    <t>SOUTHERN FIRST BANCSHARES</t>
  </si>
  <si>
    <t>SFTW</t>
  </si>
  <si>
    <t>OSPREY TECHNOLOGY ACQUISIT-A</t>
  </si>
  <si>
    <t>SFTW+</t>
  </si>
  <si>
    <t>SFTW=</t>
  </si>
  <si>
    <t>OSPREY TECHNOLOGY ACQUISITIO</t>
  </si>
  <si>
    <t>SFUN</t>
  </si>
  <si>
    <t>FANG HOLDINGS LTD - ADR</t>
  </si>
  <si>
    <t>SFY</t>
  </si>
  <si>
    <t>SOFI SELECT 500 ETF</t>
  </si>
  <si>
    <t>SFYF</t>
  </si>
  <si>
    <t>SOFI 50 ETF</t>
  </si>
  <si>
    <t>SFYX</t>
  </si>
  <si>
    <t>SOFI NEXT 500 ETF</t>
  </si>
  <si>
    <t>SG</t>
  </si>
  <si>
    <t>SIRIUS INTERNATIONAL INSURAN</t>
  </si>
  <si>
    <t>SGA</t>
  </si>
  <si>
    <t>SAGA COMMUNICATIONS INC-CL A</t>
  </si>
  <si>
    <t>SGBX</t>
  </si>
  <si>
    <t>SG BLOCKS INC</t>
  </si>
  <si>
    <t>SGC</t>
  </si>
  <si>
    <t>SUPERIOR GROUP OF COS INC</t>
  </si>
  <si>
    <t>SGDJ</t>
  </si>
  <si>
    <t>SPROTT JR. GOLD MINERS ETF</t>
  </si>
  <si>
    <t>SGDM</t>
  </si>
  <si>
    <t>SPROTT GOLD MINERS ETF</t>
  </si>
  <si>
    <t>SGEN</t>
  </si>
  <si>
    <t>SEATTLE GENETICS INC</t>
  </si>
  <si>
    <t>SGG</t>
  </si>
  <si>
    <t>IPATH SERIES B BBG SUGAR SUB</t>
  </si>
  <si>
    <t>SGH</t>
  </si>
  <si>
    <t>SMART GLOBAL HOLDINGS INC</t>
  </si>
  <si>
    <t>SGLB</t>
  </si>
  <si>
    <t>SIGMA LABS INC</t>
  </si>
  <si>
    <t>SGLBW</t>
  </si>
  <si>
    <t>SGMA</t>
  </si>
  <si>
    <t>SIGMATRON INTERNATIONAL INC</t>
  </si>
  <si>
    <t>SGMO</t>
  </si>
  <si>
    <t>SANGAMO THERAPEUTICS INC</t>
  </si>
  <si>
    <t>SGMS</t>
  </si>
  <si>
    <t>SCIENTIFIC GAMES CORP</t>
  </si>
  <si>
    <t>SGOC</t>
  </si>
  <si>
    <t>SGOCO GROUP LTD</t>
  </si>
  <si>
    <t>SGOL</t>
  </si>
  <si>
    <t>ABERDEEN STNDRD PHYSIC GLD</t>
  </si>
  <si>
    <t>SGOV</t>
  </si>
  <si>
    <t>ISHARES 0-3 MONTH TREASURY B</t>
  </si>
  <si>
    <t>SGRP</t>
  </si>
  <si>
    <t>SPAR GROUP INC</t>
  </si>
  <si>
    <t>SGRY</t>
  </si>
  <si>
    <t>SURGERY PARTNERS INC</t>
  </si>
  <si>
    <t>SGU</t>
  </si>
  <si>
    <t>STAR GROUP LP</t>
  </si>
  <si>
    <t>SH</t>
  </si>
  <si>
    <t>PROSHARES SHORT S&amp;P500</t>
  </si>
  <si>
    <t>SHAG</t>
  </si>
  <si>
    <t>WSDMTREE YLD EN US ST AGG</t>
  </si>
  <si>
    <t>SHAK</t>
  </si>
  <si>
    <t>SHAKE SHACK INC - CLASS A</t>
  </si>
  <si>
    <t>SHBI</t>
  </si>
  <si>
    <t>SHORE BANCSHARES INC</t>
  </si>
  <si>
    <t>SHE</t>
  </si>
  <si>
    <t>SPDR GENDER DIVERSITY ETF</t>
  </si>
  <si>
    <t>SHEN</t>
  </si>
  <si>
    <t>SHENANDOAH TELECOMMUNICATION</t>
  </si>
  <si>
    <t>SHG</t>
  </si>
  <si>
    <t>SHINHAN FINANCIAL GROUP-ADR</t>
  </si>
  <si>
    <t>SHI</t>
  </si>
  <si>
    <t>SINOPEC SHANGHAI-SPONS ADR</t>
  </si>
  <si>
    <t>SHIP</t>
  </si>
  <si>
    <t>SEANERGY MARITIME HOLDINGS</t>
  </si>
  <si>
    <t>SHIPW</t>
  </si>
  <si>
    <t>SHIPZ</t>
  </si>
  <si>
    <t>SHLL</t>
  </si>
  <si>
    <t>TORTOISE ACQUISITION CORP-A</t>
  </si>
  <si>
    <t>SHLL+</t>
  </si>
  <si>
    <t>SHLL=</t>
  </si>
  <si>
    <t>TORTOISE ACQUISITION CORP</t>
  </si>
  <si>
    <t>SHLO</t>
  </si>
  <si>
    <t>SHILOH INDUSTRIES INC</t>
  </si>
  <si>
    <t>SHLX</t>
  </si>
  <si>
    <t>SHELL MIDSTREAM PARTNERS LP</t>
  </si>
  <si>
    <t>SHM</t>
  </si>
  <si>
    <t>SPDR NUVEEN BBG BARC ST MUNI</t>
  </si>
  <si>
    <t>SHO</t>
  </si>
  <si>
    <t>SUNSTONE HOTEL INVESTORS INC</t>
  </si>
  <si>
    <t>SHO-E</t>
  </si>
  <si>
    <t>SHO-F</t>
  </si>
  <si>
    <t>SHOO</t>
  </si>
  <si>
    <t>STEVEN MADDEN LTD</t>
  </si>
  <si>
    <t>SHOP</t>
  </si>
  <si>
    <t>SHOPIFY INC - CLASS A</t>
  </si>
  <si>
    <t>SHSP</t>
  </si>
  <si>
    <t>SHARPSPRING INC</t>
  </si>
  <si>
    <t>SHV</t>
  </si>
  <si>
    <t>ISHARES SHORT TREASURY BOND</t>
  </si>
  <si>
    <t>SHW</t>
  </si>
  <si>
    <t>SHERWIN-WILLIAMS CO/THE</t>
  </si>
  <si>
    <t>SHY</t>
  </si>
  <si>
    <t>ISHARES 1-3 YEAR TREASURY BO</t>
  </si>
  <si>
    <t>SHYD</t>
  </si>
  <si>
    <t>VANECK VECTORS SH H YLD MUNI</t>
  </si>
  <si>
    <t>SHYF</t>
  </si>
  <si>
    <t>SHYFT GROUP INC/THE</t>
  </si>
  <si>
    <t>SHYG</t>
  </si>
  <si>
    <t>ISHARES 0-5 YR HY CORP BOND</t>
  </si>
  <si>
    <t>SHYL</t>
  </si>
  <si>
    <t>XTRACKERS SHRT DUR HIGH YIEL</t>
  </si>
  <si>
    <t>SI</t>
  </si>
  <si>
    <t>SILVERGATE CAPITAL CORP-CL A</t>
  </si>
  <si>
    <t>SIBN</t>
  </si>
  <si>
    <t>SI-BONE INC</t>
  </si>
  <si>
    <t>SIC</t>
  </si>
  <si>
    <t>SELECT INTERIOR CONCEPTS-A</t>
  </si>
  <si>
    <t>SID</t>
  </si>
  <si>
    <t>CIA SIDERURGICA NACL-SP ADR</t>
  </si>
  <si>
    <t>SIEB</t>
  </si>
  <si>
    <t>SIEBERT FINANCIAL CORP</t>
  </si>
  <si>
    <t>SIEN</t>
  </si>
  <si>
    <t>SIENTRA INC</t>
  </si>
  <si>
    <t>SIF</t>
  </si>
  <si>
    <t>SIFCO INDUSTRIES</t>
  </si>
  <si>
    <t>SIFY</t>
  </si>
  <si>
    <t>SIFY TECHNOLOGIES-SPON ADR</t>
  </si>
  <si>
    <t>SIG</t>
  </si>
  <si>
    <t>SIGNET JEWELERS LTD</t>
  </si>
  <si>
    <t>SIGA</t>
  </si>
  <si>
    <t>SIGA TECHNOLOGIES INC</t>
  </si>
  <si>
    <t>SIGI</t>
  </si>
  <si>
    <t>SELECTIVE INSURANCE GROUP</t>
  </si>
  <si>
    <t>SII</t>
  </si>
  <si>
    <t>SPROTT INC</t>
  </si>
  <si>
    <t>SIJ</t>
  </si>
  <si>
    <t>PROSHARES ULTSHRT INDUSTRIAL</t>
  </si>
  <si>
    <t>SIL</t>
  </si>
  <si>
    <t>GLOBAL X SILVER MINERS ETF</t>
  </si>
  <si>
    <t>SILC</t>
  </si>
  <si>
    <t>SILICOM LTD</t>
  </si>
  <si>
    <t>SILJ</t>
  </si>
  <si>
    <t>ETFMG PRIME JUNIOR SILVER MI</t>
  </si>
  <si>
    <t>SILK</t>
  </si>
  <si>
    <t>SILK ROAD MEDICAL INC</t>
  </si>
  <si>
    <t>SILV</t>
  </si>
  <si>
    <t>SILVERCREST METALS INC</t>
  </si>
  <si>
    <t>SIM</t>
  </si>
  <si>
    <t>GRUPO SIMEC SAB-SPON ADR</t>
  </si>
  <si>
    <t>SIMO</t>
  </si>
  <si>
    <t>SILICON MOTION TECHNOL-ADR</t>
  </si>
  <si>
    <t>SIMS</t>
  </si>
  <si>
    <t>SPDR S&amp;P KENSHO INTELLIGENT</t>
  </si>
  <si>
    <t>SINA</t>
  </si>
  <si>
    <t>SINA CORP</t>
  </si>
  <si>
    <t>SINO</t>
  </si>
  <si>
    <t>SINO-GLOBAL SHIPPING AMERICA</t>
  </si>
  <si>
    <t>SINT</t>
  </si>
  <si>
    <t>SINTX TECHNOLOGIES INC</t>
  </si>
  <si>
    <t>SIRI</t>
  </si>
  <si>
    <t>SIRIUS XM HOLDINGS INC</t>
  </si>
  <si>
    <t>SITC</t>
  </si>
  <si>
    <t>SITE CENTERS CORP</t>
  </si>
  <si>
    <t>SITC-A</t>
  </si>
  <si>
    <t>SITC-K</t>
  </si>
  <si>
    <t>SITE</t>
  </si>
  <si>
    <t>SITEONE LANDSCAPE SUPPLY INC</t>
  </si>
  <si>
    <t>SITM</t>
  </si>
  <si>
    <t>SITIME CORP</t>
  </si>
  <si>
    <t>SIVB</t>
  </si>
  <si>
    <t>SVB FINANCIAL GROUP</t>
  </si>
  <si>
    <t>SIVBP</t>
  </si>
  <si>
    <t>SIVR</t>
  </si>
  <si>
    <t>ABERDEEN STANDARD PHYSICAL S</t>
  </si>
  <si>
    <t>SIX</t>
  </si>
  <si>
    <t>SIX FLAGS ENTERTAINMENT CORP</t>
  </si>
  <si>
    <t>SIXA</t>
  </si>
  <si>
    <t>6 MERIDIAN MEGA CAP EQUITY</t>
  </si>
  <si>
    <t>SIXH</t>
  </si>
  <si>
    <t>6 MERIDIAN HEDGED EQTY-INDEX</t>
  </si>
  <si>
    <t>SIXL</t>
  </si>
  <si>
    <t>6 MERIDIAN LOW BETA EQUITY</t>
  </si>
  <si>
    <t>SIXS</t>
  </si>
  <si>
    <t>6 MERIDIAN SMALL CAP EQUITY</t>
  </si>
  <si>
    <t>SIZE</t>
  </si>
  <si>
    <t>ISHARES MSCI USA SIZE FACTOR</t>
  </si>
  <si>
    <t>SJ</t>
  </si>
  <si>
    <t>SCIENJOY HOLDING CORP</t>
  </si>
  <si>
    <t>SJB</t>
  </si>
  <si>
    <t>PROSHARES SHORT HIGH YIELD</t>
  </si>
  <si>
    <t>SJI</t>
  </si>
  <si>
    <t>SOUTH JERSEY INDUSTRIES</t>
  </si>
  <si>
    <t>SJIJ</t>
  </si>
  <si>
    <t>SJIU</t>
  </si>
  <si>
    <t>SJM</t>
  </si>
  <si>
    <t>JM SMUCKER CO/THE</t>
  </si>
  <si>
    <t>SJNK</t>
  </si>
  <si>
    <t>SPDR BBG BARC ST HIGH YIELD</t>
  </si>
  <si>
    <t>SJR</t>
  </si>
  <si>
    <t>SHAW COMMUNICATIONS INC-B</t>
  </si>
  <si>
    <t>SJT</t>
  </si>
  <si>
    <t>SAN JUAN BASIN ROYALTY TR</t>
  </si>
  <si>
    <t>SJW</t>
  </si>
  <si>
    <t>SJW GROUP</t>
  </si>
  <si>
    <t>SKF</t>
  </si>
  <si>
    <t>PROSHARES ULTSHRT FINANCIALS</t>
  </si>
  <si>
    <t>SKM</t>
  </si>
  <si>
    <t>SK TELECOM CO LTD-SPON ADR</t>
  </si>
  <si>
    <t>SKOR</t>
  </si>
  <si>
    <t>FLEXSHARES CREDIT-SCORED US</t>
  </si>
  <si>
    <t>SKT</t>
  </si>
  <si>
    <t>TANGER FACTORY OUTLET CENTER</t>
  </si>
  <si>
    <t>SKX</t>
  </si>
  <si>
    <t>SKECHERS USA INC-CL A</t>
  </si>
  <si>
    <t>SKY</t>
  </si>
  <si>
    <t>SKYLINE CHAMPION CORP</t>
  </si>
  <si>
    <t>SKYS</t>
  </si>
  <si>
    <t>SKY SOLAR HOLDINGS-SPON ADR</t>
  </si>
  <si>
    <t>SKYW</t>
  </si>
  <si>
    <t>SKYWEST INC</t>
  </si>
  <si>
    <t>SKYY</t>
  </si>
  <si>
    <t>FIRST TRUST CLOUD COMPUTING</t>
  </si>
  <si>
    <t>SLAB</t>
  </si>
  <si>
    <t>SILICON LABORATORIES INC</t>
  </si>
  <si>
    <t>SLB</t>
  </si>
  <si>
    <t>SCHLUMBERGER LTD</t>
  </si>
  <si>
    <t>SLCA</t>
  </si>
  <si>
    <t>US SILICA HOLDINGS INC</t>
  </si>
  <si>
    <t>SLCT</t>
  </si>
  <si>
    <t>SELECT BANCORP INC</t>
  </si>
  <si>
    <t>SLDB</t>
  </si>
  <si>
    <t>SOLID BIOSCIENCES INC</t>
  </si>
  <si>
    <t>SLF</t>
  </si>
  <si>
    <t>SUN LIFE FINANCIAL INC</t>
  </si>
  <si>
    <t>SLG</t>
  </si>
  <si>
    <t>SL GREEN REALTY CORP</t>
  </si>
  <si>
    <t>SLG-I</t>
  </si>
  <si>
    <t>SLGG</t>
  </si>
  <si>
    <t>SUPER LEAGUE GAMING INC</t>
  </si>
  <si>
    <t>SLGL</t>
  </si>
  <si>
    <t>SOL-GEL TECHNOLOGIES LTD</t>
  </si>
  <si>
    <t>SLGN</t>
  </si>
  <si>
    <t>SILGAN HOLDINGS INC</t>
  </si>
  <si>
    <t>SLM</t>
  </si>
  <si>
    <t>SLM CORP</t>
  </si>
  <si>
    <t>SLMBP</t>
  </si>
  <si>
    <t>SLN</t>
  </si>
  <si>
    <t>SILENCE THERAPEUTICS PLC</t>
  </si>
  <si>
    <t>SLNO</t>
  </si>
  <si>
    <t>SOLENO THERAPEUTICS INC</t>
  </si>
  <si>
    <t>SLP</t>
  </si>
  <si>
    <t>SIMULATIONS PLUS INC</t>
  </si>
  <si>
    <t>SLQD</t>
  </si>
  <si>
    <t>ISHARES 0-5 YR INV GRD CORP</t>
  </si>
  <si>
    <t>SLQT</t>
  </si>
  <si>
    <t>SELECTQUOTE INC</t>
  </si>
  <si>
    <t>SLRC</t>
  </si>
  <si>
    <t>SOLAR CAPITAL LTD</t>
  </si>
  <si>
    <t>SLRX</t>
  </si>
  <si>
    <t>SALARIUS PHARMACEUTICALS INC</t>
  </si>
  <si>
    <t>SLS</t>
  </si>
  <si>
    <t>SELLAS LIFE SCIENCES GROUP I</t>
  </si>
  <si>
    <t>SLT</t>
  </si>
  <si>
    <t>SALT HIGH TRUBETA US MKT ETF</t>
  </si>
  <si>
    <t>SLV</t>
  </si>
  <si>
    <t>ISHARES SILVER TRUST</t>
  </si>
  <si>
    <t>SLVO</t>
  </si>
  <si>
    <t>X-LINKS SLVR SHRS COVRD CALL</t>
  </si>
  <si>
    <t>SLVP</t>
  </si>
  <si>
    <t>ISHARES MSCI GLOBAL SILVER A</t>
  </si>
  <si>
    <t>SLX</t>
  </si>
  <si>
    <t>VANECK STEEL ETF</t>
  </si>
  <si>
    <t>SLY</t>
  </si>
  <si>
    <t>SPDR S&amp;P 600 SMALL CAP ETF</t>
  </si>
  <si>
    <t>SLYG</t>
  </si>
  <si>
    <t>SPDR S&amp;P 600 SMALL CAP GROWT</t>
  </si>
  <si>
    <t>SLYV</t>
  </si>
  <si>
    <t>SPDR S&amp;P 600 SMALL CAP VALUE</t>
  </si>
  <si>
    <t>SM</t>
  </si>
  <si>
    <t>SM ENERGY CO</t>
  </si>
  <si>
    <t>SMAR</t>
  </si>
  <si>
    <t>SMARTSHEET INC-CLASS A</t>
  </si>
  <si>
    <t>SMB</t>
  </si>
  <si>
    <t>VANECK VECTORS SHORT MUNI ET</t>
  </si>
  <si>
    <t>SMBC</t>
  </si>
  <si>
    <t>SOUTHERN MISSOURI BANCORP</t>
  </si>
  <si>
    <t>SMBK</t>
  </si>
  <si>
    <t>SMARTFINANCIAL INC</t>
  </si>
  <si>
    <t>SMCI</t>
  </si>
  <si>
    <t>SUPER MICRO COMPUTER INC</t>
  </si>
  <si>
    <t>SMCP</t>
  </si>
  <si>
    <t>ALPHAMARK ACT MANAGED SMALL</t>
  </si>
  <si>
    <t>SMDD</t>
  </si>
  <si>
    <t>PROSHARES ULTPRO SHRT MC400</t>
  </si>
  <si>
    <t>SMDV</t>
  </si>
  <si>
    <t>PROSHRS RSL 2000 DVD GRW ETF</t>
  </si>
  <si>
    <t>SMDY</t>
  </si>
  <si>
    <t>SYNTAX STRATIFIED MIDCAP ETF</t>
  </si>
  <si>
    <t>SMED</t>
  </si>
  <si>
    <t>SHARPS COMPLIANCE CORP</t>
  </si>
  <si>
    <t>SMEZ</t>
  </si>
  <si>
    <t>SPDR EURO STOXX SMALL CAP ET</t>
  </si>
  <si>
    <t>SMFG</t>
  </si>
  <si>
    <t>SUMITOMO MITSUI-SPONS ADR</t>
  </si>
  <si>
    <t>SMG</t>
  </si>
  <si>
    <t>SCOTTS MIRACLE-GRO CO</t>
  </si>
  <si>
    <t>SMH</t>
  </si>
  <si>
    <t>VANECK SEMICONDUCTOR</t>
  </si>
  <si>
    <t>SMHB</t>
  </si>
  <si>
    <t>ETRACS MON PAY 2X LEV US -B</t>
  </si>
  <si>
    <t>SMHI</t>
  </si>
  <si>
    <t>SEACOR MARINE HOLDINGS INC</t>
  </si>
  <si>
    <t>SMIN</t>
  </si>
  <si>
    <t>ISHARES MSCI INDIA SMALL-CAP</t>
  </si>
  <si>
    <t>SMIT</t>
  </si>
  <si>
    <t>SCHMITT INDUSTRIES INC</t>
  </si>
  <si>
    <t>SMLF</t>
  </si>
  <si>
    <t>ISHARES MSCI USA SMALL-CAP M</t>
  </si>
  <si>
    <t>SMLL</t>
  </si>
  <si>
    <t>DIREXION DLY SM CAP BULL 2X</t>
  </si>
  <si>
    <t>SMLP</t>
  </si>
  <si>
    <t>SUMMIT MIDSTREAM PARTNERS LP</t>
  </si>
  <si>
    <t>SMLV</t>
  </si>
  <si>
    <t>SPDR SSGA US SMALL CAP LOW</t>
  </si>
  <si>
    <t>SMM</t>
  </si>
  <si>
    <t>SALIENT MIDSTREAM &amp; MLP FUND</t>
  </si>
  <si>
    <t>SMMC</t>
  </si>
  <si>
    <t>SOUTH MOUNTAIN MERGER CORP-A</t>
  </si>
  <si>
    <t>SMMCU</t>
  </si>
  <si>
    <t>SOUTH MOUNTAIN MERGER CORP</t>
  </si>
  <si>
    <t>SMMCW</t>
  </si>
  <si>
    <t>SMMD</t>
  </si>
  <si>
    <t>ISHARES RUSSELL 2500 ETF</t>
  </si>
  <si>
    <t>SMMF</t>
  </si>
  <si>
    <t>SUMMIT FINANCIAL GROUP INC</t>
  </si>
  <si>
    <t>SMMT</t>
  </si>
  <si>
    <t>SUMMIT THERAPEUTICS-SPON ADR</t>
  </si>
  <si>
    <t>SMMU</t>
  </si>
  <si>
    <t>PIMCO SHORT TERM MUNICIPAL B</t>
  </si>
  <si>
    <t>SMMV</t>
  </si>
  <si>
    <t>SMN</t>
  </si>
  <si>
    <t>PROSHARES ULTSHRT BASIC MAT</t>
  </si>
  <si>
    <t>SMOG</t>
  </si>
  <si>
    <t>VANECK VECTORS LOW CARBON EN</t>
  </si>
  <si>
    <t>SMP</t>
  </si>
  <si>
    <t>STANDARD MOTOR PRODS</t>
  </si>
  <si>
    <t>SMPL</t>
  </si>
  <si>
    <t>SIMPLY GOOD FOODS CO/THE</t>
  </si>
  <si>
    <t>SMSI</t>
  </si>
  <si>
    <t>SMITH MICRO SOFTWARE INC</t>
  </si>
  <si>
    <t>SMTC</t>
  </si>
  <si>
    <t>SEMTECH CORP</t>
  </si>
  <si>
    <t>SMTS</t>
  </si>
  <si>
    <t>SIERRA METALS INC</t>
  </si>
  <si>
    <t>SMTX</t>
  </si>
  <si>
    <t>SMTC CORPORATION</t>
  </si>
  <si>
    <t>SNA</t>
  </si>
  <si>
    <t>SNAP-ON INC</t>
  </si>
  <si>
    <t>SNAP</t>
  </si>
  <si>
    <t>SNAP INC - A</t>
  </si>
  <si>
    <t>SNBP</t>
  </si>
  <si>
    <t>SUN BIOPHARMA INC</t>
  </si>
  <si>
    <t>SNBR</t>
  </si>
  <si>
    <t>SLEEP NUMBER CORP</t>
  </si>
  <si>
    <t>SNCA</t>
  </si>
  <si>
    <t>SENECA BIOPHARMA INC</t>
  </si>
  <si>
    <t>SNCR</t>
  </si>
  <si>
    <t>SYNCHRONOSS TECHNOLOGIES INC</t>
  </si>
  <si>
    <t>SND</t>
  </si>
  <si>
    <t>SMART SAND INC</t>
  </si>
  <si>
    <t>SNDE</t>
  </si>
  <si>
    <t>SUNDANCE ENERGY INC</t>
  </si>
  <si>
    <t>SNDL</t>
  </si>
  <si>
    <t>SUNDIAL GROWERS INC</t>
  </si>
  <si>
    <t>SNDR</t>
  </si>
  <si>
    <t>SCHNEIDER NATIONAL INC-CL B</t>
  </si>
  <si>
    <t>SNDX</t>
  </si>
  <si>
    <t>SYNDAX PHARMACEUTICALS INC</t>
  </si>
  <si>
    <t>SNE</t>
  </si>
  <si>
    <t>SONY CORP-SPONSORED ADR</t>
  </si>
  <si>
    <t>SNES</t>
  </si>
  <si>
    <t>SENESTECH INC</t>
  </si>
  <si>
    <t>SNEX</t>
  </si>
  <si>
    <t>STONEX GROUP INC</t>
  </si>
  <si>
    <t>SNFCA</t>
  </si>
  <si>
    <t>SECURITY NATL FINL CORP-CL A</t>
  </si>
  <si>
    <t>SNGX</t>
  </si>
  <si>
    <t>SOLIGENIX INC</t>
  </si>
  <si>
    <t>SNGXW</t>
  </si>
  <si>
    <t>SNLN</t>
  </si>
  <si>
    <t>HIGHLAND/IBOXX SENIOR LOAN E</t>
  </si>
  <si>
    <t>SNMP</t>
  </si>
  <si>
    <t>SANCHEZ MIDSTREAM PARTNERS L</t>
  </si>
  <si>
    <t>SNN</t>
  </si>
  <si>
    <t>SMITH &amp; NEPHEW PLC -SPON ADR</t>
  </si>
  <si>
    <t>SNOA</t>
  </si>
  <si>
    <t>SONOMA PHARMACEUTICALS INC</t>
  </si>
  <si>
    <t>SNP</t>
  </si>
  <si>
    <t>CHINA PETROLEUM &amp; CHEM-ADR</t>
  </si>
  <si>
    <t>SNPE</t>
  </si>
  <si>
    <t>XTRACKERS S&amp;P 500 ESG ETF</t>
  </si>
  <si>
    <t>SNPS</t>
  </si>
  <si>
    <t>SYNOPSYS INC</t>
  </si>
  <si>
    <t>SNR</t>
  </si>
  <si>
    <t>NEW SENIOR INVESTMENT GROUP</t>
  </si>
  <si>
    <t>SNSR</t>
  </si>
  <si>
    <t>GLOBAL X INTERNET OF THINGS</t>
  </si>
  <si>
    <t>SNSS</t>
  </si>
  <si>
    <t>SUNESIS PHARMACEUTICALS INC</t>
  </si>
  <si>
    <t>SNUG</t>
  </si>
  <si>
    <t>MERLYN AI TACTICAL GRW &amp; INC</t>
  </si>
  <si>
    <t>SNV</t>
  </si>
  <si>
    <t>SYNOVUS FINANCIAL CORP</t>
  </si>
  <si>
    <t>SNV-D</t>
  </si>
  <si>
    <t>SNV-E</t>
  </si>
  <si>
    <t>SNX</t>
  </si>
  <si>
    <t>SYNNEX CORP</t>
  </si>
  <si>
    <t>SNY</t>
  </si>
  <si>
    <t>SANOFI-ADR</t>
  </si>
  <si>
    <t>SO</t>
  </si>
  <si>
    <t>SOUTHERN CO/THE</t>
  </si>
  <si>
    <t>SOAC</t>
  </si>
  <si>
    <t>SUSTAINABLE OPPORTUNITIES-A</t>
  </si>
  <si>
    <t>SOAC+</t>
  </si>
  <si>
    <t>SOAC=</t>
  </si>
  <si>
    <t>SUSTAINABLE OPPORTUNITIES</t>
  </si>
  <si>
    <t>SOCL</t>
  </si>
  <si>
    <t>GLOBAL X SOCIAL MEDIA ETF</t>
  </si>
  <si>
    <t>SOGO</t>
  </si>
  <si>
    <t>SOGOU INC-ADR</t>
  </si>
  <si>
    <t>SOHO</t>
  </si>
  <si>
    <t>SOTHERLY HOTELS INC</t>
  </si>
  <si>
    <t>SOHOB</t>
  </si>
  <si>
    <t>SOHON</t>
  </si>
  <si>
    <t>SOHOO</t>
  </si>
  <si>
    <t>SOHU</t>
  </si>
  <si>
    <t>SOHU.COM LTD-ADR</t>
  </si>
  <si>
    <t>SOI</t>
  </si>
  <si>
    <t>SOLARIS OILFIELD INFRAST-A</t>
  </si>
  <si>
    <t>SOJA</t>
  </si>
  <si>
    <t>SOJB</t>
  </si>
  <si>
    <t>SOJC</t>
  </si>
  <si>
    <t>SOJD</t>
  </si>
  <si>
    <t>SOL</t>
  </si>
  <si>
    <t>RENESOLA LTD-ADR</t>
  </si>
  <si>
    <t>SOLN</t>
  </si>
  <si>
    <t>SOLO</t>
  </si>
  <si>
    <t>ELECTRAMECCANICA VEHICLES CO</t>
  </si>
  <si>
    <t>SOLOW</t>
  </si>
  <si>
    <t>SOLY</t>
  </si>
  <si>
    <t>SOLITON INC</t>
  </si>
  <si>
    <t>SON</t>
  </si>
  <si>
    <t>SONOCO PRODUCTS CO</t>
  </si>
  <si>
    <t>SONA</t>
  </si>
  <si>
    <t>SOUTHERN NATL BANCORP OF VA</t>
  </si>
  <si>
    <t>SONM</t>
  </si>
  <si>
    <t>SONIM TECHNOLOGIES INC</t>
  </si>
  <si>
    <t>SONN</t>
  </si>
  <si>
    <t>SONNET BIOTHERAPEUTICS HOLDI</t>
  </si>
  <si>
    <t>SONO</t>
  </si>
  <si>
    <t>SONOS INC</t>
  </si>
  <si>
    <t>SOR</t>
  </si>
  <si>
    <t>SOURCE CAPITAL INC</t>
  </si>
  <si>
    <t>SOS</t>
  </si>
  <si>
    <t>SOS LTD</t>
  </si>
  <si>
    <t>SOVB</t>
  </si>
  <si>
    <t>CAMBRIA SOVEREIGN BOND ETF</t>
  </si>
  <si>
    <t>SOXL</t>
  </si>
  <si>
    <t>DIREXION DAILY SEMI BULL 3X</t>
  </si>
  <si>
    <t>SOXS</t>
  </si>
  <si>
    <t>DIREXION DAILY SEMI BEAR 3X</t>
  </si>
  <si>
    <t>SOXX</t>
  </si>
  <si>
    <t>ISHARES PHLX SEMICONDUCTOR E</t>
  </si>
  <si>
    <t>SOYB</t>
  </si>
  <si>
    <t>TEUCRIUM SOYBEAN FUND</t>
  </si>
  <si>
    <t>SP</t>
  </si>
  <si>
    <t>SP PLUS CORP</t>
  </si>
  <si>
    <t>SPAB</t>
  </si>
  <si>
    <t>SPDR PORTFOLIO AGGREGATE BON</t>
  </si>
  <si>
    <t>SPAQ</t>
  </si>
  <si>
    <t>SPARTAN ENERGY ACQUISITION-A</t>
  </si>
  <si>
    <t>SPAQ+</t>
  </si>
  <si>
    <t>SPAQ=</t>
  </si>
  <si>
    <t>SPARTAN ENERGY ACQUISITION C</t>
  </si>
  <si>
    <t>SPB</t>
  </si>
  <si>
    <t>SPECTRUM BRANDS HOLDINGS INC</t>
  </si>
  <si>
    <t>SPBO</t>
  </si>
  <si>
    <t>SPDR PORTFOLIO CORPORATE BON</t>
  </si>
  <si>
    <t>SPCB</t>
  </si>
  <si>
    <t>SUPERCOM LTD</t>
  </si>
  <si>
    <t>SPCE</t>
  </si>
  <si>
    <t>VIRGIN GALACTIC HOLDINGS INC</t>
  </si>
  <si>
    <t>SPD</t>
  </si>
  <si>
    <t>SIMPLIFY US EQUITY PLUS DOWN</t>
  </si>
  <si>
    <t>SPDN</t>
  </si>
  <si>
    <t>DIREXION DLY S&amp;P 500 BEAR 1X</t>
  </si>
  <si>
    <t>SPDV</t>
  </si>
  <si>
    <t>AAM S&amp;P 500 HIGH DIV VAL ETF</t>
  </si>
  <si>
    <t>SPDW</t>
  </si>
  <si>
    <t>SPDR PORTFOLIO DEVELOPED WOR</t>
  </si>
  <si>
    <t>SPE</t>
  </si>
  <si>
    <t>SPECIAL OPPORTUNITIES FUND</t>
  </si>
  <si>
    <t>SPE-B</t>
  </si>
  <si>
    <t>SPEM</t>
  </si>
  <si>
    <t>SPDR PORTFOLIO EMERGING MARK</t>
  </si>
  <si>
    <t>SPEU</t>
  </si>
  <si>
    <t>SPDR PORTFOLIO EUROPE ETF</t>
  </si>
  <si>
    <t>SPFF</t>
  </si>
  <si>
    <t>GLOBAL X SUPERINCOME PREFER</t>
  </si>
  <si>
    <t>SPFI</t>
  </si>
  <si>
    <t>SOUTH PLAINS FINANCIAL INC</t>
  </si>
  <si>
    <t>SPG</t>
  </si>
  <si>
    <t>SIMON PROPERTY GROUP INC</t>
  </si>
  <si>
    <t>SPG-J</t>
  </si>
  <si>
    <t>SPGI</t>
  </si>
  <si>
    <t>S&amp;P GLOBAL INC</t>
  </si>
  <si>
    <t>SPGM</t>
  </si>
  <si>
    <t>SPDR PORTFOLIO MSCI GLOBAL S</t>
  </si>
  <si>
    <t>SPGP</t>
  </si>
  <si>
    <t>INVESCO S&amp;P 500 GARP ETF</t>
  </si>
  <si>
    <t>SPH</t>
  </si>
  <si>
    <t>SUBURBAN PROPANE PARTNERS LP</t>
  </si>
  <si>
    <t>SPHB</t>
  </si>
  <si>
    <t>INVESCO S&amp;P 500 HIGH BETA ET</t>
  </si>
  <si>
    <t>SPHD</t>
  </si>
  <si>
    <t>INVESCO S&amp;P 500 HIGH DIVIDEN</t>
  </si>
  <si>
    <t>SPHQ</t>
  </si>
  <si>
    <t>INVESCO S&amp;P 500 QUALITY ETF</t>
  </si>
  <si>
    <t>SPHY</t>
  </si>
  <si>
    <t>SPDR PORTFOLIO HIGH YIELD BO</t>
  </si>
  <si>
    <t>SPI</t>
  </si>
  <si>
    <t>SPI ENERGY CO LTD</t>
  </si>
  <si>
    <t>SPIB</t>
  </si>
  <si>
    <t>SPDR PORTFOLIO INTERMEDIATE</t>
  </si>
  <si>
    <t>SPIP</t>
  </si>
  <si>
    <t>SPDR PORTFOLIO TIPS ETF</t>
  </si>
  <si>
    <t>SPKE</t>
  </si>
  <si>
    <t>SPARK ENERGY INC-CLASS A</t>
  </si>
  <si>
    <t>SPKEP</t>
  </si>
  <si>
    <t>SPLB</t>
  </si>
  <si>
    <t>SPDR PORT LNG TRM CORP BND</t>
  </si>
  <si>
    <t>SPLG</t>
  </si>
  <si>
    <t>SPDR PORTFOLIO S&amp;P 500 ETF</t>
  </si>
  <si>
    <t>SPLK</t>
  </si>
  <si>
    <t>SPLUNK INC</t>
  </si>
  <si>
    <t>SPLP</t>
  </si>
  <si>
    <t>STEEL PARTNERS HOLDINGS LP</t>
  </si>
  <si>
    <t>SPLP-A</t>
  </si>
  <si>
    <t>SPLV</t>
  </si>
  <si>
    <t>INVESCO S&amp;P 500 LOW VOLATILI</t>
  </si>
  <si>
    <t>SPMB</t>
  </si>
  <si>
    <t>SPDR PORTFOLIO MORTGAGE BACK</t>
  </si>
  <si>
    <t>SPMD</t>
  </si>
  <si>
    <t>SPDR PORTFOLIO S&amp;P 400 MID C</t>
  </si>
  <si>
    <t>SPMO</t>
  </si>
  <si>
    <t>INVESCO S&amp;P 500 MOMENTUM ETF</t>
  </si>
  <si>
    <t>SPMV</t>
  </si>
  <si>
    <t>INVESCO S&amp;P 500 MINIMUM VARI</t>
  </si>
  <si>
    <t>SPN</t>
  </si>
  <si>
    <t>SUPERIOR ENERGY SERVICES INC</t>
  </si>
  <si>
    <t>SPNE</t>
  </si>
  <si>
    <t>SEASPINE HOLDINGS CORP</t>
  </si>
  <si>
    <t>SPNS</t>
  </si>
  <si>
    <t>SAPIENS INTERNATIONAL CORP</t>
  </si>
  <si>
    <t>SPOK</t>
  </si>
  <si>
    <t>SPOK HOLDINGS INC</t>
  </si>
  <si>
    <t>SPOT</t>
  </si>
  <si>
    <t>SPOTIFY TECHNOLOGY SA</t>
  </si>
  <si>
    <t>SPPI</t>
  </si>
  <si>
    <t>SPECTRUM PHARMACEUTICALS INC</t>
  </si>
  <si>
    <t>SPPP</t>
  </si>
  <si>
    <t>SPROTT PHYSICAL PLATINUM AND</t>
  </si>
  <si>
    <t>SPQQ</t>
  </si>
  <si>
    <t>SIREN LARGE CAP BLEND INDEX</t>
  </si>
  <si>
    <t>SPR</t>
  </si>
  <si>
    <t>SPIRIT AEROSYSTEMS HOLD-CL A</t>
  </si>
  <si>
    <t>SPRO</t>
  </si>
  <si>
    <t>SPERO THERAPEUTICS INC</t>
  </si>
  <si>
    <t>SPRT</t>
  </si>
  <si>
    <t>SUPPORT.COM INC</t>
  </si>
  <si>
    <t>SPSB</t>
  </si>
  <si>
    <t>SPDR PORT SHRT TRM CORP BND</t>
  </si>
  <si>
    <t>SPSC</t>
  </si>
  <si>
    <t>SPS COMMERCE INC</t>
  </si>
  <si>
    <t>SPSK</t>
  </si>
  <si>
    <t>SP FUNDS DOW JONES GLOBAL SU</t>
  </si>
  <si>
    <t>SPSM</t>
  </si>
  <si>
    <t>SPDR PORTFOLIO S&amp;P 600 SMALL</t>
  </si>
  <si>
    <t>SPT</t>
  </si>
  <si>
    <t>SPROUT SOCIAL INC - CLASS A</t>
  </si>
  <si>
    <t>SPTI</t>
  </si>
  <si>
    <t>SPTL</t>
  </si>
  <si>
    <t>SPDR PORT LNG TRM TRSRY</t>
  </si>
  <si>
    <t>SPTM</t>
  </si>
  <si>
    <t>SPDR PORTFOLIO S&amp;P 1500 COMP</t>
  </si>
  <si>
    <t>SPTN</t>
  </si>
  <si>
    <t>SPARTANNASH CO</t>
  </si>
  <si>
    <t>SPTS</t>
  </si>
  <si>
    <t>SPDR PORT SHRT TRM TRSRY</t>
  </si>
  <si>
    <t>SPUC</t>
  </si>
  <si>
    <t>SIMPLIFY US EQUITY PLUS UPSI</t>
  </si>
  <si>
    <t>SPUS</t>
  </si>
  <si>
    <t>SP FUNDS S&amp;P SHARIA INDUSTRY</t>
  </si>
  <si>
    <t>SPUU</t>
  </si>
  <si>
    <t>DIREXION DLY S&amp;P 500 BULL 2X</t>
  </si>
  <si>
    <t>SPVM</t>
  </si>
  <si>
    <t>INVESCO S&amp;P 500 VALUE WITH M</t>
  </si>
  <si>
    <t>SPVU</t>
  </si>
  <si>
    <t>INVESCO S&amp;P 500 ENHANCED VAL</t>
  </si>
  <si>
    <t>SPWH</t>
  </si>
  <si>
    <t>SPORTSMAN'S WAREHOUSE HOLDIN</t>
  </si>
  <si>
    <t>SPWR</t>
  </si>
  <si>
    <t>SUNPOWER CORP</t>
  </si>
  <si>
    <t>SPXB</t>
  </si>
  <si>
    <t>PROSHARES S&amp;P 500 BOND ETF</t>
  </si>
  <si>
    <t>SPXC</t>
  </si>
  <si>
    <t>SPX CORP</t>
  </si>
  <si>
    <t>SPXE</t>
  </si>
  <si>
    <t>PROSHARES S&amp;P 500 EX-ENERGY</t>
  </si>
  <si>
    <t>SPXL</t>
  </si>
  <si>
    <t>DIREXION DLY S&amp;P 500 BULL 3X</t>
  </si>
  <si>
    <t>SPXN</t>
  </si>
  <si>
    <t>PROSHARES S&amp;P 500 EX-FINANCI</t>
  </si>
  <si>
    <t>SPXS</t>
  </si>
  <si>
    <t>DIREXION DLY S&amp;P 500 BEAR 3X</t>
  </si>
  <si>
    <t>SPXT</t>
  </si>
  <si>
    <t>PROSHARES S&amp;P 500 EX-TECHNOL</t>
  </si>
  <si>
    <t>SPXU</t>
  </si>
  <si>
    <t>PROSH ULTRAPRO SHORT S&amp;P 500</t>
  </si>
  <si>
    <t>SPXV</t>
  </si>
  <si>
    <t>PROSHARES TRUST-S&amp;P 500 EX-H</t>
  </si>
  <si>
    <t>SPXX</t>
  </si>
  <si>
    <t>NUVEEN S&amp;P500 DYNAM OVERWR</t>
  </si>
  <si>
    <t>SPY</t>
  </si>
  <si>
    <t>SPDR S&amp;P 500 ETF TRUST</t>
  </si>
  <si>
    <t>SPYC</t>
  </si>
  <si>
    <t>SIMPLIFY US EQUITY PLUS CONV</t>
  </si>
  <si>
    <t>SPYD</t>
  </si>
  <si>
    <t>SPDR PORTFOLIO S&amp;P 500 HIGH</t>
  </si>
  <si>
    <t>SPYG</t>
  </si>
  <si>
    <t>SPDR PORTFOLIO S&amp;P 500 GROWT</t>
  </si>
  <si>
    <t>SPYV</t>
  </si>
  <si>
    <t>SPDR PORT S&amp;P 500 VALUE</t>
  </si>
  <si>
    <t>SPYX</t>
  </si>
  <si>
    <t>SPDR S&amp;P 500 FOSSIL FUEL RES</t>
  </si>
  <si>
    <t>SQ</t>
  </si>
  <si>
    <t>SQUARE INC - A</t>
  </si>
  <si>
    <t>SQBG</t>
  </si>
  <si>
    <t>SEQUENTIAL BRANDS GROUP INC</t>
  </si>
  <si>
    <t>SQEW</t>
  </si>
  <si>
    <t>LEADERSHARES EQUITY SKEW ETF</t>
  </si>
  <si>
    <t>SQFT</t>
  </si>
  <si>
    <t>PRESIDIO PROPERTY TRUST - C</t>
  </si>
  <si>
    <t>SQLV</t>
  </si>
  <si>
    <t>LEGG MASON SMALL-CAP QUALITY</t>
  </si>
  <si>
    <t>SQM</t>
  </si>
  <si>
    <t>QUIMICA Y MINERA CHIL-SP ADR</t>
  </si>
  <si>
    <t>SQNS</t>
  </si>
  <si>
    <t>SEQUANS COMMUNICATIONS-ADR</t>
  </si>
  <si>
    <t>SQQQ</t>
  </si>
  <si>
    <t>PROSHARES ULTRAPRO SHORT QQQ</t>
  </si>
  <si>
    <t>SR</t>
  </si>
  <si>
    <t>SPIRE INC</t>
  </si>
  <si>
    <t>SR-A</t>
  </si>
  <si>
    <t>SRAC</t>
  </si>
  <si>
    <t>STABLE ROAD ACQUISITION-CL A</t>
  </si>
  <si>
    <t>SRACU</t>
  </si>
  <si>
    <t>STABLE ROAD ACQUISITION CORP</t>
  </si>
  <si>
    <t>SRACW</t>
  </si>
  <si>
    <t>SRAX</t>
  </si>
  <si>
    <t>SRAX INC</t>
  </si>
  <si>
    <t>SRC</t>
  </si>
  <si>
    <t>SPIRIT REALTY CAPITAL INC</t>
  </si>
  <si>
    <t>SRC-A</t>
  </si>
  <si>
    <t>SRCE</t>
  </si>
  <si>
    <t>1ST SOURCE CORP</t>
  </si>
  <si>
    <t>SRCL</t>
  </si>
  <si>
    <t>STERICYCLE INC</t>
  </si>
  <si>
    <t>SRDX</t>
  </si>
  <si>
    <t>SURMODICS INC</t>
  </si>
  <si>
    <t>SRE</t>
  </si>
  <si>
    <t>SEMPRA ENERGY</t>
  </si>
  <si>
    <t>SRE-A</t>
  </si>
  <si>
    <t>SRE-B</t>
  </si>
  <si>
    <t>SREA</t>
  </si>
  <si>
    <t>SRET</t>
  </si>
  <si>
    <t>GLOBAL X SUPERDIVIDEND REIT</t>
  </si>
  <si>
    <t>SREV</t>
  </si>
  <si>
    <t>SERVICESOURCE INTERNATIONAL</t>
  </si>
  <si>
    <t>SRG</t>
  </si>
  <si>
    <t>SERITAGE GROWTH PROP- A REIT</t>
  </si>
  <si>
    <t>SRG-A</t>
  </si>
  <si>
    <t>SRGA</t>
  </si>
  <si>
    <t>SURGALIGN HOLDINGS INC</t>
  </si>
  <si>
    <t>SRI</t>
  </si>
  <si>
    <t>STONERIDGE INC</t>
  </si>
  <si>
    <t>SRL</t>
  </si>
  <si>
    <t>SCULLY ROYALTY LTD</t>
  </si>
  <si>
    <t>SRLN</t>
  </si>
  <si>
    <t>SPDR BLACKSTONE/GSO SEN LOAN</t>
  </si>
  <si>
    <t>SRLP</t>
  </si>
  <si>
    <t>SPRAGUE RESOURCES LP</t>
  </si>
  <si>
    <t>SRNE</t>
  </si>
  <si>
    <t>SORRENTO THERAPEUTICS INC</t>
  </si>
  <si>
    <t>SRPT</t>
  </si>
  <si>
    <t>SAREPTA THERAPEUTICS INC</t>
  </si>
  <si>
    <t>SRRA</t>
  </si>
  <si>
    <t>SIERRA ONCOLOGY INC</t>
  </si>
  <si>
    <t>SRRK</t>
  </si>
  <si>
    <t>SCHOLAR ROCK HOLDING CORP</t>
  </si>
  <si>
    <t>SRS</t>
  </si>
  <si>
    <t>PROSHARES ULTRASHORT RE</t>
  </si>
  <si>
    <t>SRT</t>
  </si>
  <si>
    <t>STARTEK INC</t>
  </si>
  <si>
    <t>SRTS</t>
  </si>
  <si>
    <t>SENSUS HEALTHCARE INC</t>
  </si>
  <si>
    <t>SRTY</t>
  </si>
  <si>
    <t>PROSHARES ULTRAPRO SHRT R2K</t>
  </si>
  <si>
    <t>SRV</t>
  </si>
  <si>
    <t>CUSHING MLP &amp; INFRASTRUCTURE</t>
  </si>
  <si>
    <t>SRVR</t>
  </si>
  <si>
    <t>PACER BENCHMARK DATA INFRA</t>
  </si>
  <si>
    <t>SSB</t>
  </si>
  <si>
    <t>SOUTH STATE CORP</t>
  </si>
  <si>
    <t>SSBI</t>
  </si>
  <si>
    <t>SUMMIT STATE BANK</t>
  </si>
  <si>
    <t>SSD</t>
  </si>
  <si>
    <t>SIMPSON MANUFACTURING CO INC</t>
  </si>
  <si>
    <t>SSG</t>
  </si>
  <si>
    <t>PROSHARES ULTSHRT SEMICONDUC</t>
  </si>
  <si>
    <t>SSKN</t>
  </si>
  <si>
    <t>STRATA SKIN SCIENCES INC</t>
  </si>
  <si>
    <t>SSL</t>
  </si>
  <si>
    <t>SASOL LTD-SPONSORED ADR</t>
  </si>
  <si>
    <t>SSLY</t>
  </si>
  <si>
    <t>SYNTAX STRATIFIED SMALLCAP</t>
  </si>
  <si>
    <t>SSNC</t>
  </si>
  <si>
    <t>SS&amp;C TECHNOLOGIES HOLDINGS</t>
  </si>
  <si>
    <t>SSNT</t>
  </si>
  <si>
    <t>SILVERSUN TECHNOLOGIES INC</t>
  </si>
  <si>
    <t>SSO</t>
  </si>
  <si>
    <t>PROSHARES ULTRA S&amp;P500</t>
  </si>
  <si>
    <t>SSP</t>
  </si>
  <si>
    <t>EW SCRIPPS CO/THE-A</t>
  </si>
  <si>
    <t>SSPK</t>
  </si>
  <si>
    <t>SILVER SPIKE ACQUISITION-A</t>
  </si>
  <si>
    <t>SSPKU</t>
  </si>
  <si>
    <t>SILVER SPIKE ACQUISITION COR</t>
  </si>
  <si>
    <t>SSPKW</t>
  </si>
  <si>
    <t>SSPY</t>
  </si>
  <si>
    <t>SYNTAX STRATIFIED LARGE CAP</t>
  </si>
  <si>
    <t>SSRM</t>
  </si>
  <si>
    <t>SSR MINING INC</t>
  </si>
  <si>
    <t>SSSS</t>
  </si>
  <si>
    <t>SURO CAPITAL CORP</t>
  </si>
  <si>
    <t>SSTI</t>
  </si>
  <si>
    <t>SHOTSPOTTER INC</t>
  </si>
  <si>
    <t>SSTK</t>
  </si>
  <si>
    <t>SHUTTERSTOCK INC</t>
  </si>
  <si>
    <t>SSUS</t>
  </si>
  <si>
    <t>DAY HAGAN/NED DAVIS RESEARCH</t>
  </si>
  <si>
    <t>SSY</t>
  </si>
  <si>
    <t>SUNLINK HEALTH SYSTEMS INC</t>
  </si>
  <si>
    <t>SSYS</t>
  </si>
  <si>
    <t>STRATASYS LTD</t>
  </si>
  <si>
    <t>ST</t>
  </si>
  <si>
    <t>SENSATA TECHNOLOGIES HOLDING</t>
  </si>
  <si>
    <t>STAA</t>
  </si>
  <si>
    <t>STAAR SURGICAL CO</t>
  </si>
  <si>
    <t>STAF</t>
  </si>
  <si>
    <t>STAFFING 360 SOLUTIONS INC</t>
  </si>
  <si>
    <t>STAG</t>
  </si>
  <si>
    <t>STAG INDUSTRIAL INC</t>
  </si>
  <si>
    <t>STAG-C</t>
  </si>
  <si>
    <t>STAR</t>
  </si>
  <si>
    <t>ISTAR INC</t>
  </si>
  <si>
    <t>STAR-D</t>
  </si>
  <si>
    <t>STAR-G</t>
  </si>
  <si>
    <t>STAR-I</t>
  </si>
  <si>
    <t>STAY</t>
  </si>
  <si>
    <t>EXTENDED STAY AMERICA INC</t>
  </si>
  <si>
    <t>STBA</t>
  </si>
  <si>
    <t>S &amp; T BANCORP INC</t>
  </si>
  <si>
    <t>STC</t>
  </si>
  <si>
    <t>STEWART INFORMATION SERVICES</t>
  </si>
  <si>
    <t>STCN</t>
  </si>
  <si>
    <t>STEEL CONNECT INC</t>
  </si>
  <si>
    <t>STE</t>
  </si>
  <si>
    <t>STERIS PLC</t>
  </si>
  <si>
    <t>STFC</t>
  </si>
  <si>
    <t>STATE AUTO FINANCIAL CORP</t>
  </si>
  <si>
    <t>STG</t>
  </si>
  <si>
    <t>SUNLANDS TECHNOLOGY- SP ADR</t>
  </si>
  <si>
    <t>STIM</t>
  </si>
  <si>
    <t>NEURONETICS INC</t>
  </si>
  <si>
    <t>STIP</t>
  </si>
  <si>
    <t>ISHARES 0-5 YEAR TIPS BOND E</t>
  </si>
  <si>
    <t>STK</t>
  </si>
  <si>
    <t>COLUMBIA SELIG PREM TECH GW</t>
  </si>
  <si>
    <t>STKL</t>
  </si>
  <si>
    <t>SUNOPTA INC</t>
  </si>
  <si>
    <t>STKS</t>
  </si>
  <si>
    <t>ONE GROUP HOSPITALITY INC/TH</t>
  </si>
  <si>
    <t>STL</t>
  </si>
  <si>
    <t>STERLING BANCORP/DE</t>
  </si>
  <si>
    <t>STL-A</t>
  </si>
  <si>
    <t>STLC</t>
  </si>
  <si>
    <t>ISHARES FACTORS US BLEND STY</t>
  </si>
  <si>
    <t>STLD</t>
  </si>
  <si>
    <t>STEEL DYNAMICS INC</t>
  </si>
  <si>
    <t>STLG</t>
  </si>
  <si>
    <t>ISHARES FACTORS US GWTH STYL</t>
  </si>
  <si>
    <t>STLV</t>
  </si>
  <si>
    <t>ISHARES FACTORS US VAL STYLE</t>
  </si>
  <si>
    <t>STM</t>
  </si>
  <si>
    <t>STMICROELECTRONICS NV-NY SHS</t>
  </si>
  <si>
    <t>STMB</t>
  </si>
  <si>
    <t>ISHARES FACTORS US MID BLEND</t>
  </si>
  <si>
    <t>STMP</t>
  </si>
  <si>
    <t>STAMPS.COM INC</t>
  </si>
  <si>
    <t>STN</t>
  </si>
  <si>
    <t>STANTEC INC</t>
  </si>
  <si>
    <t>STND</t>
  </si>
  <si>
    <t>STANDARD AVB FINANCIAL CORP</t>
  </si>
  <si>
    <t>STNE</t>
  </si>
  <si>
    <t>STONECO LTD-A</t>
  </si>
  <si>
    <t>STNG</t>
  </si>
  <si>
    <t>SCORPIO TANKERS INC</t>
  </si>
  <si>
    <t>STOK</t>
  </si>
  <si>
    <t>STOKE THERAPEUTICS INC</t>
  </si>
  <si>
    <t>STON</t>
  </si>
  <si>
    <t>STONEMOR INC</t>
  </si>
  <si>
    <t>STOR</t>
  </si>
  <si>
    <t>STORE CAPITAL CORP</t>
  </si>
  <si>
    <t>STOT</t>
  </si>
  <si>
    <t>SPDR DL SHRT DURATION TR ETF</t>
  </si>
  <si>
    <t>STPK=</t>
  </si>
  <si>
    <t>STAR PEAK ENERGY TRANSITION</t>
  </si>
  <si>
    <t>STPZ</t>
  </si>
  <si>
    <t>PIMCO 1-5 YEAR US TIPS INDEX</t>
  </si>
  <si>
    <t>STRA</t>
  </si>
  <si>
    <t>STRATEGIC EDUCATION INC</t>
  </si>
  <si>
    <t>STRL</t>
  </si>
  <si>
    <t>STERLING CONSTRUCTION CO</t>
  </si>
  <si>
    <t>STRM</t>
  </si>
  <si>
    <t>STREAMLINE HEALTH SOLUTIONS</t>
  </si>
  <si>
    <t>STRO</t>
  </si>
  <si>
    <t>SUTRO BIOPHARMA INC</t>
  </si>
  <si>
    <t>STRS</t>
  </si>
  <si>
    <t>STRATUS PROPERTIES INC</t>
  </si>
  <si>
    <t>STRT</t>
  </si>
  <si>
    <t>STRATTEC SECURITY CORP</t>
  </si>
  <si>
    <t>STSA</t>
  </si>
  <si>
    <t>SATSUMA PHARMACEUTICALS INC</t>
  </si>
  <si>
    <t>STSB</t>
  </si>
  <si>
    <t>ISHARES FACTORS US SM BLEND</t>
  </si>
  <si>
    <t>STT</t>
  </si>
  <si>
    <t>STATE STREET CORP</t>
  </si>
  <si>
    <t>STT-D</t>
  </si>
  <si>
    <t>STT-G</t>
  </si>
  <si>
    <t>STWD</t>
  </si>
  <si>
    <t>STARWOOD PROPERTY TRUST INC</t>
  </si>
  <si>
    <t>STX</t>
  </si>
  <si>
    <t>SEAGATE TECHNOLOGY</t>
  </si>
  <si>
    <t>STXB</t>
  </si>
  <si>
    <t>SPIRIT OF TEXAS BANCSHARES I</t>
  </si>
  <si>
    <t>STXS</t>
  </si>
  <si>
    <t>STEREOTAXIS INC</t>
  </si>
  <si>
    <t>STZ</t>
  </si>
  <si>
    <t>CONSTELLATION BRANDS INC-A</t>
  </si>
  <si>
    <t>STZ.B</t>
  </si>
  <si>
    <t>CONSTELLATION BRANDS INC-B</t>
  </si>
  <si>
    <t>SU</t>
  </si>
  <si>
    <t>SUNCOR ENERGY INC</t>
  </si>
  <si>
    <t>SUB</t>
  </si>
  <si>
    <t>ISHARES SHORT-TERM NATIONAL</t>
  </si>
  <si>
    <t>SUI</t>
  </si>
  <si>
    <t>SUN COMMUNITIES INC</t>
  </si>
  <si>
    <t>SUM</t>
  </si>
  <si>
    <t>SUMMIT MATERIALS INC -CL A</t>
  </si>
  <si>
    <t>SUMR</t>
  </si>
  <si>
    <t>SUMMER INFANT INC</t>
  </si>
  <si>
    <t>SUN</t>
  </si>
  <si>
    <t>SUNOCO LP</t>
  </si>
  <si>
    <t>SUNS</t>
  </si>
  <si>
    <t>SOLAR SENIOR CAPITAL LTD</t>
  </si>
  <si>
    <t>SUNW</t>
  </si>
  <si>
    <t>SUNWORKS INC</t>
  </si>
  <si>
    <t>SUP</t>
  </si>
  <si>
    <t>SUPERIOR INDUSTRIES INTL</t>
  </si>
  <si>
    <t>SUPN</t>
  </si>
  <si>
    <t>SUPERNUS PHARMACEUTICALS INC</t>
  </si>
  <si>
    <t>SUPV</t>
  </si>
  <si>
    <t>GRUPO SUPERVIELLE SA-SP ADR</t>
  </si>
  <si>
    <t>SURF</t>
  </si>
  <si>
    <t>SURFACE ONCOLOGY INC</t>
  </si>
  <si>
    <t>SUSA</t>
  </si>
  <si>
    <t>ISHARES MSCI USA ESG SELECT</t>
  </si>
  <si>
    <t>SUSB</t>
  </si>
  <si>
    <t>ISHARES ESG AWARE 1-5 YEAR U</t>
  </si>
  <si>
    <t>SUSC</t>
  </si>
  <si>
    <t>ISHARES ESG AWARE USD CORPOR</t>
  </si>
  <si>
    <t>SUSL</t>
  </si>
  <si>
    <t>ISHARES ESG MSCI USA LEADERS</t>
  </si>
  <si>
    <t>SUZ</t>
  </si>
  <si>
    <t>SUZANO SA - SPON ADR</t>
  </si>
  <si>
    <t>SVA</t>
  </si>
  <si>
    <t>SINOVAC BIOTECH LTD</t>
  </si>
  <si>
    <t>SVBI</t>
  </si>
  <si>
    <t>SEVERN BANCORP INC/MD</t>
  </si>
  <si>
    <t>SVC</t>
  </si>
  <si>
    <t>SERVICE PROPERTIES TRUST</t>
  </si>
  <si>
    <t>SVM</t>
  </si>
  <si>
    <t>SILVERCORP METALS INC</t>
  </si>
  <si>
    <t>SVMK</t>
  </si>
  <si>
    <t>SVMK INC</t>
  </si>
  <si>
    <t>SVRA</t>
  </si>
  <si>
    <t>SAVARA INC</t>
  </si>
  <si>
    <t>SVT</t>
  </si>
  <si>
    <t>SERVOTRONICS INC</t>
  </si>
  <si>
    <t>SVVC</t>
  </si>
  <si>
    <t>FIRSTHAND TECHNOLOGY VALUE</t>
  </si>
  <si>
    <t>SVXY</t>
  </si>
  <si>
    <t>PROSHARES SHORT VIX ST FUTUR</t>
  </si>
  <si>
    <t>SWAN</t>
  </si>
  <si>
    <t>AMPLIFY BLACKSWAN GROWTH TSY</t>
  </si>
  <si>
    <t>SWAV</t>
  </si>
  <si>
    <t>SHOCKWAVE MEDICAL INC</t>
  </si>
  <si>
    <t>SWBI</t>
  </si>
  <si>
    <t>SMITH &amp; WESSON BRANDS INC</t>
  </si>
  <si>
    <t>SWCH</t>
  </si>
  <si>
    <t>SWITCH INC - A</t>
  </si>
  <si>
    <t>SWI</t>
  </si>
  <si>
    <t>SOLARWINDS CORP</t>
  </si>
  <si>
    <t>SWIR</t>
  </si>
  <si>
    <t>SIERRA WIRELESS INC</t>
  </si>
  <si>
    <t>SWK</t>
  </si>
  <si>
    <t>STANLEY BLACK &amp; DECKER INC</t>
  </si>
  <si>
    <t>SWKH</t>
  </si>
  <si>
    <t>SWK HOLDINGS CORP</t>
  </si>
  <si>
    <t>SWKS</t>
  </si>
  <si>
    <t>SKYWORKS SOLUTIONS INC</t>
  </si>
  <si>
    <t>SWM</t>
  </si>
  <si>
    <t>SCHWEITZER-MAUDUIT INTL INC</t>
  </si>
  <si>
    <t>SWN</t>
  </si>
  <si>
    <t>SOUTHWESTERN ENERGY CO</t>
  </si>
  <si>
    <t>SWT</t>
  </si>
  <si>
    <t>SWTX</t>
  </si>
  <si>
    <t>SPRINGWORKS THERAPEUTICS INC</t>
  </si>
  <si>
    <t>SWX</t>
  </si>
  <si>
    <t>SOUTHWEST GAS HOLDINGS INC</t>
  </si>
  <si>
    <t>SWZ</t>
  </si>
  <si>
    <t>SWISS HELVETIA FUND</t>
  </si>
  <si>
    <t>SXC</t>
  </si>
  <si>
    <t>SUNCOKE ENERGY INC</t>
  </si>
  <si>
    <t>SXI</t>
  </si>
  <si>
    <t>STANDEX INTERNATIONAL CORP</t>
  </si>
  <si>
    <t>SXT</t>
  </si>
  <si>
    <t>SENSIENT TECHNOLOGIES CORP</t>
  </si>
  <si>
    <t>SXTC</t>
  </si>
  <si>
    <t>CHINA SXT PHARMACEUTICALS IN</t>
  </si>
  <si>
    <t>SY</t>
  </si>
  <si>
    <t>SO-YOUNG INTERNATIONAL-ADR</t>
  </si>
  <si>
    <t>SYBT</t>
  </si>
  <si>
    <t>STOCK YARDS BANCORP INC</t>
  </si>
  <si>
    <t>SYBX</t>
  </si>
  <si>
    <t>SYNLOGIC INC</t>
  </si>
  <si>
    <t>SYE</t>
  </si>
  <si>
    <t>SPDR MFS SYSTEMATIC EQUITY</t>
  </si>
  <si>
    <t>SYF</t>
  </si>
  <si>
    <t>SYNCHRONY FINANCIAL</t>
  </si>
  <si>
    <t>SYF-A</t>
  </si>
  <si>
    <t>SYG</t>
  </si>
  <si>
    <t>SPDR MFS SYSTEMATIC GR EQUIT</t>
  </si>
  <si>
    <t>SYK</t>
  </si>
  <si>
    <t>STRYKER CORP</t>
  </si>
  <si>
    <t>SYKE</t>
  </si>
  <si>
    <t>SYKES ENTERPRISES INC</t>
  </si>
  <si>
    <t>SYLD</t>
  </si>
  <si>
    <t>CAMBRIA SHAREHOLDER YIELD ET</t>
  </si>
  <si>
    <t>SYN</t>
  </si>
  <si>
    <t>SYNTHETIC BIOLOGICS INC</t>
  </si>
  <si>
    <t>SYNA</t>
  </si>
  <si>
    <t>SYNAPTICS INC</t>
  </si>
  <si>
    <t>SYNC</t>
  </si>
  <si>
    <t>SYNACOR INC</t>
  </si>
  <si>
    <t>SYNH</t>
  </si>
  <si>
    <t>SYNEOS HEALTH INC</t>
  </si>
  <si>
    <t>SYNL</t>
  </si>
  <si>
    <t>SYNALLOY CORP</t>
  </si>
  <si>
    <t>SYPR</t>
  </si>
  <si>
    <t>SYPRIS SOLUTIONS INC</t>
  </si>
  <si>
    <t>SYRS</t>
  </si>
  <si>
    <t>SYROS PHARMACEUTICALS INC</t>
  </si>
  <si>
    <t>SYV</t>
  </si>
  <si>
    <t>SPDR MFS SYSTEMATIC VALUE EQ</t>
  </si>
  <si>
    <t>SYX</t>
  </si>
  <si>
    <t>SYSTEMAX INC</t>
  </si>
  <si>
    <t>SYY</t>
  </si>
  <si>
    <t>SYSCO CORP</t>
  </si>
  <si>
    <t>SZC</t>
  </si>
  <si>
    <t>CUSHING NEXTGEN INFRA INC</t>
  </si>
  <si>
    <t>SZK</t>
  </si>
  <si>
    <t>PROSHARES ULTSHRT CONS GOODS</t>
  </si>
  <si>
    <t>SZNE</t>
  </si>
  <si>
    <t>PACER CFRA STOVALL EQUAL</t>
  </si>
  <si>
    <t>T</t>
  </si>
  <si>
    <t>AT&amp;T INC</t>
  </si>
  <si>
    <t>T-A</t>
  </si>
  <si>
    <t>T-C</t>
  </si>
  <si>
    <t>TA</t>
  </si>
  <si>
    <t>TRAVELCENTERS OF AMERICA INC</t>
  </si>
  <si>
    <t>TAAG</t>
  </si>
  <si>
    <t>TREND AGG AGGRESIVE GROWTH</t>
  </si>
  <si>
    <t>TAC</t>
  </si>
  <si>
    <t>TRANSALTA CORP</t>
  </si>
  <si>
    <t>TACO</t>
  </si>
  <si>
    <t>DEL TACO RESTAURANTS INC</t>
  </si>
  <si>
    <t>TACT</t>
  </si>
  <si>
    <t>TRANSACT TECHNOLOGIES INC</t>
  </si>
  <si>
    <t>TADS</t>
  </si>
  <si>
    <t>TREND AGGREGATION DIVIDEND</t>
  </si>
  <si>
    <t>TAEQ</t>
  </si>
  <si>
    <t>TREND AGGREGATION US ETF</t>
  </si>
  <si>
    <t>TAGS</t>
  </si>
  <si>
    <t>TEUCRIUM AGRICULTURAL FUND</t>
  </si>
  <si>
    <t>TAIL</t>
  </si>
  <si>
    <t>CAMBRIA TAIL RISK ETF</t>
  </si>
  <si>
    <t>TAIT</t>
  </si>
  <si>
    <t>TAITRON COMPONENTS INC-CL A</t>
  </si>
  <si>
    <t>TAK</t>
  </si>
  <si>
    <t>TAKEDA PHARMACEUTIC-SP ADR</t>
  </si>
  <si>
    <t>TAL</t>
  </si>
  <si>
    <t>TAL EDUCATION GROUP- ADR</t>
  </si>
  <si>
    <t>TALO</t>
  </si>
  <si>
    <t>TALOS ENERGY INC</t>
  </si>
  <si>
    <t>TALO+</t>
  </si>
  <si>
    <t>TAN</t>
  </si>
  <si>
    <t>INVESCO SOLAR ETF</t>
  </si>
  <si>
    <t>TANH</t>
  </si>
  <si>
    <t>TANTECH HOLDINGS LTD</t>
  </si>
  <si>
    <t>TANNI</t>
  </si>
  <si>
    <t>TANNL</t>
  </si>
  <si>
    <t>TANNZ</t>
  </si>
  <si>
    <t>TAOP</t>
  </si>
  <si>
    <t>TAOPING INC</t>
  </si>
  <si>
    <t>TAP</t>
  </si>
  <si>
    <t>MOLSON COORS BEVERAGE CO - B</t>
  </si>
  <si>
    <t>TAP.A</t>
  </si>
  <si>
    <t>MOLSON COORS BEVERAGE CO - A</t>
  </si>
  <si>
    <t>TAPR</t>
  </si>
  <si>
    <t>IPATH INVERSE US TREASURY CO</t>
  </si>
  <si>
    <t>TARA</t>
  </si>
  <si>
    <t>PROTARA THERAPEUTIC INC</t>
  </si>
  <si>
    <t>TARO</t>
  </si>
  <si>
    <t>TARO PHARMACEUTICAL INDUS</t>
  </si>
  <si>
    <t>TAST</t>
  </si>
  <si>
    <t>CARROLS RESTAURANT GROUP INC</t>
  </si>
  <si>
    <t>TAT</t>
  </si>
  <si>
    <t>TRANSATLANTIC PETROLEUM LTD</t>
  </si>
  <si>
    <t>TATT</t>
  </si>
  <si>
    <t>TAT TECHNOLOGIES LTD</t>
  </si>
  <si>
    <t>TAWK</t>
  </si>
  <si>
    <t>DIREXION DAILY COMM BULL 3X</t>
  </si>
  <si>
    <t>TAXF</t>
  </si>
  <si>
    <t>AMERICAN CENTURY DIVER MUNI</t>
  </si>
  <si>
    <t>TAYD</t>
  </si>
  <si>
    <t>TAYLOR DEVICES INC</t>
  </si>
  <si>
    <t>TBB</t>
  </si>
  <si>
    <t>TBBK</t>
  </si>
  <si>
    <t>BANCORP INC/THE</t>
  </si>
  <si>
    <t>TBC</t>
  </si>
  <si>
    <t>TBF</t>
  </si>
  <si>
    <t>PROSHARES SHORT 20+ TREASURY</t>
  </si>
  <si>
    <t>TBI</t>
  </si>
  <si>
    <t>TRUEBLUE INC</t>
  </si>
  <si>
    <t>TBIO</t>
  </si>
  <si>
    <t>TRANSLATE BIO INC</t>
  </si>
  <si>
    <t>TBJL</t>
  </si>
  <si>
    <t>INNOVATOR 20 YR T BOND 9 BUF</t>
  </si>
  <si>
    <t>TBK</t>
  </si>
  <si>
    <t>TRIUMPH BANCORP INC</t>
  </si>
  <si>
    <t>TBKCP</t>
  </si>
  <si>
    <t>TBLT</t>
  </si>
  <si>
    <t>TOUGHBUILT INDUSTRIES INC</t>
  </si>
  <si>
    <t>TBLTW</t>
  </si>
  <si>
    <t>TBND</t>
  </si>
  <si>
    <t>TACTICAL INCOME ETF</t>
  </si>
  <si>
    <t>TBNK</t>
  </si>
  <si>
    <t>TERRITORIAL BANCORP INC</t>
  </si>
  <si>
    <t>TBPH</t>
  </si>
  <si>
    <t>THERAVANCE BIOPHARMA INC</t>
  </si>
  <si>
    <t>TBT</t>
  </si>
  <si>
    <t>PROSHARES ULTRASHORT 20+Y TR</t>
  </si>
  <si>
    <t>TBX</t>
  </si>
  <si>
    <t>PROSHARES SHORT 7-10 YR TSY</t>
  </si>
  <si>
    <t>TC</t>
  </si>
  <si>
    <t>TUANCHE LTD-ADR</t>
  </si>
  <si>
    <t>TCBI</t>
  </si>
  <si>
    <t>TEXAS CAPITAL BANCSHARES INC</t>
  </si>
  <si>
    <t>TCBIL</t>
  </si>
  <si>
    <t>TCBIP</t>
  </si>
  <si>
    <t>TCBK</t>
  </si>
  <si>
    <t>TRICO BANCSHARES</t>
  </si>
  <si>
    <t>TCCO</t>
  </si>
  <si>
    <t>TECHNICAL COMMUNICATIONS</t>
  </si>
  <si>
    <t>TCDA</t>
  </si>
  <si>
    <t>TRICIDA INC</t>
  </si>
  <si>
    <t>TCF</t>
  </si>
  <si>
    <t>TCF FINANCIAL CORP</t>
  </si>
  <si>
    <t>TCFC</t>
  </si>
  <si>
    <t>COMMUNITY FINANCIAL CORP/THE</t>
  </si>
  <si>
    <t>TCFCP</t>
  </si>
  <si>
    <t>TCHP</t>
  </si>
  <si>
    <t>T ROWE PRICE BLUE CHIP GROWT</t>
  </si>
  <si>
    <t>TCI</t>
  </si>
  <si>
    <t>TRANSCONTINENTAL REALTY INV</t>
  </si>
  <si>
    <t>TCMD</t>
  </si>
  <si>
    <t>TACTILE SYSTEMS TECHNOLOGY I</t>
  </si>
  <si>
    <t>TCO</t>
  </si>
  <si>
    <t>TAUBMAN CENTERS INC</t>
  </si>
  <si>
    <t>TCO-J</t>
  </si>
  <si>
    <t>TCO-K</t>
  </si>
  <si>
    <t>TCOM</t>
  </si>
  <si>
    <t>TRIP.COM GROUP LTD-ADR</t>
  </si>
  <si>
    <t>TCON</t>
  </si>
  <si>
    <t>TRACON PHARMACEUTICALS INC</t>
  </si>
  <si>
    <t>TCP</t>
  </si>
  <si>
    <t>TC PIPELINES LP</t>
  </si>
  <si>
    <t>TCPC</t>
  </si>
  <si>
    <t>BLACKROCK TCP CAPITAL CORP</t>
  </si>
  <si>
    <t>TCRR</t>
  </si>
  <si>
    <t>TCR2 THERAPEUTICS INC</t>
  </si>
  <si>
    <t>TCS</t>
  </si>
  <si>
    <t>CONTAINER STORE GROUP INC/TH</t>
  </si>
  <si>
    <t>TCTL</t>
  </si>
  <si>
    <t>PREMISE CAPITAL DIVERSIFIED</t>
  </si>
  <si>
    <t>TCX</t>
  </si>
  <si>
    <t>TUCOWS INC-CLASS A</t>
  </si>
  <si>
    <t>TD</t>
  </si>
  <si>
    <t>TORONTO-DOMINION BANK</t>
  </si>
  <si>
    <t>TDA</t>
  </si>
  <si>
    <t>TDAC</t>
  </si>
  <si>
    <t>TRIDENT ACQUISITIONS CORP</t>
  </si>
  <si>
    <t>TDACU</t>
  </si>
  <si>
    <t>TDACW</t>
  </si>
  <si>
    <t>TDC</t>
  </si>
  <si>
    <t>TERADATA CORP</t>
  </si>
  <si>
    <t>TDE</t>
  </si>
  <si>
    <t>TDF</t>
  </si>
  <si>
    <t>TEMPLETON DRAGON FUND INC</t>
  </si>
  <si>
    <t>TDG</t>
  </si>
  <si>
    <t>TRANSDIGM GROUP INC</t>
  </si>
  <si>
    <t>TDI</t>
  </si>
  <si>
    <t>TDIV</t>
  </si>
  <si>
    <t>FT NASDAQ TECH DVD INDEX FD</t>
  </si>
  <si>
    <t>TDJ</t>
  </si>
  <si>
    <t>TDOC</t>
  </si>
  <si>
    <t>TELADOC HEALTH INC</t>
  </si>
  <si>
    <t>TDS</t>
  </si>
  <si>
    <t>TELEPHONE AND DATA SYSTEMS</t>
  </si>
  <si>
    <t>TDTF</t>
  </si>
  <si>
    <t>FLEXSHARES IBOXX 5-YEAR TARG</t>
  </si>
  <si>
    <t>TDTT</t>
  </si>
  <si>
    <t>FLEXSHARES IBOXX 3-YEAR TARG</t>
  </si>
  <si>
    <t>TDV</t>
  </si>
  <si>
    <t>PROSHARES S&amp;P TECH DVD ARIST</t>
  </si>
  <si>
    <t>TDVG</t>
  </si>
  <si>
    <t>T ROWE PRICE DIVIDEND GROWTH</t>
  </si>
  <si>
    <t>TDW</t>
  </si>
  <si>
    <t>TIDEWATER INC</t>
  </si>
  <si>
    <t>TDW+</t>
  </si>
  <si>
    <t>TDW+A</t>
  </si>
  <si>
    <t>TDW+B</t>
  </si>
  <si>
    <t>TDY</t>
  </si>
  <si>
    <t>TELEDYNE TECHNOLOGIES INC</t>
  </si>
  <si>
    <t>TEAF</t>
  </si>
  <si>
    <t>TORTOISE ESSENT ASSTS INC</t>
  </si>
  <si>
    <t>TEAM</t>
  </si>
  <si>
    <t>ATLASSIAN CORP PLC-CLASS A</t>
  </si>
  <si>
    <t>TECB</t>
  </si>
  <si>
    <t>ISHARES US TECH BREAKTHROUGH</t>
  </si>
  <si>
    <t>TECH</t>
  </si>
  <si>
    <t>BIO-TECHNE CORP</t>
  </si>
  <si>
    <t>TECK</t>
  </si>
  <si>
    <t>TECK RESOURCES LTD-CLS B</t>
  </si>
  <si>
    <t>TECL</t>
  </si>
  <si>
    <t>DIREXION DAILY TECH BULL 3X</t>
  </si>
  <si>
    <t>TECS</t>
  </si>
  <si>
    <t>DIREXION DAILY TECH BEAR 3X</t>
  </si>
  <si>
    <t>TECTP</t>
  </si>
  <si>
    <t>TEDU</t>
  </si>
  <si>
    <t>TARENA INTERNATIONAL INC-ADR</t>
  </si>
  <si>
    <t>TEF</t>
  </si>
  <si>
    <t>TELEFONICA SA-SPON ADR</t>
  </si>
  <si>
    <t>TEGS</t>
  </si>
  <si>
    <t>TREND AGGREGATION ESG ETF</t>
  </si>
  <si>
    <t>TEI</t>
  </si>
  <si>
    <t>TEMPLETON EMERG MKTS INC FD</t>
  </si>
  <si>
    <t>TEL</t>
  </si>
  <si>
    <t>TE CONNECTIVITY LTD</t>
  </si>
  <si>
    <t>TELA</t>
  </si>
  <si>
    <t>TELA BIO INC</t>
  </si>
  <si>
    <t>TELL</t>
  </si>
  <si>
    <t>TELLURIAN INC</t>
  </si>
  <si>
    <t>TEN</t>
  </si>
  <si>
    <t>TENNECO INC-CLASS A</t>
  </si>
  <si>
    <t>TENB</t>
  </si>
  <si>
    <t>TENABLE HOLDINGS INC</t>
  </si>
  <si>
    <t>TENX</t>
  </si>
  <si>
    <t>TENAX THERAPEUTICS INC</t>
  </si>
  <si>
    <t>TEO</t>
  </si>
  <si>
    <t>TELECOM ARGENTINA SA-SP ADR</t>
  </si>
  <si>
    <t>TEQI</t>
  </si>
  <si>
    <t>T ROWE PRICE EQUITY INCOME E</t>
  </si>
  <si>
    <t>TER</t>
  </si>
  <si>
    <t>TERADYNE INC</t>
  </si>
  <si>
    <t>TERM</t>
  </si>
  <si>
    <t>EQUITYCOMP TCTL RISK M ETF</t>
  </si>
  <si>
    <t>TESS</t>
  </si>
  <si>
    <t>TESSCO TECHNOLOGIES INC</t>
  </si>
  <si>
    <t>TEUM</t>
  </si>
  <si>
    <t>PARETEUM CORP</t>
  </si>
  <si>
    <t>TEVA</t>
  </si>
  <si>
    <t>TEVA PHARMACEUTICAL-SP ADR</t>
  </si>
  <si>
    <t>TEX</t>
  </si>
  <si>
    <t>TEREX CORP</t>
  </si>
  <si>
    <t>TFC</t>
  </si>
  <si>
    <t>TRUIST FINANCIAL CORP</t>
  </si>
  <si>
    <t>TFC-F</t>
  </si>
  <si>
    <t>TFC-G</t>
  </si>
  <si>
    <t>TFC-H</t>
  </si>
  <si>
    <t>TFC-I</t>
  </si>
  <si>
    <t>TFC-O</t>
  </si>
  <si>
    <t>TFC-R</t>
  </si>
  <si>
    <t>TFFP</t>
  </si>
  <si>
    <t>TFF PHARMACEUTICALS INC</t>
  </si>
  <si>
    <t>TFI</t>
  </si>
  <si>
    <t>SPDR NUV BBG BARC MUNI BOND</t>
  </si>
  <si>
    <t>TFII</t>
  </si>
  <si>
    <t>TFI INTERNATIONAL INC</t>
  </si>
  <si>
    <t>TFIV</t>
  </si>
  <si>
    <t>GLOBAL X TARGETINCOME 5 ETF</t>
  </si>
  <si>
    <t>TFJL</t>
  </si>
  <si>
    <t>INNOVATOR 20 YR TREAS BOND 5</t>
  </si>
  <si>
    <t>TFLO</t>
  </si>
  <si>
    <t>ISHARES TREASURY FLOATING RA</t>
  </si>
  <si>
    <t>TFLT</t>
  </si>
  <si>
    <t>GLOBAL X TARGETINCOME PLUS 2</t>
  </si>
  <si>
    <t>TFSL</t>
  </si>
  <si>
    <t>TFS FINANCIAL CORP</t>
  </si>
  <si>
    <t>TFX</t>
  </si>
  <si>
    <t>TELEFLEX INC</t>
  </si>
  <si>
    <t>TG</t>
  </si>
  <si>
    <t>TREDEGAR CORP</t>
  </si>
  <si>
    <t>TGA</t>
  </si>
  <si>
    <t>TRANSGLOBE ENERGY CORP</t>
  </si>
  <si>
    <t>TGB</t>
  </si>
  <si>
    <t>TASEKO MINES LTD</t>
  </si>
  <si>
    <t>TGC</t>
  </si>
  <si>
    <t>TENGASCO INC</t>
  </si>
  <si>
    <t>TGH</t>
  </si>
  <si>
    <t>TEXTAINER GROUP HOLDINGS LTD</t>
  </si>
  <si>
    <t>TGI</t>
  </si>
  <si>
    <t>TRIUMPH GROUP INC</t>
  </si>
  <si>
    <t>TGLS</t>
  </si>
  <si>
    <t>TECNOGLASS INC</t>
  </si>
  <si>
    <t>TGNA</t>
  </si>
  <si>
    <t>TEGNA INC</t>
  </si>
  <si>
    <t>TGP</t>
  </si>
  <si>
    <t>TEEKAY LNG PARTNERS LP</t>
  </si>
  <si>
    <t>TGP-A</t>
  </si>
  <si>
    <t>TGP-B</t>
  </si>
  <si>
    <t>TGRW</t>
  </si>
  <si>
    <t>T ROWE PRICE GROWTH STOCK ET</t>
  </si>
  <si>
    <t>TGS</t>
  </si>
  <si>
    <t>TRANSPORTADOR GAS SUR-SP B</t>
  </si>
  <si>
    <t>TGT</t>
  </si>
  <si>
    <t>TARGET CORP</t>
  </si>
  <si>
    <t>TGTX</t>
  </si>
  <si>
    <t>TG THERAPEUTICS INC</t>
  </si>
  <si>
    <t>TH</t>
  </si>
  <si>
    <t>TARGET HOSPITALITY CORP</t>
  </si>
  <si>
    <t>THBR</t>
  </si>
  <si>
    <t>THUNDER BRIDGE ACQUISITION-A</t>
  </si>
  <si>
    <t>THBRU</t>
  </si>
  <si>
    <t>THUNDER BRIDGE ACQUISITION I</t>
  </si>
  <si>
    <t>THBRW</t>
  </si>
  <si>
    <t>THC</t>
  </si>
  <si>
    <t>TENET HEALTHCARE CORP</t>
  </si>
  <si>
    <t>THCA</t>
  </si>
  <si>
    <t>TUSCAN HOLDINGS CORP II</t>
  </si>
  <si>
    <t>THCAU</t>
  </si>
  <si>
    <t>THCAW</t>
  </si>
  <si>
    <t>THCB</t>
  </si>
  <si>
    <t>TUSCAN HOLDINGS CORP</t>
  </si>
  <si>
    <t>THCBU</t>
  </si>
  <si>
    <t>THCBW</t>
  </si>
  <si>
    <t>THCX</t>
  </si>
  <si>
    <t>THE CANNABIS ETF</t>
  </si>
  <si>
    <t>THD</t>
  </si>
  <si>
    <t>ISHARES MSCI THAILAND ETF</t>
  </si>
  <si>
    <t>THFF</t>
  </si>
  <si>
    <t>FIRST FINANCIAL CORP/INDIANA</t>
  </si>
  <si>
    <t>THG</t>
  </si>
  <si>
    <t>HANOVER INSURANCE GROUP INC/</t>
  </si>
  <si>
    <t>THGA</t>
  </si>
  <si>
    <t>THM</t>
  </si>
  <si>
    <t>INTL TOWER HILL MINES LTD</t>
  </si>
  <si>
    <t>THMO</t>
  </si>
  <si>
    <t>THERMOGENESIS HOLDINGS INC</t>
  </si>
  <si>
    <t>THNQ</t>
  </si>
  <si>
    <t>ROBO GLOBAL ARTIFICIAL INTEL</t>
  </si>
  <si>
    <t>THO</t>
  </si>
  <si>
    <t>THOR INDUSTRIES INC</t>
  </si>
  <si>
    <t>THQ</t>
  </si>
  <si>
    <t>TEKLA HEALTHCARE OPPORTUNITI</t>
  </si>
  <si>
    <t>THR</t>
  </si>
  <si>
    <t>THERMON GROUP HOLDINGS INC</t>
  </si>
  <si>
    <t>THRM</t>
  </si>
  <si>
    <t>GENTHERM INC</t>
  </si>
  <si>
    <t>THS</t>
  </si>
  <si>
    <t>TREEHOUSE FOODS INC</t>
  </si>
  <si>
    <t>THTX</t>
  </si>
  <si>
    <t>THERATECHNOLOGIES INC</t>
  </si>
  <si>
    <t>THW</t>
  </si>
  <si>
    <t>TEKLA WORLD HEALTHCARE FUND</t>
  </si>
  <si>
    <t>THWWW</t>
  </si>
  <si>
    <t>THY</t>
  </si>
  <si>
    <t>AGILITY SHARES DYNAMIC TACTI</t>
  </si>
  <si>
    <t>TIF</t>
  </si>
  <si>
    <t>TIFFANY &amp; CO</t>
  </si>
  <si>
    <t>TIG</t>
  </si>
  <si>
    <t>TREAN INSURANCE GROUP INC</t>
  </si>
  <si>
    <t>TIGO</t>
  </si>
  <si>
    <t>MILLICOM INTL CELLULAR S.A.</t>
  </si>
  <si>
    <t>TIGR</t>
  </si>
  <si>
    <t>UP FINTECH HOLDING LTD - ADR</t>
  </si>
  <si>
    <t>TILE</t>
  </si>
  <si>
    <t>INTERFACE INC</t>
  </si>
  <si>
    <t>TILT</t>
  </si>
  <si>
    <t>FLEXSHARES MORNINGSTAR US MA</t>
  </si>
  <si>
    <t>TIP</t>
  </si>
  <si>
    <t>ISHARES TIPS BOND ETF</t>
  </si>
  <si>
    <t>TIPT</t>
  </si>
  <si>
    <t>TIPTREE INC</t>
  </si>
  <si>
    <t>TIPX</t>
  </si>
  <si>
    <t>SPDR BBG BARC 1-10YR TIPS</t>
  </si>
  <si>
    <t>TIPZ</t>
  </si>
  <si>
    <t>PIMCO BROAD US TIPS INDEX</t>
  </si>
  <si>
    <t>TISI</t>
  </si>
  <si>
    <t>TEAM INC</t>
  </si>
  <si>
    <t>TITN</t>
  </si>
  <si>
    <t>TITAN MACHINERY INC</t>
  </si>
  <si>
    <t>TJX</t>
  </si>
  <si>
    <t>TJX COMPANIES INC</t>
  </si>
  <si>
    <t>TK</t>
  </si>
  <si>
    <t>TEEKAY CORP</t>
  </si>
  <si>
    <t>TKAT</t>
  </si>
  <si>
    <t>TAKUNG ART CO LTD</t>
  </si>
  <si>
    <t>TKC</t>
  </si>
  <si>
    <t>TURKCELL ILETISIM HIZMET-ADR</t>
  </si>
  <si>
    <t>TKR</t>
  </si>
  <si>
    <t>TIMKEN CO</t>
  </si>
  <si>
    <t>TLC</t>
  </si>
  <si>
    <t>TAIWAN LIPOSOME CO LTD-ADR</t>
  </si>
  <si>
    <t>TLDH</t>
  </si>
  <si>
    <t>FLEXSHARES CURRENCY HEDGED M</t>
  </si>
  <si>
    <t>TLEH</t>
  </si>
  <si>
    <t>TLGT</t>
  </si>
  <si>
    <t>TELIGENT INC</t>
  </si>
  <si>
    <t>TLH</t>
  </si>
  <si>
    <t>ISHARES 10-20 YEAR TREASURY</t>
  </si>
  <si>
    <t>TLI</t>
  </si>
  <si>
    <t>WESTERN ASSET CORPORATE LOAN</t>
  </si>
  <si>
    <t>TLK</t>
  </si>
  <si>
    <t>TELEKOMUNIK INDONESIA-SP ADR</t>
  </si>
  <si>
    <t>TLND</t>
  </si>
  <si>
    <t>TALEND SA  - ADR</t>
  </si>
  <si>
    <t>TLRY</t>
  </si>
  <si>
    <t>TILRAY INC-CLASS 2 COMMON</t>
  </si>
  <si>
    <t>TLSA</t>
  </si>
  <si>
    <t>TIZIANA LIFE SCIENCES P-ADR</t>
  </si>
  <si>
    <t>TLT</t>
  </si>
  <si>
    <t>ISHARES 20+ YEAR TREASURY BO</t>
  </si>
  <si>
    <t>TLTD</t>
  </si>
  <si>
    <t>FLEXSHARES MORNINGSTAR DEVEL</t>
  </si>
  <si>
    <t>TLTE</t>
  </si>
  <si>
    <t>FLEXSHARES MORNINGSTAR EMERG</t>
  </si>
  <si>
    <t>TLYS</t>
  </si>
  <si>
    <t>TILLY'S INC-CLASS A SHRS</t>
  </si>
  <si>
    <t>TM</t>
  </si>
  <si>
    <t>TOYOTA MOTOR CORP -SPON ADR</t>
  </si>
  <si>
    <t>TMBR</t>
  </si>
  <si>
    <t>TIMBER PHARMACEUTICALS INC</t>
  </si>
  <si>
    <t>TMDI</t>
  </si>
  <si>
    <t>TITAN MEDICAL INC</t>
  </si>
  <si>
    <t>TMDV</t>
  </si>
  <si>
    <t>PROSHARES RUSSELL US DVD GRW</t>
  </si>
  <si>
    <t>TMDX</t>
  </si>
  <si>
    <t>TRANSMEDICS GROUP INC</t>
  </si>
  <si>
    <t>TME</t>
  </si>
  <si>
    <t>TENCENT MUSIC ENTERTAINM-ADR</t>
  </si>
  <si>
    <t>TMF</t>
  </si>
  <si>
    <t>DRX DLY 20+ YR TREAS BULL 3X</t>
  </si>
  <si>
    <t>TMFC</t>
  </si>
  <si>
    <t>MOTLEY FOOL 100 INDEX ETF</t>
  </si>
  <si>
    <t>TMHC</t>
  </si>
  <si>
    <t>TAYLOR MORRISON HOME CORP</t>
  </si>
  <si>
    <t>TMO</t>
  </si>
  <si>
    <t>THERMO FISHER SCIENTIFIC INC</t>
  </si>
  <si>
    <t>TMP</t>
  </si>
  <si>
    <t>TOMPKINS FINANCIAL CORP</t>
  </si>
  <si>
    <t>TMQ</t>
  </si>
  <si>
    <t>TRILOGY METALS INC</t>
  </si>
  <si>
    <t>TMST</t>
  </si>
  <si>
    <t>TIMKENSTEEL CORP</t>
  </si>
  <si>
    <t>TMUS</t>
  </si>
  <si>
    <t>T-MOBILE US INC</t>
  </si>
  <si>
    <t>TMV</t>
  </si>
  <si>
    <t>DRX DLY 20+ YR TREAS BEAR 3X</t>
  </si>
  <si>
    <t>TNA</t>
  </si>
  <si>
    <t>DIREXION DLY SM CAP BULL 3X</t>
  </si>
  <si>
    <t>TNAV</t>
  </si>
  <si>
    <t>TELENAV INC</t>
  </si>
  <si>
    <t>TNC</t>
  </si>
  <si>
    <t>TENNANT CO</t>
  </si>
  <si>
    <t>TNDM</t>
  </si>
  <si>
    <t>TANDEM DIABETES CARE INC</t>
  </si>
  <si>
    <t>TNET</t>
  </si>
  <si>
    <t>TRINET GROUP INC</t>
  </si>
  <si>
    <t>TNK</t>
  </si>
  <si>
    <t>TEEKAY TANKERS LTD-CLASS A</t>
  </si>
  <si>
    <t>TNP</t>
  </si>
  <si>
    <t>TSAKOS ENERGY NAVIGATION LTD</t>
  </si>
  <si>
    <t>TNP-C</t>
  </si>
  <si>
    <t>TNP-D</t>
  </si>
  <si>
    <t>TNP-E</t>
  </si>
  <si>
    <t>TNP-F</t>
  </si>
  <si>
    <t>TNXP</t>
  </si>
  <si>
    <t>TONIX PHARMACEUTICALS HOLDIN</t>
  </si>
  <si>
    <t>TOK</t>
  </si>
  <si>
    <t>ISHARES MSCI KOKUSAI ETF</t>
  </si>
  <si>
    <t>TOKE</t>
  </si>
  <si>
    <t>CAMBRIA CANNABIS ETF</t>
  </si>
  <si>
    <t>TOL</t>
  </si>
  <si>
    <t>TOLL BROTHERS INC</t>
  </si>
  <si>
    <t>TOLZ</t>
  </si>
  <si>
    <t>PROSHARES GLB INFRASTRUCTURE</t>
  </si>
  <si>
    <t>TOPS</t>
  </si>
  <si>
    <t>TOP SHIPS INC</t>
  </si>
  <si>
    <t>TORC</t>
  </si>
  <si>
    <t>RESTORBIO INC</t>
  </si>
  <si>
    <t>TOT</t>
  </si>
  <si>
    <t>TOTAL SE-SPON ADR</t>
  </si>
  <si>
    <t>TOTA</t>
  </si>
  <si>
    <t>TOTTENHAM ACQUISITION I LTD</t>
  </si>
  <si>
    <t>TOTAR</t>
  </si>
  <si>
    <t>TENHAM ACQUISITION I - RTS</t>
  </si>
  <si>
    <t>TOTAU</t>
  </si>
  <si>
    <t>TOTAW</t>
  </si>
  <si>
    <t>TOTL</t>
  </si>
  <si>
    <t>SPDR DOUBLELINE TR TACT ETF</t>
  </si>
  <si>
    <t>TOUR</t>
  </si>
  <si>
    <t>TUNIU CORP-SPON ADR</t>
  </si>
  <si>
    <t>TOWN</t>
  </si>
  <si>
    <t>TOWNE BANK</t>
  </si>
  <si>
    <t>TPAY</t>
  </si>
  <si>
    <t>ECOFIN DIGITAL PAYMENTS INFR</t>
  </si>
  <si>
    <t>TPB</t>
  </si>
  <si>
    <t>TURNING POINT BRANDS INC</t>
  </si>
  <si>
    <t>TPC</t>
  </si>
  <si>
    <t>TUTOR PERINI CORP</t>
  </si>
  <si>
    <t>TPCO</t>
  </si>
  <si>
    <t>TRIBUNE PUBLISHING CO</t>
  </si>
  <si>
    <t>TPH</t>
  </si>
  <si>
    <t>TRI POINTE GROUP INC</t>
  </si>
  <si>
    <t>TPHD</t>
  </si>
  <si>
    <t>TIMOTHY PLAN HIGH DVD STOCK</t>
  </si>
  <si>
    <t>TPHS</t>
  </si>
  <si>
    <t>TRINITY PLACE HOLDINGS INC</t>
  </si>
  <si>
    <t>TPIC</t>
  </si>
  <si>
    <t>TPI COMPOSITES INC</t>
  </si>
  <si>
    <t>TPIF</t>
  </si>
  <si>
    <t>TIMOTHY PLAN INTERNATIONAL E</t>
  </si>
  <si>
    <t>TPL</t>
  </si>
  <si>
    <t>TEXAS PACIFIC LAND TRUST</t>
  </si>
  <si>
    <t>TPLC</t>
  </si>
  <si>
    <t>TIMOTHY PLAN US LARGE/MID CA</t>
  </si>
  <si>
    <t>TPOR</t>
  </si>
  <si>
    <t>DRX DLY TRANSPORTS BULL 3X</t>
  </si>
  <si>
    <t>TPR</t>
  </si>
  <si>
    <t>TAPESTRY INC</t>
  </si>
  <si>
    <t>TPRE</t>
  </si>
  <si>
    <t>THIRD POINT REINSURANCE LTD</t>
  </si>
  <si>
    <t>TPSC</t>
  </si>
  <si>
    <t>TIMOTHY PLAN US SMALL CAP CO</t>
  </si>
  <si>
    <t>TPTX</t>
  </si>
  <si>
    <t>TURNING POINT THERAPEUTICS I</t>
  </si>
  <si>
    <t>TPVG</t>
  </si>
  <si>
    <t>TRIPLEPOINT VENTURE GROWTH B</t>
  </si>
  <si>
    <t>TPVY</t>
  </si>
  <si>
    <t>TPX</t>
  </si>
  <si>
    <t>TEMPUR SEALY INTERNATIONAL I</t>
  </si>
  <si>
    <t>TPYP</t>
  </si>
  <si>
    <t>TORTOISE NORTH AMERICAN PIPE</t>
  </si>
  <si>
    <t>TPZ</t>
  </si>
  <si>
    <t>TORTOISE POWER &amp; ENRGY INFRA</t>
  </si>
  <si>
    <t>TQQQ</t>
  </si>
  <si>
    <t>PROSHARES ULTRAPRO QQQ</t>
  </si>
  <si>
    <t>TR</t>
  </si>
  <si>
    <t>TOOTSIE ROLL INDS</t>
  </si>
  <si>
    <t>TRC</t>
  </si>
  <si>
    <t>TEJON RANCH CO</t>
  </si>
  <si>
    <t>TRCH</t>
  </si>
  <si>
    <t>TORCHLIGHT ENERGY RESOURCES</t>
  </si>
  <si>
    <t>TREB</t>
  </si>
  <si>
    <t>TREBIA ACQUISITION CORP-A</t>
  </si>
  <si>
    <t>TREB+</t>
  </si>
  <si>
    <t>TREB=</t>
  </si>
  <si>
    <t>TREBIA ACQUISITION CORP</t>
  </si>
  <si>
    <t>TREC</t>
  </si>
  <si>
    <t>TRECORA RESOURCES</t>
  </si>
  <si>
    <t>TREE</t>
  </si>
  <si>
    <t>LENDINGTREE INC</t>
  </si>
  <si>
    <t>TREX</t>
  </si>
  <si>
    <t>TREX COMPANY INC</t>
  </si>
  <si>
    <t>TRGP</t>
  </si>
  <si>
    <t>TARGA RESOURCES CORP</t>
  </si>
  <si>
    <t>TRHC</t>
  </si>
  <si>
    <t>TABULA RASA HEALTHCARE INC</t>
  </si>
  <si>
    <t>TRI</t>
  </si>
  <si>
    <t>THOMSON REUTERS CORP</t>
  </si>
  <si>
    <t>TRIB</t>
  </si>
  <si>
    <t>TRINITY BIOTECH PLC-SPON ADR</t>
  </si>
  <si>
    <t>TRIL</t>
  </si>
  <si>
    <t>TRILLIUM THERAPEUTICS INC</t>
  </si>
  <si>
    <t>TRIP</t>
  </si>
  <si>
    <t>TRIPADVISOR INC</t>
  </si>
  <si>
    <t>TRMB</t>
  </si>
  <si>
    <t>TRIMBLE INC</t>
  </si>
  <si>
    <t>TRMD</t>
  </si>
  <si>
    <t>TORM PLC</t>
  </si>
  <si>
    <t>TRMK</t>
  </si>
  <si>
    <t>TRUSTMARK CORP</t>
  </si>
  <si>
    <t>TRMT</t>
  </si>
  <si>
    <t>TREMONT MORTGAGE TRUST</t>
  </si>
  <si>
    <t>TRN</t>
  </si>
  <si>
    <t>TRINITY INDUSTRIES INC</t>
  </si>
  <si>
    <t>TRND</t>
  </si>
  <si>
    <t>PACER TRENDPILOT FUNDS OF FD</t>
  </si>
  <si>
    <t>TRNE</t>
  </si>
  <si>
    <t>TRINE ACQUISITION CORP-A</t>
  </si>
  <si>
    <t>TRNE+</t>
  </si>
  <si>
    <t>TRNE=</t>
  </si>
  <si>
    <t>TRINE ACQUISITION CORP</t>
  </si>
  <si>
    <t>TRNO</t>
  </si>
  <si>
    <t>TERRENO REALTY CORP</t>
  </si>
  <si>
    <t>TRNS</t>
  </si>
  <si>
    <t>TRANSCAT INC</t>
  </si>
  <si>
    <t>TROW</t>
  </si>
  <si>
    <t>T ROWE PRICE GROUP INC</t>
  </si>
  <si>
    <t>TROX</t>
  </si>
  <si>
    <t>TRONOX HOLDINGS PLC- A</t>
  </si>
  <si>
    <t>TRP</t>
  </si>
  <si>
    <t>TC ENERGY CORP</t>
  </si>
  <si>
    <t>TRQ</t>
  </si>
  <si>
    <t>TURQUOISE HILL RESOURCES LTD</t>
  </si>
  <si>
    <t>TRS</t>
  </si>
  <si>
    <t>TRIMAS CORP</t>
  </si>
  <si>
    <t>TRST</t>
  </si>
  <si>
    <t>TRUSTCO BANK CORP NY</t>
  </si>
  <si>
    <t>TRT</t>
  </si>
  <si>
    <t>TRIO-TECH INTERNATIONAL</t>
  </si>
  <si>
    <t>TRTN</t>
  </si>
  <si>
    <t>TRITON INTERNATIONAL LTD/BER</t>
  </si>
  <si>
    <t>TRTN-A</t>
  </si>
  <si>
    <t>TRTN-B</t>
  </si>
  <si>
    <t>TRTN-C</t>
  </si>
  <si>
    <t>TRTN-D</t>
  </si>
  <si>
    <t>TRTX</t>
  </si>
  <si>
    <t>TPG RE FINANCE TRUST INC</t>
  </si>
  <si>
    <t>TRTY</t>
  </si>
  <si>
    <t>CAMBRIA TRINITY ETF</t>
  </si>
  <si>
    <t>TRU</t>
  </si>
  <si>
    <t>TRANSUNION</t>
  </si>
  <si>
    <t>TRUECAR INC</t>
  </si>
  <si>
    <t>TRUP</t>
  </si>
  <si>
    <t>TRUPANION INC</t>
  </si>
  <si>
    <t>TRV</t>
  </si>
  <si>
    <t>TRAVELERS COS INC/THE</t>
  </si>
  <si>
    <t>TRVG</t>
  </si>
  <si>
    <t>TRIVAGO NV - ADR</t>
  </si>
  <si>
    <t>TRVI</t>
  </si>
  <si>
    <t>TREVI THERAPEUTICS INC</t>
  </si>
  <si>
    <t>TRVN</t>
  </si>
  <si>
    <t>TREVENA INC</t>
  </si>
  <si>
    <t>TRWH</t>
  </si>
  <si>
    <t>TWIN RIVER WORLDWIDE HOLDING</t>
  </si>
  <si>
    <t>TRX</t>
  </si>
  <si>
    <t>TANZANIAN GOLD CORP</t>
  </si>
  <si>
    <t>TRXC</t>
  </si>
  <si>
    <t>TRANSENTERIX INC</t>
  </si>
  <si>
    <t>TS</t>
  </si>
  <si>
    <t>TENARIS SA-ADR</t>
  </si>
  <si>
    <t>TSBK</t>
  </si>
  <si>
    <t>TIMBERLAND BANCORP INC</t>
  </si>
  <si>
    <t>TSC</t>
  </si>
  <si>
    <t>TRISTATE CAPITAL HLDGS INC</t>
  </si>
  <si>
    <t>TSCAP</t>
  </si>
  <si>
    <t>TSCBP</t>
  </si>
  <si>
    <t>TSCO</t>
  </si>
  <si>
    <t>TRACTOR SUPPLY COMPANY</t>
  </si>
  <si>
    <t>TSE</t>
  </si>
  <si>
    <t>TRINSEO SA</t>
  </si>
  <si>
    <t>TSEM</t>
  </si>
  <si>
    <t>TOWER SEMICONDUCTOR LTD</t>
  </si>
  <si>
    <t>TSI</t>
  </si>
  <si>
    <t>TCW STRATEGIC INCOME FUND IN</t>
  </si>
  <si>
    <t>TSLA</t>
  </si>
  <si>
    <t>TESLA INC</t>
  </si>
  <si>
    <t>TSLX</t>
  </si>
  <si>
    <t>SIXTH STREET SPECIALTY LENDI</t>
  </si>
  <si>
    <t>TSM</t>
  </si>
  <si>
    <t>TAIWAN SEMICONDUCTOR-SP ADR</t>
  </si>
  <si>
    <t>TSN</t>
  </si>
  <si>
    <t>TYSON FOODS INC-CL A</t>
  </si>
  <si>
    <t>TSQ</t>
  </si>
  <si>
    <t>TOWNSQUARE MEDIA INC - CL A</t>
  </si>
  <si>
    <t>TSRI</t>
  </si>
  <si>
    <t>TSR INC</t>
  </si>
  <si>
    <t>TSU</t>
  </si>
  <si>
    <t>TIM PARTICIPACOES SA-ADR</t>
  </si>
  <si>
    <t>TT</t>
  </si>
  <si>
    <t>TRANE TECHNOLOGIES PLC</t>
  </si>
  <si>
    <t>TTAC</t>
  </si>
  <si>
    <t>TRIMTABS ALL CAP US FREE-CAS</t>
  </si>
  <si>
    <t>TTAI</t>
  </si>
  <si>
    <t>TRIMTABS ALL CAP INT CSH FLO</t>
  </si>
  <si>
    <t>TTC</t>
  </si>
  <si>
    <t>TORO CO</t>
  </si>
  <si>
    <t>TTD</t>
  </si>
  <si>
    <t>TRADE DESK INC/THE -CLASS A</t>
  </si>
  <si>
    <t>TTEC</t>
  </si>
  <si>
    <t>TTEC HOLDINGS INC</t>
  </si>
  <si>
    <t>TTEK</t>
  </si>
  <si>
    <t>TETRA TECH INC</t>
  </si>
  <si>
    <t>TTGT</t>
  </si>
  <si>
    <t>TECHTARGET</t>
  </si>
  <si>
    <t>TTI</t>
  </si>
  <si>
    <t>TETRA TECHNOLOGIES INC</t>
  </si>
  <si>
    <t>TTM</t>
  </si>
  <si>
    <t>TATA MOTORS LTD-SPON ADR</t>
  </si>
  <si>
    <t>TTMI</t>
  </si>
  <si>
    <t>TTM TECHNOLOGIES</t>
  </si>
  <si>
    <t>TTNP</t>
  </si>
  <si>
    <t>TITAN PHARMACEUTICALS INC</t>
  </si>
  <si>
    <t>TTOO</t>
  </si>
  <si>
    <t>T2 BIOSYSTEMS INC</t>
  </si>
  <si>
    <t>TTP</t>
  </si>
  <si>
    <t>TORTOISE PIPELINE &amp; ENERGY</t>
  </si>
  <si>
    <t>TTT</t>
  </si>
  <si>
    <t>PROSHARES ULT -3X 20+ YR TSY</t>
  </si>
  <si>
    <t>TTTN</t>
  </si>
  <si>
    <t>UP FINTECH CHINA-US INTERNET</t>
  </si>
  <si>
    <t>TTWO</t>
  </si>
  <si>
    <t>TAKE-TWO INTERACTIVE SOFTWRE</t>
  </si>
  <si>
    <t>TU</t>
  </si>
  <si>
    <t>TELUS CORP</t>
  </si>
  <si>
    <t>TUFN</t>
  </si>
  <si>
    <t>TUFIN SOFTWARE TECHNOLOGIES</t>
  </si>
  <si>
    <t>TUP</t>
  </si>
  <si>
    <t>TUPPERWARE BRANDS CORP</t>
  </si>
  <si>
    <t>TUR</t>
  </si>
  <si>
    <t>ISHARES MSCI TURKEY ETF</t>
  </si>
  <si>
    <t>TURN</t>
  </si>
  <si>
    <t>180 DEGREE CAPITAL CORP</t>
  </si>
  <si>
    <t>TUSA</t>
  </si>
  <si>
    <t>FT TOTAL US MARKET ALPHADEX</t>
  </si>
  <si>
    <t>TUSK</t>
  </si>
  <si>
    <t>MAMMOTH ENERGY SERVICES INC</t>
  </si>
  <si>
    <t>TV</t>
  </si>
  <si>
    <t>GRUPO TELEVISA SA-SPON ADR</t>
  </si>
  <si>
    <t>TVC</t>
  </si>
  <si>
    <t>TVE</t>
  </si>
  <si>
    <t>TVTY</t>
  </si>
  <si>
    <t>TIVITY HEALTH INC</t>
  </si>
  <si>
    <t>TW</t>
  </si>
  <si>
    <t>TRADEWEB MARKETS INC-CLASS A</t>
  </si>
  <si>
    <t>TWI</t>
  </si>
  <si>
    <t>TITAN INTERNATIONAL INC</t>
  </si>
  <si>
    <t>TWIN</t>
  </si>
  <si>
    <t>TWIN DISC INC</t>
  </si>
  <si>
    <t>TWLO</t>
  </si>
  <si>
    <t>TWILIO INC - A</t>
  </si>
  <si>
    <t>TWM</t>
  </si>
  <si>
    <t>PROSHARES ULTRASHORT R2000</t>
  </si>
  <si>
    <t>TWN</t>
  </si>
  <si>
    <t>TAIWAN FUND INC</t>
  </si>
  <si>
    <t>TWND=</t>
  </si>
  <si>
    <t>TAILWING ACQUISITION CORP</t>
  </si>
  <si>
    <t>TWNK</t>
  </si>
  <si>
    <t>HOSTESS BRANDS INC</t>
  </si>
  <si>
    <t>TWNKW</t>
  </si>
  <si>
    <t>TWO</t>
  </si>
  <si>
    <t>TWO HARBORS INVESTMENT CORP</t>
  </si>
  <si>
    <t>TWO-A</t>
  </si>
  <si>
    <t>TWO-B</t>
  </si>
  <si>
    <t>TWO-C</t>
  </si>
  <si>
    <t>TWO-D</t>
  </si>
  <si>
    <t>TWO-E</t>
  </si>
  <si>
    <t>TWOU</t>
  </si>
  <si>
    <t>2U INC</t>
  </si>
  <si>
    <t>TWST</t>
  </si>
  <si>
    <t>TWIST BIOSCIENCE CORP</t>
  </si>
  <si>
    <t>TWTR</t>
  </si>
  <si>
    <t>TWITTER INC</t>
  </si>
  <si>
    <t>TX</t>
  </si>
  <si>
    <t>TERNIUM SA-SPONSORED ADR</t>
  </si>
  <si>
    <t>TXG</t>
  </si>
  <si>
    <t>10X GENOMICS INC-CLASS A</t>
  </si>
  <si>
    <t>TXMD</t>
  </si>
  <si>
    <t>THERAPEUTICSMD INC</t>
  </si>
  <si>
    <t>TXN</t>
  </si>
  <si>
    <t>TEXAS INSTRUMENTS INC</t>
  </si>
  <si>
    <t>TXRH</t>
  </si>
  <si>
    <t>TEXAS ROADHOUSE INC</t>
  </si>
  <si>
    <t>TXT</t>
  </si>
  <si>
    <t>TEXTRON INC</t>
  </si>
  <si>
    <t>TY</t>
  </si>
  <si>
    <t>TRI-CONTINENTAL CORP</t>
  </si>
  <si>
    <t>TY-</t>
  </si>
  <si>
    <t>TYBS</t>
  </si>
  <si>
    <t>DRX DLY 20+ YR TREAS BEAR 1X</t>
  </si>
  <si>
    <t>TYD</t>
  </si>
  <si>
    <t>DRX DLY 7-10 Y TREAS BULL 3X</t>
  </si>
  <si>
    <t>TYG</t>
  </si>
  <si>
    <t>TORTOISE ENERGY INFRASTRUCT</t>
  </si>
  <si>
    <t>TYHT</t>
  </si>
  <si>
    <t>SHINECO INC</t>
  </si>
  <si>
    <t>TYL</t>
  </si>
  <si>
    <t>TYLER TECHNOLOGIES INC</t>
  </si>
  <si>
    <t>TYME</t>
  </si>
  <si>
    <t>TYME TECHNOLOGIES INC</t>
  </si>
  <si>
    <t>TYO</t>
  </si>
  <si>
    <t>DRX DLY 7-10 Y TREAS BEAR 3X</t>
  </si>
  <si>
    <t>TZA</t>
  </si>
  <si>
    <t>DIREXION DLY SM CAP BEAR 3X</t>
  </si>
  <si>
    <t>TZAC</t>
  </si>
  <si>
    <t>TENZING ACQUISITION CORP</t>
  </si>
  <si>
    <t>TZACU</t>
  </si>
  <si>
    <t>TZACW</t>
  </si>
  <si>
    <t>TZOO</t>
  </si>
  <si>
    <t>TRAVELZOO</t>
  </si>
  <si>
    <t>UA</t>
  </si>
  <si>
    <t>UNDER ARMOUR INC-CLASS C</t>
  </si>
  <si>
    <t>UAA</t>
  </si>
  <si>
    <t>UNDER ARMOUR INC-CLASS A</t>
  </si>
  <si>
    <t>UAE</t>
  </si>
  <si>
    <t>ISHARES MSCI UAE ETF</t>
  </si>
  <si>
    <t>UAG</t>
  </si>
  <si>
    <t>ETRACS CMCI AGRICULTURE TR</t>
  </si>
  <si>
    <t>UAL</t>
  </si>
  <si>
    <t>UNITED AIRLINES HOLDINGS INC</t>
  </si>
  <si>
    <t>UAMY</t>
  </si>
  <si>
    <t>UNITED STATES ANTIMONY CORP</t>
  </si>
  <si>
    <t>UAN</t>
  </si>
  <si>
    <t>CVR PARTNERS LP</t>
  </si>
  <si>
    <t>UAPR</t>
  </si>
  <si>
    <t>INNOVATOR SP 5OO ULTRA BUFFE</t>
  </si>
  <si>
    <t>UAUD</t>
  </si>
  <si>
    <t>UAUG</t>
  </si>
  <si>
    <t>INNOVATOR SP500 ULTR BUF-AUG</t>
  </si>
  <si>
    <t>UAVS</t>
  </si>
  <si>
    <t>AGEAGLE AERIAL SYSTEMS INC</t>
  </si>
  <si>
    <t>UBA</t>
  </si>
  <si>
    <t>URSTADT BIDDLE - CLASS A</t>
  </si>
  <si>
    <t>UBCP</t>
  </si>
  <si>
    <t>UNITED BANCORP INC/OHIO</t>
  </si>
  <si>
    <t>UBER</t>
  </si>
  <si>
    <t>UBER TECHNOLOGIES INC</t>
  </si>
  <si>
    <t>UBFO</t>
  </si>
  <si>
    <t>UNITED SECURITY BANCSHARE/CA</t>
  </si>
  <si>
    <t>UBG</t>
  </si>
  <si>
    <t>ETRACS CMCI GOLD TR ETN</t>
  </si>
  <si>
    <t>UBOH</t>
  </si>
  <si>
    <t>UNITED BANCSHARES INC/OHIO</t>
  </si>
  <si>
    <t>UBOT</t>
  </si>
  <si>
    <t>DRX DLY ROBO &amp; A.I. BULL 3X</t>
  </si>
  <si>
    <t>UBP</t>
  </si>
  <si>
    <t>URSTADT BIDDLE PROPERTIES</t>
  </si>
  <si>
    <t>UBP-H</t>
  </si>
  <si>
    <t>UBP-K</t>
  </si>
  <si>
    <t>UBR</t>
  </si>
  <si>
    <t>PROSHARES ULTRA MSCI BRAZIL</t>
  </si>
  <si>
    <t>UBS</t>
  </si>
  <si>
    <t>UBS GROUP AG-REG</t>
  </si>
  <si>
    <t>UBSI</t>
  </si>
  <si>
    <t>UNITED BANKSHARES INC</t>
  </si>
  <si>
    <t>UBT</t>
  </si>
  <si>
    <t>PROSHARES ULTRA 20+ YEAR TSY</t>
  </si>
  <si>
    <t>UBX</t>
  </si>
  <si>
    <t>UNITY BIOTECHNOLOGY INC</t>
  </si>
  <si>
    <t>UCBI</t>
  </si>
  <si>
    <t>UNITED COMMUNITY BANKS/GA</t>
  </si>
  <si>
    <t>UCBIO</t>
  </si>
  <si>
    <t>UCC</t>
  </si>
  <si>
    <t>PROSHARES ULTRA CONS SERVICE</t>
  </si>
  <si>
    <t>UCHF</t>
  </si>
  <si>
    <t>UCI</t>
  </si>
  <si>
    <t>ETRACS CMCI TOTAL RETURN ETN</t>
  </si>
  <si>
    <t>UCIB</t>
  </si>
  <si>
    <t>ETRACS UBS BBG CONS MA SER B</t>
  </si>
  <si>
    <t>UCL</t>
  </si>
  <si>
    <t>UCLOUDLINK GROUP INC</t>
  </si>
  <si>
    <t>UCO</t>
  </si>
  <si>
    <t>PROSHARES ULTRA BLOOMBERG CR</t>
  </si>
  <si>
    <t>UCON</t>
  </si>
  <si>
    <t>FIRST TRUST TCW UNCONSTRAINE</t>
  </si>
  <si>
    <t>UCTT</t>
  </si>
  <si>
    <t>ULTRA CLEAN HOLDINGS INC</t>
  </si>
  <si>
    <t>UDEC</t>
  </si>
  <si>
    <t>INNOVATOR S&amp;P ULTRA BUFF-DEC</t>
  </si>
  <si>
    <t>UDN</t>
  </si>
  <si>
    <t>INVESCO DB US DOLLAR INDEX B</t>
  </si>
  <si>
    <t>UDOW</t>
  </si>
  <si>
    <t>PROSHARES ULTRAPRO DOW30</t>
  </si>
  <si>
    <t>UDR</t>
  </si>
  <si>
    <t>UDR INC</t>
  </si>
  <si>
    <t>UE</t>
  </si>
  <si>
    <t>URBAN EDGE PROPERTIES</t>
  </si>
  <si>
    <t>UEC</t>
  </si>
  <si>
    <t>URANIUM ENERGY CORP</t>
  </si>
  <si>
    <t>UEIC</t>
  </si>
  <si>
    <t>UNIVERSAL ELECTRONICS INC</t>
  </si>
  <si>
    <t>UEPS</t>
  </si>
  <si>
    <t>NET 1 UEPS TECHNOLOGIES INC</t>
  </si>
  <si>
    <t>UEUR</t>
  </si>
  <si>
    <t>UEVM</t>
  </si>
  <si>
    <t>VICTORYSHARES USAA MSCI EMER</t>
  </si>
  <si>
    <t>UFAB</t>
  </si>
  <si>
    <t>UNIQUE FABRICATING INC</t>
  </si>
  <si>
    <t>UFCS</t>
  </si>
  <si>
    <t>UNITED FIRE GROUP INC</t>
  </si>
  <si>
    <t>UFEB</t>
  </si>
  <si>
    <t>INNOVATOR SP 500 ULTRA - FEB</t>
  </si>
  <si>
    <t>UFI</t>
  </si>
  <si>
    <t>UNIFI INC</t>
  </si>
  <si>
    <t>UFO</t>
  </si>
  <si>
    <t>PROCURE SPACE ETF</t>
  </si>
  <si>
    <t>UFPI</t>
  </si>
  <si>
    <t>UFP INDUSTRIES INC</t>
  </si>
  <si>
    <t>UFPT</t>
  </si>
  <si>
    <t>UFP TECHNOLOGIES INC</t>
  </si>
  <si>
    <t>UFS</t>
  </si>
  <si>
    <t>DOMTAR CORP</t>
  </si>
  <si>
    <t>UG</t>
  </si>
  <si>
    <t>UNITED GUARDIAN INC</t>
  </si>
  <si>
    <t>UGA</t>
  </si>
  <si>
    <t>UNITED STATES GAS FUND LP</t>
  </si>
  <si>
    <t>UGBP</t>
  </si>
  <si>
    <t>UGE</t>
  </si>
  <si>
    <t>PROSHARES ULTRA CONSUM GOODS</t>
  </si>
  <si>
    <t>UGI</t>
  </si>
  <si>
    <t>UGI CORP</t>
  </si>
  <si>
    <t>UGL</t>
  </si>
  <si>
    <t>PROSHARES ULTRA GOLD</t>
  </si>
  <si>
    <t>UGP</t>
  </si>
  <si>
    <t>ULTRAPAR PARTICPAC-SPON ADR</t>
  </si>
  <si>
    <t>UHAL</t>
  </si>
  <si>
    <t>AMERCO</t>
  </si>
  <si>
    <t>UHS</t>
  </si>
  <si>
    <t>UNIVERSAL HEALTH SERVICES-B</t>
  </si>
  <si>
    <t>UHT</t>
  </si>
  <si>
    <t>UNIVERSAL HEALTH RLTY INCOME</t>
  </si>
  <si>
    <t>UI</t>
  </si>
  <si>
    <t>UBIQUITI INC</t>
  </si>
  <si>
    <t>UIHC</t>
  </si>
  <si>
    <t>UNITED INSURANCE HOLDINGS CO</t>
  </si>
  <si>
    <t>UIS</t>
  </si>
  <si>
    <t>UNISYS CORP</t>
  </si>
  <si>
    <t>UITB</t>
  </si>
  <si>
    <t>VICTORYSHARES USAA CORE INTE</t>
  </si>
  <si>
    <t>UIVM</t>
  </si>
  <si>
    <t>VICTORYSHARES USAA MSCI INTE</t>
  </si>
  <si>
    <t>UJAN</t>
  </si>
  <si>
    <t>INNOVATOR S&amp;P 500 ULTRA-JAN</t>
  </si>
  <si>
    <t>UJB</t>
  </si>
  <si>
    <t>PROSHARES ULTRA HIGH YIELD</t>
  </si>
  <si>
    <t>UJPY</t>
  </si>
  <si>
    <t>UJUL</t>
  </si>
  <si>
    <t>INNOVATOR S&amp;P 500 ULTRA BUFF</t>
  </si>
  <si>
    <t>UJUN</t>
  </si>
  <si>
    <t>INNOVATOR S&amp;P 500 ULTRA JUNE</t>
  </si>
  <si>
    <t>UL</t>
  </si>
  <si>
    <t>UNILEVER PLC-SPONSORED ADR</t>
  </si>
  <si>
    <t>ULBI</t>
  </si>
  <si>
    <t>ULTRALIFE CORP</t>
  </si>
  <si>
    <t>ULE</t>
  </si>
  <si>
    <t>PROSHARES ULTRA EURO</t>
  </si>
  <si>
    <t>ULH</t>
  </si>
  <si>
    <t>UNIVERSAL LOGISTICS HOLDINGS</t>
  </si>
  <si>
    <t>ULST</t>
  </si>
  <si>
    <t>SPDR ULTRA SHORT-TERM BOND</t>
  </si>
  <si>
    <t>ULTA</t>
  </si>
  <si>
    <t>ULTA BEAUTY INC</t>
  </si>
  <si>
    <t>ULTR</t>
  </si>
  <si>
    <t>IQ ULTRA SHORT DURATION ETF</t>
  </si>
  <si>
    <t>ULVM</t>
  </si>
  <si>
    <t>VICTORYSHARES USAA MSCI USA</t>
  </si>
  <si>
    <t>UMAR</t>
  </si>
  <si>
    <t>UMAY</t>
  </si>
  <si>
    <t>INNOVATOR S&amp;P 500 U-BUFF MAY</t>
  </si>
  <si>
    <t>UMBF</t>
  </si>
  <si>
    <t>UMB FINANCIAL CORP</t>
  </si>
  <si>
    <t>UMC</t>
  </si>
  <si>
    <t>UNITED MICROELECTRON-SP ADR</t>
  </si>
  <si>
    <t>UMDD</t>
  </si>
  <si>
    <t>PROSHARES ULTRAPRO MIDCAP400</t>
  </si>
  <si>
    <t>UMH</t>
  </si>
  <si>
    <t>UMH PROPERTIES INC</t>
  </si>
  <si>
    <t>UMH-B</t>
  </si>
  <si>
    <t>UMH-C</t>
  </si>
  <si>
    <t>UMH-D</t>
  </si>
  <si>
    <t>UMPQ</t>
  </si>
  <si>
    <t>UMPQUA HOLDINGS CORP</t>
  </si>
  <si>
    <t>UMRX</t>
  </si>
  <si>
    <t>UNUM THERAPEUTICS INC</t>
  </si>
  <si>
    <t>UN</t>
  </si>
  <si>
    <t>UNILEVER N V  -NY SHARES</t>
  </si>
  <si>
    <t>UNAM</t>
  </si>
  <si>
    <t>UNICO AMERICAN CORP</t>
  </si>
  <si>
    <t>UNB</t>
  </si>
  <si>
    <t>UNION BANKSHARES INC /VT</t>
  </si>
  <si>
    <t>UNF</t>
  </si>
  <si>
    <t>UNIFIRST CORP/MA</t>
  </si>
  <si>
    <t>UNFI</t>
  </si>
  <si>
    <t>UNITED NATURAL FOODS INC</t>
  </si>
  <si>
    <t>UNG</t>
  </si>
  <si>
    <t>US NATURAL GAS FUND LP</t>
  </si>
  <si>
    <t>UNH</t>
  </si>
  <si>
    <t>UNITEDHEALTH GROUP INC</t>
  </si>
  <si>
    <t>UNIT</t>
  </si>
  <si>
    <t>UNITI GROUP INC</t>
  </si>
  <si>
    <t>UNL</t>
  </si>
  <si>
    <t>UNITED STATES 12 MONTH NATUR</t>
  </si>
  <si>
    <t>UNM</t>
  </si>
  <si>
    <t>UNUM GROUP</t>
  </si>
  <si>
    <t>UNMA</t>
  </si>
  <si>
    <t>UNOV</t>
  </si>
  <si>
    <t>INNOVATOR S&amp;P ULTRA BUFF-NOV</t>
  </si>
  <si>
    <t>UNP</t>
  </si>
  <si>
    <t>UNION PACIFIC CORP</t>
  </si>
  <si>
    <t>UNTY</t>
  </si>
  <si>
    <t>UNITY BANCORP INC</t>
  </si>
  <si>
    <t>UNVR</t>
  </si>
  <si>
    <t>UNIVAR SOLUTIONS INC</t>
  </si>
  <si>
    <t>UOCT</t>
  </si>
  <si>
    <t>INNOVATOR S&amp;P 500 ULTRA OCTO</t>
  </si>
  <si>
    <t>UONE</t>
  </si>
  <si>
    <t>URBAN ONE INC</t>
  </si>
  <si>
    <t>UONEK</t>
  </si>
  <si>
    <t>UPLD</t>
  </si>
  <si>
    <t>UPLAND SOFTWARE INC</t>
  </si>
  <si>
    <t>UPRO</t>
  </si>
  <si>
    <t>PROSHARES ULTRAPRO S&amp;P 500</t>
  </si>
  <si>
    <t>UPS</t>
  </si>
  <si>
    <t>UNITED PARCEL SERVICE-CL B</t>
  </si>
  <si>
    <t>UPV</t>
  </si>
  <si>
    <t>PROSHARES ULTRA FTSE EUROPE</t>
  </si>
  <si>
    <t>UPW</t>
  </si>
  <si>
    <t>PROSHARES ULTRA UTILITIES</t>
  </si>
  <si>
    <t>UPWK</t>
  </si>
  <si>
    <t>UPWORK INC</t>
  </si>
  <si>
    <t>URA</t>
  </si>
  <si>
    <t>GLOBAL X URANIUM ETF</t>
  </si>
  <si>
    <t>URBN</t>
  </si>
  <si>
    <t>URBAN OUTFITTERS INC</t>
  </si>
  <si>
    <t>URE</t>
  </si>
  <si>
    <t>PROSHARES ULTRA REAL ESTATE</t>
  </si>
  <si>
    <t>URG</t>
  </si>
  <si>
    <t>UR-ENERGY INC</t>
  </si>
  <si>
    <t>URGN</t>
  </si>
  <si>
    <t>UROGEN PHARMA LTD</t>
  </si>
  <si>
    <t>URI</t>
  </si>
  <si>
    <t>UNITED RENTALS INC</t>
  </si>
  <si>
    <t>URNM</t>
  </si>
  <si>
    <t>NORTHSHORE GLOBAL URANIUM MI</t>
  </si>
  <si>
    <t>UROV</t>
  </si>
  <si>
    <t>UROVANT SCIENCES LTD</t>
  </si>
  <si>
    <t>URTH</t>
  </si>
  <si>
    <t>ISHARES MSCI WORLD ETF</t>
  </si>
  <si>
    <t>URTY</t>
  </si>
  <si>
    <t>PROSHARES ULTRAPRO RUSS2000</t>
  </si>
  <si>
    <t>USA</t>
  </si>
  <si>
    <t>LIBERTY ALL STAR EQUITY FUND</t>
  </si>
  <si>
    <t>USAC</t>
  </si>
  <si>
    <t>USA COMPRESSION PARTNERS LP</t>
  </si>
  <si>
    <t>USAI</t>
  </si>
  <si>
    <t>PACER AMERICAN ENERGY INDEPE</t>
  </si>
  <si>
    <t>USAK</t>
  </si>
  <si>
    <t>USA TRUCK INC</t>
  </si>
  <si>
    <t>USAP</t>
  </si>
  <si>
    <t>UNIVERSAL STAINLESS &amp; ALLOY</t>
  </si>
  <si>
    <t>USAS</t>
  </si>
  <si>
    <t>AMERICAS GOLD AND SILVER COR</t>
  </si>
  <si>
    <t>USAU</t>
  </si>
  <si>
    <t>US GOLD CORP</t>
  </si>
  <si>
    <t>USB</t>
  </si>
  <si>
    <t>US BANCORP</t>
  </si>
  <si>
    <t>USB-A</t>
  </si>
  <si>
    <t>USB-H</t>
  </si>
  <si>
    <t>USB-M</t>
  </si>
  <si>
    <t>USB-O</t>
  </si>
  <si>
    <t>USB-P</t>
  </si>
  <si>
    <t>USCI</t>
  </si>
  <si>
    <t>UNITED STATES COMMODITY INDE</t>
  </si>
  <si>
    <t>USCR</t>
  </si>
  <si>
    <t>US CONCRETE INC</t>
  </si>
  <si>
    <t>USD</t>
  </si>
  <si>
    <t>PROSHARES ULTRA SEMICONDUCT</t>
  </si>
  <si>
    <t>USDP</t>
  </si>
  <si>
    <t>USD PARTNERS LP</t>
  </si>
  <si>
    <t>USDU</t>
  </si>
  <si>
    <t>WISDOMTREE BBG USD BULLISH</t>
  </si>
  <si>
    <t>USDY</t>
  </si>
  <si>
    <t>PACIFIC GLOBAL US EQUITY INC</t>
  </si>
  <si>
    <t>USEG</t>
  </si>
  <si>
    <t>U S ENERGY CORP - WYOMING</t>
  </si>
  <si>
    <t>USEP</t>
  </si>
  <si>
    <t>INNOVATOR SP500 ULTR BUF-SEP</t>
  </si>
  <si>
    <t>USEQ</t>
  </si>
  <si>
    <t>INVESCO RUSSELL 1000 ENHANCE</t>
  </si>
  <si>
    <t>USFD</t>
  </si>
  <si>
    <t>US FOODS HOLDING CORP</t>
  </si>
  <si>
    <t>USFR</t>
  </si>
  <si>
    <t>WISDOMTREE FLOATING RATE TRE</t>
  </si>
  <si>
    <t>USHG</t>
  </si>
  <si>
    <t>AGFIQ DYNAMIC HEDGED US EQTY</t>
  </si>
  <si>
    <t>USHY</t>
  </si>
  <si>
    <t>ISHARES BROAD USD HIGH YIELD</t>
  </si>
  <si>
    <t>USI</t>
  </si>
  <si>
    <t>PRINCIPAL ULTRA-SHORT ACTIVE</t>
  </si>
  <si>
    <t>USIG</t>
  </si>
  <si>
    <t>ISHARES BROAD USD INVESTMENT</t>
  </si>
  <si>
    <t>USIO</t>
  </si>
  <si>
    <t>USIO INC</t>
  </si>
  <si>
    <t>USL</t>
  </si>
  <si>
    <t>UNITED STATES 12 MONTH OIL</t>
  </si>
  <si>
    <t>USLB</t>
  </si>
  <si>
    <t>INVESCO RUSSELL 1000 LOW BET</t>
  </si>
  <si>
    <t>USLM</t>
  </si>
  <si>
    <t>UNITED STATES LIME &amp; MINERAL</t>
  </si>
  <si>
    <t>USM</t>
  </si>
  <si>
    <t>US CELLULAR CORP</t>
  </si>
  <si>
    <t>USMC</t>
  </si>
  <si>
    <t>PRINCIPAL US MEGACAP MF ETF</t>
  </si>
  <si>
    <t>USMF</t>
  </si>
  <si>
    <t>WISDOMTREE US MULTIFACTOR FU</t>
  </si>
  <si>
    <t>USMV</t>
  </si>
  <si>
    <t>ISHARES MSCI USA MIN VOL FAC</t>
  </si>
  <si>
    <t>USNA</t>
  </si>
  <si>
    <t>USANA HEALTH SCIENCES INC</t>
  </si>
  <si>
    <t>USO</t>
  </si>
  <si>
    <t>UNITED STATES OIL FUND LP</t>
  </si>
  <si>
    <t>USOI</t>
  </si>
  <si>
    <t>X-LINKS CRUDE OIL COV CALL</t>
  </si>
  <si>
    <t>USPH</t>
  </si>
  <si>
    <t>U.S. PHYSICAL THERAPY INC</t>
  </si>
  <si>
    <t>USRT</t>
  </si>
  <si>
    <t>ISHARES CORE US REIT ETF</t>
  </si>
  <si>
    <t>USSG</t>
  </si>
  <si>
    <t>XTRACKERS MSCI USA ESG LDRS</t>
  </si>
  <si>
    <t>UST</t>
  </si>
  <si>
    <t>PROSHARES ULTRA 7-10 YEAR TR</t>
  </si>
  <si>
    <t>USTB</t>
  </si>
  <si>
    <t>VICTORYSHARES USAA CORE SHOR</t>
  </si>
  <si>
    <t>USV</t>
  </si>
  <si>
    <t>ETRACS CMCI SILVER TR ETN</t>
  </si>
  <si>
    <t>USVM</t>
  </si>
  <si>
    <t>USWS</t>
  </si>
  <si>
    <t>US WELL SERVICES INC</t>
  </si>
  <si>
    <t>USWSW</t>
  </si>
  <si>
    <t>USX</t>
  </si>
  <si>
    <t>US XPRESS ENTERPRISES INC -A</t>
  </si>
  <si>
    <t>USXF</t>
  </si>
  <si>
    <t>ISHARES ESG ADVANCE MSCI USA</t>
  </si>
  <si>
    <t>UTES</t>
  </si>
  <si>
    <t>VIRTUS REAVES UTILITIES ETF</t>
  </si>
  <si>
    <t>UTF</t>
  </si>
  <si>
    <t>COHEN &amp; STEERS INFRASTRUCTUR</t>
  </si>
  <si>
    <t>UTG</t>
  </si>
  <si>
    <t>REAVES UTILITY INCOME FUND</t>
  </si>
  <si>
    <t>UTHR</t>
  </si>
  <si>
    <t>UNITED THERAPEUTICS CORP</t>
  </si>
  <si>
    <t>UTI</t>
  </si>
  <si>
    <t>UNIVERSAL TECHNICAL INSTITUT</t>
  </si>
  <si>
    <t>UTL</t>
  </si>
  <si>
    <t>UNITIL CORP</t>
  </si>
  <si>
    <t>UTMD</t>
  </si>
  <si>
    <t>UTAH MEDICAL PRODUCTS INC</t>
  </si>
  <si>
    <t>UTRN</t>
  </si>
  <si>
    <t>VESPER US LARGE CAP SHORT TE</t>
  </si>
  <si>
    <t>UTSI</t>
  </si>
  <si>
    <t>UTSTARCOM HOLDINGS CORP</t>
  </si>
  <si>
    <t>UTSL</t>
  </si>
  <si>
    <t>DRX DLY UTILITIES BULL 3X</t>
  </si>
  <si>
    <t>UTZ</t>
  </si>
  <si>
    <t>UTZ BRANDS INC</t>
  </si>
  <si>
    <t>UTZ+</t>
  </si>
  <si>
    <t>UUP</t>
  </si>
  <si>
    <t>UUU</t>
  </si>
  <si>
    <t>UNIVERSAL SECURITY INSTRUMNT</t>
  </si>
  <si>
    <t>UUUU</t>
  </si>
  <si>
    <t>ENERGY FUELS INC</t>
  </si>
  <si>
    <t>UUUU+</t>
  </si>
  <si>
    <t>UVE</t>
  </si>
  <si>
    <t>UNIVERSAL INSURANCE HOLDINGS</t>
  </si>
  <si>
    <t>UVSP</t>
  </si>
  <si>
    <t>UNIVEST FINANCIAL CORP</t>
  </si>
  <si>
    <t>UVV</t>
  </si>
  <si>
    <t>UNIVERSAL CORP/VA</t>
  </si>
  <si>
    <t>UVXY</t>
  </si>
  <si>
    <t>PROSHARES ULTRA VIX ST FUTUR</t>
  </si>
  <si>
    <t>UWM</t>
  </si>
  <si>
    <t>PROSHARES ULTRA RUSSELL2000</t>
  </si>
  <si>
    <t>UXI</t>
  </si>
  <si>
    <t>PROSHARES ULTRA INDUSTRIALS</t>
  </si>
  <si>
    <t>UXIN</t>
  </si>
  <si>
    <t>UXIN LTD - ADR</t>
  </si>
  <si>
    <t>UYG</t>
  </si>
  <si>
    <t>PROSHARES ULTRA FINANCIALS</t>
  </si>
  <si>
    <t>UYM</t>
  </si>
  <si>
    <t>PROSHARES ULTRA BASIC MATERI</t>
  </si>
  <si>
    <t>UZA</t>
  </si>
  <si>
    <t>UZB</t>
  </si>
  <si>
    <t>UZC</t>
  </si>
  <si>
    <t>UZD</t>
  </si>
  <si>
    <t>V</t>
  </si>
  <si>
    <t>VISA INC-CLASS A SHARES</t>
  </si>
  <si>
    <t>VAC</t>
  </si>
  <si>
    <t>MARRIOTT VACATIONS WORLD</t>
  </si>
  <si>
    <t>VALE</t>
  </si>
  <si>
    <t>VALE SA-SP ADR</t>
  </si>
  <si>
    <t>VALQ</t>
  </si>
  <si>
    <t>AMERICAN CENTURY STOXX US</t>
  </si>
  <si>
    <t>VALT</t>
  </si>
  <si>
    <t>ETFMG SIT ULTRA SHORT ETF</t>
  </si>
  <si>
    <t>VALU</t>
  </si>
  <si>
    <t>VALUE LINE INC</t>
  </si>
  <si>
    <t>VAMO</t>
  </si>
  <si>
    <t>CAMBRIA VALUE &amp; MOMENTUM ETF</t>
  </si>
  <si>
    <t>VAPO</t>
  </si>
  <si>
    <t>VAPOTHERM INC</t>
  </si>
  <si>
    <t>VAR</t>
  </si>
  <si>
    <t>VARIAN MEDICAL SYSTEMS INC</t>
  </si>
  <si>
    <t>VAW</t>
  </si>
  <si>
    <t>VANGUARD MATERIALS ETF</t>
  </si>
  <si>
    <t>VB</t>
  </si>
  <si>
    <t>VANGUARD SMALL-CAP ETF</t>
  </si>
  <si>
    <t>VBF</t>
  </si>
  <si>
    <t>INVESCO BOND FUND</t>
  </si>
  <si>
    <t>VBFC</t>
  </si>
  <si>
    <t>VILLAGE BANK AND TRUST FINAN</t>
  </si>
  <si>
    <t>VBIV</t>
  </si>
  <si>
    <t>VBI VACCINES INC</t>
  </si>
  <si>
    <t>VBK</t>
  </si>
  <si>
    <t>VANGUARD SMALL-CAP GRWTH ETF</t>
  </si>
  <si>
    <t>VBLT</t>
  </si>
  <si>
    <t>VASCULAR BIOGENICS LTD</t>
  </si>
  <si>
    <t>VBND</t>
  </si>
  <si>
    <t>VIDENT CORE US BOND STRATEGY</t>
  </si>
  <si>
    <t>VBR</t>
  </si>
  <si>
    <t>VANGUARD SMALL-CAP VALUE ETF</t>
  </si>
  <si>
    <t>VBTX</t>
  </si>
  <si>
    <t>VERITEX HOLDINGS INC</t>
  </si>
  <si>
    <t>VC</t>
  </si>
  <si>
    <t>VISTEON CORP</t>
  </si>
  <si>
    <t>VCEL</t>
  </si>
  <si>
    <t>VERICEL CORP</t>
  </si>
  <si>
    <t>VCF</t>
  </si>
  <si>
    <t>DELAWARE INV CO MUNI INC FD</t>
  </si>
  <si>
    <t>VCIF</t>
  </si>
  <si>
    <t>VERTICAL CAPITAL INCOME</t>
  </si>
  <si>
    <t>VCIT</t>
  </si>
  <si>
    <t>VANGUARD INT-TERM CORPORATE</t>
  </si>
  <si>
    <t>VCLT</t>
  </si>
  <si>
    <t>VANGUARD LONG-TERM CORP BOND</t>
  </si>
  <si>
    <t>VCNX</t>
  </si>
  <si>
    <t>VACCINEX INC</t>
  </si>
  <si>
    <t>VCR</t>
  </si>
  <si>
    <t>VANGUARD CONSUMER DISCRE ETF</t>
  </si>
  <si>
    <t>VCRA</t>
  </si>
  <si>
    <t>VOCERA COMMUNICATIONS INC</t>
  </si>
  <si>
    <t>VCSH</t>
  </si>
  <si>
    <t>VANGUARD S/T CORP BOND ETF</t>
  </si>
  <si>
    <t>VCTR</t>
  </si>
  <si>
    <t>VICTORY CAPITAL HOLDING - A</t>
  </si>
  <si>
    <t>VCV</t>
  </si>
  <si>
    <t>INVESCO CA V M I</t>
  </si>
  <si>
    <t>VCYT</t>
  </si>
  <si>
    <t>VERACYTE INC</t>
  </si>
  <si>
    <t>VDC</t>
  </si>
  <si>
    <t>VANGUARD CONSUMER STAPLE ETF</t>
  </si>
  <si>
    <t>VDE</t>
  </si>
  <si>
    <t>VANGUARD ENERGY ETF</t>
  </si>
  <si>
    <t>VEA</t>
  </si>
  <si>
    <t>VANGUARD FTSE DEVELOPED ETF</t>
  </si>
  <si>
    <t>VEC</t>
  </si>
  <si>
    <t>VECTRUS INC</t>
  </si>
  <si>
    <t>VECO</t>
  </si>
  <si>
    <t>VEECO INSTRUMENTS INC</t>
  </si>
  <si>
    <t>VEDL</t>
  </si>
  <si>
    <t>VEDANTA LTD-ADR</t>
  </si>
  <si>
    <t>VEEV</t>
  </si>
  <si>
    <t>VEEVA SYSTEMS INC-CLASS A</t>
  </si>
  <si>
    <t>VEGA</t>
  </si>
  <si>
    <t>ADVSHRS STAR GBL BUY-WRITE</t>
  </si>
  <si>
    <t>VEGI</t>
  </si>
  <si>
    <t>ISHARES MSCI GLOBAL AGRICULT</t>
  </si>
  <si>
    <t>VEGN</t>
  </si>
  <si>
    <t>US VEGAN CLIMATE ETF</t>
  </si>
  <si>
    <t>VEL</t>
  </si>
  <si>
    <t>VELOCITY FINANCIAL INC</t>
  </si>
  <si>
    <t>VEON</t>
  </si>
  <si>
    <t>VEON LTD</t>
  </si>
  <si>
    <t>VER</t>
  </si>
  <si>
    <t>VEREIT INC</t>
  </si>
  <si>
    <t>VER-F</t>
  </si>
  <si>
    <t>VERB</t>
  </si>
  <si>
    <t>VERB TECHNOLOGY CO INC</t>
  </si>
  <si>
    <t>VERBW</t>
  </si>
  <si>
    <t>VERI</t>
  </si>
  <si>
    <t>VERITONE INC</t>
  </si>
  <si>
    <t>VERO</t>
  </si>
  <si>
    <t>VENUS CONCEPT INC</t>
  </si>
  <si>
    <t>VERT=</t>
  </si>
  <si>
    <t>VERTIV HOLDINGS LLC</t>
  </si>
  <si>
    <t>VERU</t>
  </si>
  <si>
    <t>VERU INC</t>
  </si>
  <si>
    <t>VERX</t>
  </si>
  <si>
    <t>VERTEX INC - CLASS A</t>
  </si>
  <si>
    <t>VERY</t>
  </si>
  <si>
    <t>VERICITY INC</t>
  </si>
  <si>
    <t>VET</t>
  </si>
  <si>
    <t>VERMILION ENERGY INC</t>
  </si>
  <si>
    <t>VETS</t>
  </si>
  <si>
    <t>PACER MILITARY TIMES BES ETF</t>
  </si>
  <si>
    <t>VEU</t>
  </si>
  <si>
    <t>VANGUARD FTSE ALL-WORLD EX-U</t>
  </si>
  <si>
    <t>VFC</t>
  </si>
  <si>
    <t>VF CORP</t>
  </si>
  <si>
    <t>VFF</t>
  </si>
  <si>
    <t>VILLAGE FARMS INTERNATIONAL</t>
  </si>
  <si>
    <t>VFH</t>
  </si>
  <si>
    <t>VANGUARD FINANCIALS ETF</t>
  </si>
  <si>
    <t>VFL</t>
  </si>
  <si>
    <t>DELAWARE INV NATL MUNI INC F</t>
  </si>
  <si>
    <t>VFLQ</t>
  </si>
  <si>
    <t>VANGUARD US LIQUIDITY FACTOR</t>
  </si>
  <si>
    <t>VFMF</t>
  </si>
  <si>
    <t>VANGUARD US MULTIFACTOR ETF</t>
  </si>
  <si>
    <t>VFMO</t>
  </si>
  <si>
    <t>VANGUARD US MOMENTUM FACTOR</t>
  </si>
  <si>
    <t>VFMV</t>
  </si>
  <si>
    <t>VANGUARD US MINIMUM VOLATILI</t>
  </si>
  <si>
    <t>VFQY</t>
  </si>
  <si>
    <t>VANGUARD U.S. QUALITY FACTOR</t>
  </si>
  <si>
    <t>VFVA</t>
  </si>
  <si>
    <t>VANGUARD U.S. VALUE FACTOR</t>
  </si>
  <si>
    <t>VG</t>
  </si>
  <si>
    <t>VONAGE HOLDINGS CORP</t>
  </si>
  <si>
    <t>VGI</t>
  </si>
  <si>
    <t>VIRTUS GLOBAL MULTI-SECTOR</t>
  </si>
  <si>
    <t>VGIT</t>
  </si>
  <si>
    <t>VANGUARD INTERMEDIATE-TERM T</t>
  </si>
  <si>
    <t>VGK</t>
  </si>
  <si>
    <t>VANGUARD FTSE EUROPE ETF</t>
  </si>
  <si>
    <t>VGLT</t>
  </si>
  <si>
    <t>VANGUARD LONG-TERM TREASURY</t>
  </si>
  <si>
    <t>VGM</t>
  </si>
  <si>
    <t>INVESCO TRUST FOR INVESTMEN</t>
  </si>
  <si>
    <t>VGR</t>
  </si>
  <si>
    <t>VECTOR GROUP LTD</t>
  </si>
  <si>
    <t>VGSH</t>
  </si>
  <si>
    <t>VANGUARD SHORT-TERM TREASURY</t>
  </si>
  <si>
    <t>VGT</t>
  </si>
  <si>
    <t>VANGUARD INFO TECH ETF</t>
  </si>
  <si>
    <t>VGZ</t>
  </si>
  <si>
    <t>VISTA GOLD CORP</t>
  </si>
  <si>
    <t>VHC</t>
  </si>
  <si>
    <t>VIRNETX HOLDING CORP</t>
  </si>
  <si>
    <t>VHI</t>
  </si>
  <si>
    <t>VALHI INC</t>
  </si>
  <si>
    <t>VHT</t>
  </si>
  <si>
    <t>VANGUARD HEALTH CARE ETF</t>
  </si>
  <si>
    <t>VIAC</t>
  </si>
  <si>
    <t>VIACOMCBS INC - CLASS B</t>
  </si>
  <si>
    <t>VIACA</t>
  </si>
  <si>
    <t>VIACOMCBS INC - CLASS A</t>
  </si>
  <si>
    <t>VIAV</t>
  </si>
  <si>
    <t>VIAVI SOLUTIONS INC</t>
  </si>
  <si>
    <t>VICI</t>
  </si>
  <si>
    <t>VICI PROPERTIES INC</t>
  </si>
  <si>
    <t>VICR</t>
  </si>
  <si>
    <t>VICOR CORP</t>
  </si>
  <si>
    <t>VIDI</t>
  </si>
  <si>
    <t>VIDENT INTERNATIONAL EQUITY</t>
  </si>
  <si>
    <t>VIE</t>
  </si>
  <si>
    <t>VIELA BIO INC</t>
  </si>
  <si>
    <t>VIG</t>
  </si>
  <si>
    <t>VANGUARD DIVIDEND APPREC ETF</t>
  </si>
  <si>
    <t>VIGI</t>
  </si>
  <si>
    <t>VANGUARD INT DIV APP INDX FD</t>
  </si>
  <si>
    <t>VIOG</t>
  </si>
  <si>
    <t>VANGUARD S&amp;P SMALL-CAP 600 G</t>
  </si>
  <si>
    <t>VIOO</t>
  </si>
  <si>
    <t>VANGUARD S&amp;P SMALL-CAP 600 E</t>
  </si>
  <si>
    <t>VIOT</t>
  </si>
  <si>
    <t>VIOMI TECHNOLOGY CO LTD-ADR</t>
  </si>
  <si>
    <t>VIOV</t>
  </si>
  <si>
    <t>VANGUARD S&amp;P SMALL-CAP 600 V</t>
  </si>
  <si>
    <t>VIPS</t>
  </si>
  <si>
    <t>VIPSHOP HOLDINGS LTD - ADR</t>
  </si>
  <si>
    <t>VIR</t>
  </si>
  <si>
    <t>VIR BIOTECHNOLOGY INC</t>
  </si>
  <si>
    <t>VIRC</t>
  </si>
  <si>
    <t>VIRCO MFG CORPORATION</t>
  </si>
  <si>
    <t>VIRS</t>
  </si>
  <si>
    <t>PACER BIOTHREAT ETF</t>
  </si>
  <si>
    <t>VIRT</t>
  </si>
  <si>
    <t>VIRTU FINANCIAL INC-CLASS A</t>
  </si>
  <si>
    <t>VIS</t>
  </si>
  <si>
    <t>VANGUARD INDUSTRIALS ETF</t>
  </si>
  <si>
    <t>VISL</t>
  </si>
  <si>
    <t>VISLINK TECHNOLOGIES INC</t>
  </si>
  <si>
    <t>VIST</t>
  </si>
  <si>
    <t>VISTA OIL &amp; GAS SAB DE CV</t>
  </si>
  <si>
    <t>VITL</t>
  </si>
  <si>
    <t>VITAL FARMS INC</t>
  </si>
  <si>
    <t>VIV</t>
  </si>
  <si>
    <t>TELEFONICA BRASIL-ADR PREF</t>
  </si>
  <si>
    <t>VIVE</t>
  </si>
  <si>
    <t>VIVEVE MEDICAL INC</t>
  </si>
  <si>
    <t>VIVO</t>
  </si>
  <si>
    <t>MERIDIAN BIOSCIENCE INC</t>
  </si>
  <si>
    <t>VIXM</t>
  </si>
  <si>
    <t>PROSHARES VIX MID-TERM FUT</t>
  </si>
  <si>
    <t>VIXY</t>
  </si>
  <si>
    <t>PROSHARES VIX SHORT-TERM FUT</t>
  </si>
  <si>
    <t>VJET</t>
  </si>
  <si>
    <t>VOXELJET AG-ADR</t>
  </si>
  <si>
    <t>VKI</t>
  </si>
  <si>
    <t>INVESCO AD MIT II</t>
  </si>
  <si>
    <t>VKQ</t>
  </si>
  <si>
    <t>INVESCO MUNICIPAL TRUST</t>
  </si>
  <si>
    <t>VKTX</t>
  </si>
  <si>
    <t>VIKING THERAPEUTICS INC</t>
  </si>
  <si>
    <t>VKTXW</t>
  </si>
  <si>
    <t>VLGEA</t>
  </si>
  <si>
    <t>VILLAGE SUPER MARKET-CLASS A</t>
  </si>
  <si>
    <t>VLO</t>
  </si>
  <si>
    <t>VALERO ENERGY CORP</t>
  </si>
  <si>
    <t>VLRS</t>
  </si>
  <si>
    <t>CONTROLADORA VUELA CIA-ADR</t>
  </si>
  <si>
    <t>VLT</t>
  </si>
  <si>
    <t>INVESCO HIGH INCOME TRUST II</t>
  </si>
  <si>
    <t>VLU</t>
  </si>
  <si>
    <t>SPDR S&amp;P 1500 VALUE TILT ETF</t>
  </si>
  <si>
    <t>VLUE</t>
  </si>
  <si>
    <t>ISHARES MSCI USA VALUE FACTO</t>
  </si>
  <si>
    <t>VLY</t>
  </si>
  <si>
    <t>VALLEY NATIONAL BANCORP</t>
  </si>
  <si>
    <t>VLYPO</t>
  </si>
  <si>
    <t>VLYPP</t>
  </si>
  <si>
    <t>VMAC</t>
  </si>
  <si>
    <t>VISTAS MEDIA ACQUISITION C-A</t>
  </si>
  <si>
    <t>VMACU</t>
  </si>
  <si>
    <t>VISTAS MEDIA ACQUISITION CO</t>
  </si>
  <si>
    <t>VMACW</t>
  </si>
  <si>
    <t>VMBS</t>
  </si>
  <si>
    <t>VANGUARD MORTGAGE-BACKED SEC</t>
  </si>
  <si>
    <t>VMC</t>
  </si>
  <si>
    <t>VULCAN MATERIALS CO</t>
  </si>
  <si>
    <t>VMD</t>
  </si>
  <si>
    <t>VIEMED HEALTHCARE INC</t>
  </si>
  <si>
    <t>VMI</t>
  </si>
  <si>
    <t>VALMONT INDUSTRIES</t>
  </si>
  <si>
    <t>VMM</t>
  </si>
  <si>
    <t>DELAWARE INV MINN MUNI II</t>
  </si>
  <si>
    <t>VMO</t>
  </si>
  <si>
    <t>INVESCO MUNICIPAL OPPORTUNI</t>
  </si>
  <si>
    <t>VMOT</t>
  </si>
  <si>
    <t>ALPHA VALUE MOM TREND ETF</t>
  </si>
  <si>
    <t>VMW</t>
  </si>
  <si>
    <t>VMWARE INC-CLASS A</t>
  </si>
  <si>
    <t>VNCE</t>
  </si>
  <si>
    <t>VINCE HOLDING CORP</t>
  </si>
  <si>
    <t>VNDA</t>
  </si>
  <si>
    <t>VANDA PHARMACEUTICALS INC</t>
  </si>
  <si>
    <t>VNE</t>
  </si>
  <si>
    <t>VEONEER INC</t>
  </si>
  <si>
    <t>VNET</t>
  </si>
  <si>
    <t>21VIANET GROUP INC-ADR</t>
  </si>
  <si>
    <t>VNLA</t>
  </si>
  <si>
    <t>JANUS HENDERSON SHORT DURATI</t>
  </si>
  <si>
    <t>VNM</t>
  </si>
  <si>
    <t>VANECK VIETNAM ETF</t>
  </si>
  <si>
    <t>VNO</t>
  </si>
  <si>
    <t>VORNADO REALTY TRUST</t>
  </si>
  <si>
    <t>VNO-K</t>
  </si>
  <si>
    <t>VNO-L</t>
  </si>
  <si>
    <t>VNO-M</t>
  </si>
  <si>
    <t>VNOM</t>
  </si>
  <si>
    <t>VIPER ENERGY PARTNERS LP</t>
  </si>
  <si>
    <t>VNQ</t>
  </si>
  <si>
    <t>VANGUARD REAL ESTATE ETF</t>
  </si>
  <si>
    <t>VNQI</t>
  </si>
  <si>
    <t>VANGUARD GLBL EX-US REAL EST</t>
  </si>
  <si>
    <t>VNRX</t>
  </si>
  <si>
    <t>VOLITIONRX LTD</t>
  </si>
  <si>
    <t>VNTR</t>
  </si>
  <si>
    <t>VENATOR MATERIALS PLC</t>
  </si>
  <si>
    <t>VO</t>
  </si>
  <si>
    <t>VANGUARD MID-CAP ETF</t>
  </si>
  <si>
    <t>VOC</t>
  </si>
  <si>
    <t>VOC ENERGY TRUST</t>
  </si>
  <si>
    <t>VOD</t>
  </si>
  <si>
    <t>VODAFONE GROUP PLC-SP ADR</t>
  </si>
  <si>
    <t>VOE</t>
  </si>
  <si>
    <t>VANGUARD MID-CAP VALUE ETF</t>
  </si>
  <si>
    <t>VOLT</t>
  </si>
  <si>
    <t>VOLT INFO SCIENCES INC</t>
  </si>
  <si>
    <t>VONE</t>
  </si>
  <si>
    <t>VANGUARD RUSSELL 1000</t>
  </si>
  <si>
    <t>VONG</t>
  </si>
  <si>
    <t>VANGUARD RUSSELL 1000 GROWTH</t>
  </si>
  <si>
    <t>VONV</t>
  </si>
  <si>
    <t>VANGUARD RUSSELL 1000 VALUE</t>
  </si>
  <si>
    <t>VOO</t>
  </si>
  <si>
    <t>VANGUARD S&amp;P 500 ETF</t>
  </si>
  <si>
    <t>VOOG</t>
  </si>
  <si>
    <t>VANGUARD S&amp;P 500 GROWTH ETF</t>
  </si>
  <si>
    <t>VOOV</t>
  </si>
  <si>
    <t>VANGUARD S&amp;P 500 VALUE ETF</t>
  </si>
  <si>
    <t>VOT</t>
  </si>
  <si>
    <t>VANGUARD MID-CAP GROWTH ETF</t>
  </si>
  <si>
    <t>VOX</t>
  </si>
  <si>
    <t>VANGUARD COMMUNICATION SERVI</t>
  </si>
  <si>
    <t>VOXX</t>
  </si>
  <si>
    <t>VOXX INTERNATIONAL CORP</t>
  </si>
  <si>
    <t>VOYA</t>
  </si>
  <si>
    <t>VOYA FINANCIAL INC</t>
  </si>
  <si>
    <t>VOYA-B</t>
  </si>
  <si>
    <t>VPC</t>
  </si>
  <si>
    <t>VIRTUS PRIVATE CREDIT STRATE</t>
  </si>
  <si>
    <t>VPG</t>
  </si>
  <si>
    <t>VISHAY PRECISION GROUP</t>
  </si>
  <si>
    <t>VPL</t>
  </si>
  <si>
    <t>VANGUARD FTSE PACIFIC ETF</t>
  </si>
  <si>
    <t>VPU</t>
  </si>
  <si>
    <t>VANGUARD UTILITIES ETF</t>
  </si>
  <si>
    <t>VPV</t>
  </si>
  <si>
    <t>INVESCO PENNSYLVANIA VALUE M</t>
  </si>
  <si>
    <t>VRA</t>
  </si>
  <si>
    <t>VERA BRADLEY INC</t>
  </si>
  <si>
    <t>VRAI</t>
  </si>
  <si>
    <t>VIRTUS REAL ASSET INCOME ETF</t>
  </si>
  <si>
    <t>VRAY</t>
  </si>
  <si>
    <t>VIEWRAY INC</t>
  </si>
  <si>
    <t>VRCA</t>
  </si>
  <si>
    <t>VERRICA PHARMACEUTICALS INC</t>
  </si>
  <si>
    <t>VREX</t>
  </si>
  <si>
    <t>VAREX IMAGING CORP</t>
  </si>
  <si>
    <t>VRIG</t>
  </si>
  <si>
    <t>INVESCO VARIABLE RATE INVEST</t>
  </si>
  <si>
    <t>VRM</t>
  </si>
  <si>
    <t>VROOM INC</t>
  </si>
  <si>
    <t>VRME</t>
  </si>
  <si>
    <t>VERIFYME INC</t>
  </si>
  <si>
    <t>VRMEW</t>
  </si>
  <si>
    <t>VRNA</t>
  </si>
  <si>
    <t>VERONA PHARMA PLC - ADR</t>
  </si>
  <si>
    <t>VRNS</t>
  </si>
  <si>
    <t>VARONIS SYSTEMS INC</t>
  </si>
  <si>
    <t>VRNT</t>
  </si>
  <si>
    <t>VERINT SYSTEMS INC</t>
  </si>
  <si>
    <t>VRP</t>
  </si>
  <si>
    <t>INVESCO VARIABLE RATE PREFER</t>
  </si>
  <si>
    <t>VRRM</t>
  </si>
  <si>
    <t>VERRA MOBILITY CORP</t>
  </si>
  <si>
    <t>VRS</t>
  </si>
  <si>
    <t>VERSO CORP - A</t>
  </si>
  <si>
    <t>VRSK</t>
  </si>
  <si>
    <t>VERISK ANALYTICS INC</t>
  </si>
  <si>
    <t>VRSN</t>
  </si>
  <si>
    <t>VERISIGN INC</t>
  </si>
  <si>
    <t>VRT</t>
  </si>
  <si>
    <t>VERTIV HOLDINGS CO</t>
  </si>
  <si>
    <t>VRT+</t>
  </si>
  <si>
    <t>VRTS</t>
  </si>
  <si>
    <t>VIRTUS INVESTMENT PARTNERS</t>
  </si>
  <si>
    <t>VRTU</t>
  </si>
  <si>
    <t>VIRTUSA CORP</t>
  </si>
  <si>
    <t>VRTV</t>
  </si>
  <si>
    <t>VERITIV CORP</t>
  </si>
  <si>
    <t>VRTX</t>
  </si>
  <si>
    <t>VERTEX PHARMACEUTICALS INC</t>
  </si>
  <si>
    <t>VSAT</t>
  </si>
  <si>
    <t>VIASAT INC</t>
  </si>
  <si>
    <t>VSDA</t>
  </si>
  <si>
    <t>VICTORYSHARES DIVIDEND ACCEL</t>
  </si>
  <si>
    <t>VSEC</t>
  </si>
  <si>
    <t>VSE CORP</t>
  </si>
  <si>
    <t>VSGX</t>
  </si>
  <si>
    <t>VANGUARD ESG INTL STOCK ETF</t>
  </si>
  <si>
    <t>VSH</t>
  </si>
  <si>
    <t>VISHAY INTERTECHNOLOGY INC</t>
  </si>
  <si>
    <t>VSL</t>
  </si>
  <si>
    <t>VOLSHARES LARGE CAP ETF</t>
  </si>
  <si>
    <t>VSLR</t>
  </si>
  <si>
    <t>VIVINT SOLAR INC</t>
  </si>
  <si>
    <t>VSMV</t>
  </si>
  <si>
    <t>VICTORYSHARES US MIN VOL ETF</t>
  </si>
  <si>
    <t>VSS</t>
  </si>
  <si>
    <t>VANGUARD FTSE ALL WO X-US SC</t>
  </si>
  <si>
    <t>VST</t>
  </si>
  <si>
    <t>VISTRA CORP</t>
  </si>
  <si>
    <t>VST+A</t>
  </si>
  <si>
    <t>VSTA</t>
  </si>
  <si>
    <t>VASTA PLATFORM LTD</t>
  </si>
  <si>
    <t>VSTM</t>
  </si>
  <si>
    <t>VERASTEM INC</t>
  </si>
  <si>
    <t>VSTO</t>
  </si>
  <si>
    <t>VISTA OUTDOOR INC</t>
  </si>
  <si>
    <t>VT</t>
  </si>
  <si>
    <t>VANGUARD TOT WORLD STK ETF</t>
  </si>
  <si>
    <t>VTA</t>
  </si>
  <si>
    <t>INVESCO DYNAMIC CREDIT OPP</t>
  </si>
  <si>
    <t>VTC</t>
  </si>
  <si>
    <t>VANGUARD TOTAL CORPORATE BND</t>
  </si>
  <si>
    <t>VTEB</t>
  </si>
  <si>
    <t>VANGUARD TAX-EXEMPT BOND ETF</t>
  </si>
  <si>
    <t>VTGN</t>
  </si>
  <si>
    <t>VISTAGEN THERAPEUTICS INC</t>
  </si>
  <si>
    <t>VTHR</t>
  </si>
  <si>
    <t>VANGUARD RUSSELL 3000</t>
  </si>
  <si>
    <t>VTI</t>
  </si>
  <si>
    <t>VANGUARD TOTAL STOCK MKT ETF</t>
  </si>
  <si>
    <t>VTIP</t>
  </si>
  <si>
    <t>VANGUARD SHORT-TERM TIPS</t>
  </si>
  <si>
    <t>VTN</t>
  </si>
  <si>
    <t>INVESCO TRUST FOR INVESTMENT</t>
  </si>
  <si>
    <t>VTNR</t>
  </si>
  <si>
    <t>VERTEX ENERGY INC</t>
  </si>
  <si>
    <t>VTOL</t>
  </si>
  <si>
    <t>BRISTOW GROUP INC</t>
  </si>
  <si>
    <t>VTR</t>
  </si>
  <si>
    <t>VENTAS INC</t>
  </si>
  <si>
    <t>VTSI</t>
  </si>
  <si>
    <t>VIRTRA INC</t>
  </si>
  <si>
    <t>VTV</t>
  </si>
  <si>
    <t>VANGUARD VALUE ETF</t>
  </si>
  <si>
    <t>VTVT</t>
  </si>
  <si>
    <t>VTV THERAPEUTICS INC- CL A</t>
  </si>
  <si>
    <t>VTWG</t>
  </si>
  <si>
    <t>VANGUARD RUSSELL 2000 GROWTH</t>
  </si>
  <si>
    <t>VTWO</t>
  </si>
  <si>
    <t>VANGUARD RUSSELL 2000 ETF</t>
  </si>
  <si>
    <t>VTWV</t>
  </si>
  <si>
    <t>VANGUARD RUSSELL 2000 VALUE</t>
  </si>
  <si>
    <t>VUG</t>
  </si>
  <si>
    <t>VANGUARD GROWTH ETF</t>
  </si>
  <si>
    <t>VUSE</t>
  </si>
  <si>
    <t>VIDENT CORE US EQUITY ETF</t>
  </si>
  <si>
    <t>VUZI</t>
  </si>
  <si>
    <t>VUZIX CORP</t>
  </si>
  <si>
    <t>VV</t>
  </si>
  <si>
    <t>VANGUARD LARGE-CAP ETF</t>
  </si>
  <si>
    <t>VVI</t>
  </si>
  <si>
    <t>VIAD CORP</t>
  </si>
  <si>
    <t>VVNT</t>
  </si>
  <si>
    <t>VIVINT SMART HOME INC</t>
  </si>
  <si>
    <t>VVNT+</t>
  </si>
  <si>
    <t>VVPR</t>
  </si>
  <si>
    <t>VIVOPOWER INTERNATIONAL PLC</t>
  </si>
  <si>
    <t>VVR</t>
  </si>
  <si>
    <t>INVESCO SENIOR INCOME TRUST</t>
  </si>
  <si>
    <t>VVV</t>
  </si>
  <si>
    <t>VALVOLINE INC</t>
  </si>
  <si>
    <t>VWID</t>
  </si>
  <si>
    <t>VIRTUS WMC INTERNATIONAL DIV</t>
  </si>
  <si>
    <t>VWO</t>
  </si>
  <si>
    <t>VANGUARD FTSE EMERGING MARKE</t>
  </si>
  <si>
    <t>VWOB</t>
  </si>
  <si>
    <t>VANGUARD EMERG MKTS GOV BND</t>
  </si>
  <si>
    <t>VXF</t>
  </si>
  <si>
    <t>VANGUARD EXTENDED MARKET ETF</t>
  </si>
  <si>
    <t>VXRT</t>
  </si>
  <si>
    <t>VAXART INC</t>
  </si>
  <si>
    <t>VXUS</t>
  </si>
  <si>
    <t>VANGUARD TOTAL INTL STOCK</t>
  </si>
  <si>
    <t>VXX</t>
  </si>
  <si>
    <t>IPATH SERIES B S&amp;P 500 VIX</t>
  </si>
  <si>
    <t>VXZ</t>
  </si>
  <si>
    <t>IPATH SER B S&amp;P 500 VIX M/T</t>
  </si>
  <si>
    <t>VYGR</t>
  </si>
  <si>
    <t>VOYAGER THERAPEUTICS INC</t>
  </si>
  <si>
    <t>VYM</t>
  </si>
  <si>
    <t>VANGUARD HIGH DVD YIELD ETF</t>
  </si>
  <si>
    <t>VYMI</t>
  </si>
  <si>
    <t>VANGUARD INT HIGH DVD YLD IN</t>
  </si>
  <si>
    <t>VYNE</t>
  </si>
  <si>
    <t>MENLO THERAPEUTICS INC</t>
  </si>
  <si>
    <t>VZ</t>
  </si>
  <si>
    <t>VERIZON COMMUNICATIONS INC</t>
  </si>
  <si>
    <t>W</t>
  </si>
  <si>
    <t>WAYFAIR INC- CLASS A</t>
  </si>
  <si>
    <t>WAB</t>
  </si>
  <si>
    <t>WABTEC CORP</t>
  </si>
  <si>
    <t>WABC</t>
  </si>
  <si>
    <t>WESTAMERICA BANCORPORATION</t>
  </si>
  <si>
    <t>WAFD</t>
  </si>
  <si>
    <t>WASHINGTON FEDERAL INC</t>
  </si>
  <si>
    <t>WAFU</t>
  </si>
  <si>
    <t>WAH FU EDUCATION GROUP LTD</t>
  </si>
  <si>
    <t>WAL</t>
  </si>
  <si>
    <t>WESTERN ALLIANCE BANCORP</t>
  </si>
  <si>
    <t>WALA</t>
  </si>
  <si>
    <t>WANT</t>
  </si>
  <si>
    <t>DRX DLY CONS DISC BULL 3X</t>
  </si>
  <si>
    <t>WASH</t>
  </si>
  <si>
    <t>WASHINGTON TRUST BANCORP</t>
  </si>
  <si>
    <t>WAT</t>
  </si>
  <si>
    <t>WATERS CORP</t>
  </si>
  <si>
    <t>WATT</t>
  </si>
  <si>
    <t>ENERGOUS CORP</t>
  </si>
  <si>
    <t>WB</t>
  </si>
  <si>
    <t>WEIBO CORP-SPON ADR</t>
  </si>
  <si>
    <t>WBA</t>
  </si>
  <si>
    <t>WALGREENS BOOTS ALLIANCE INC</t>
  </si>
  <si>
    <t>WBAI</t>
  </si>
  <si>
    <t>500.COM LTD-CLASS A-ADR</t>
  </si>
  <si>
    <t>WBIE</t>
  </si>
  <si>
    <t>WBI BULLBEAR RISING INCOME 3</t>
  </si>
  <si>
    <t>WBIF</t>
  </si>
  <si>
    <t>WBI BULLBEAR VALUE 3000 ETF</t>
  </si>
  <si>
    <t>WBIG</t>
  </si>
  <si>
    <t>WBI BULLBEAR YIELD 3000 ETF</t>
  </si>
  <si>
    <t>WBII</t>
  </si>
  <si>
    <t>WBI BULLBEAR GLOBAL INCOME E</t>
  </si>
  <si>
    <t>WBIL</t>
  </si>
  <si>
    <t>WBI BULLBEAR QUALITY 3000 ET</t>
  </si>
  <si>
    <t>WBIN</t>
  </si>
  <si>
    <t>WBI BULLBEAR TREND US TOTAL</t>
  </si>
  <si>
    <t>WBIT</t>
  </si>
  <si>
    <t>WBI BULLBEAR TREND S US 3000</t>
  </si>
  <si>
    <t>WBIY</t>
  </si>
  <si>
    <t>WBI POWER FACTOR HIGH DIV</t>
  </si>
  <si>
    <t>WBK</t>
  </si>
  <si>
    <t>WESTPAC BANKING CORP-SP ADR</t>
  </si>
  <si>
    <t>WBND</t>
  </si>
  <si>
    <t>WESTERN ASSET TOTAL RETURN E</t>
  </si>
  <si>
    <t>WBS</t>
  </si>
  <si>
    <t>WEBSTER FINANCIAL CORP</t>
  </si>
  <si>
    <t>WBS-F</t>
  </si>
  <si>
    <t>WBT</t>
  </si>
  <si>
    <t>WELBILT INC</t>
  </si>
  <si>
    <t>WCC</t>
  </si>
  <si>
    <t>WESCO INTERNATIONAL INC</t>
  </si>
  <si>
    <t>WCC-A</t>
  </si>
  <si>
    <t>WCLD</t>
  </si>
  <si>
    <t>WISDOMTREE CLOUD COMPUTING</t>
  </si>
  <si>
    <t>WCN</t>
  </si>
  <si>
    <t>WASTE CONNECTIONS INC</t>
  </si>
  <si>
    <t>WD</t>
  </si>
  <si>
    <t>WALKER &amp; DUNLOP INC</t>
  </si>
  <si>
    <t>WDAY</t>
  </si>
  <si>
    <t>WORKDAY INC-CLASS A</t>
  </si>
  <si>
    <t>WDC</t>
  </si>
  <si>
    <t>WESTERN DIGITAL CORP</t>
  </si>
  <si>
    <t>WDFC</t>
  </si>
  <si>
    <t>WD-40 CO</t>
  </si>
  <si>
    <t>WDIV</t>
  </si>
  <si>
    <t>SPDR S&amp;P GLOBAL DIVIDEND ETF</t>
  </si>
  <si>
    <t>WDR</t>
  </si>
  <si>
    <t>WADDELL &amp; REED FINANCIAL-A</t>
  </si>
  <si>
    <t>WEA</t>
  </si>
  <si>
    <t>WESTERN ASSET PREMIER BOND</t>
  </si>
  <si>
    <t>WEAT</t>
  </si>
  <si>
    <t>TEUCRIUM WHEAT FUND</t>
  </si>
  <si>
    <t>WEBL</t>
  </si>
  <si>
    <t>DIREXION DAILY DOW JONES INT</t>
  </si>
  <si>
    <t>WEBS</t>
  </si>
  <si>
    <t>WEC</t>
  </si>
  <si>
    <t>WEC ENERGY GROUP INC</t>
  </si>
  <si>
    <t>WEI</t>
  </si>
  <si>
    <t>WEIDAI LTD-ADR</t>
  </si>
  <si>
    <t>WELL</t>
  </si>
  <si>
    <t>WELLTOWER INC</t>
  </si>
  <si>
    <t>WEN</t>
  </si>
  <si>
    <t>WENDY'S CO/THE</t>
  </si>
  <si>
    <t>WERN</t>
  </si>
  <si>
    <t>WERNER ENTERPRISES INC</t>
  </si>
  <si>
    <t>WES</t>
  </si>
  <si>
    <t>WESTERN MIDSTREAM PARTNERS L</t>
  </si>
  <si>
    <t>WETF</t>
  </si>
  <si>
    <t>WISDOMTREE INVESTMENTS INC</t>
  </si>
  <si>
    <t>WEX</t>
  </si>
  <si>
    <t>WEX INC</t>
  </si>
  <si>
    <t>WEYS</t>
  </si>
  <si>
    <t>WEYCO GROUP INC</t>
  </si>
  <si>
    <t>WF</t>
  </si>
  <si>
    <t>WOORI FINANCIAL-SPON ADR</t>
  </si>
  <si>
    <t>WFC</t>
  </si>
  <si>
    <t>WELLS FARGO &amp; CO</t>
  </si>
  <si>
    <t>WFC-L</t>
  </si>
  <si>
    <t>WFC-N</t>
  </si>
  <si>
    <t>WFC-O</t>
  </si>
  <si>
    <t>WFC-P</t>
  </si>
  <si>
    <t>WFC-Q</t>
  </si>
  <si>
    <t>WFC-R</t>
  </si>
  <si>
    <t>WFC-T</t>
  </si>
  <si>
    <t>WFC-V</t>
  </si>
  <si>
    <t>WFC-W</t>
  </si>
  <si>
    <t>WFC-X</t>
  </si>
  <si>
    <t>WFC-Y</t>
  </si>
  <si>
    <t>WFC-Z</t>
  </si>
  <si>
    <t>WFH</t>
  </si>
  <si>
    <t>DIREXION WORK FROM HOME ETF</t>
  </si>
  <si>
    <t>WFHY</t>
  </si>
  <si>
    <t>WISDOMTREE US HIGH YIELD COR</t>
  </si>
  <si>
    <t>WFIG</t>
  </si>
  <si>
    <t>WISDOMTREE US CORPORATE BOND</t>
  </si>
  <si>
    <t>WGO</t>
  </si>
  <si>
    <t>WINNEBAGO INDUSTRIES</t>
  </si>
  <si>
    <t>WH</t>
  </si>
  <si>
    <t>WYNDHAM HOTELS &amp; RESORTS INC</t>
  </si>
  <si>
    <t>WHD</t>
  </si>
  <si>
    <t>CACTUS INC - A</t>
  </si>
  <si>
    <t>WHF</t>
  </si>
  <si>
    <t>WHITEHORSE FINANCE INC</t>
  </si>
  <si>
    <t>WHFBZ</t>
  </si>
  <si>
    <t>WHG</t>
  </si>
  <si>
    <t>WESTWOOD HOLDINGS GROUP INC</t>
  </si>
  <si>
    <t>WHLM</t>
  </si>
  <si>
    <t>WILHELMINA INTERNATIONAL INC</t>
  </si>
  <si>
    <t>WHLR</t>
  </si>
  <si>
    <t>WHEELER REAL ESTATE INVESTME</t>
  </si>
  <si>
    <t>WHLRD</t>
  </si>
  <si>
    <t>WHLRP</t>
  </si>
  <si>
    <t>WHR</t>
  </si>
  <si>
    <t>WHIRLPOOL CORP</t>
  </si>
  <si>
    <t>WIA</t>
  </si>
  <si>
    <t>WESTERN ASSET INFL-LINK SEC</t>
  </si>
  <si>
    <t>WIFI</t>
  </si>
  <si>
    <t>BOINGO WIRELESS INC</t>
  </si>
  <si>
    <t>WIL</t>
  </si>
  <si>
    <t>IPATH WOMEN IN LEADERSHIP ET</t>
  </si>
  <si>
    <t>WILC</t>
  </si>
  <si>
    <t>G. WILLI-FOOD INTERNATIONAL</t>
  </si>
  <si>
    <t>WIMI</t>
  </si>
  <si>
    <t>WIMI HOLOGRAM CLOUD INC-ADR</t>
  </si>
  <si>
    <t>WINA</t>
  </si>
  <si>
    <t>WINMARK CORP</t>
  </si>
  <si>
    <t>WINC</t>
  </si>
  <si>
    <t>WESTERN ASSET ST DUR INC ETF</t>
  </si>
  <si>
    <t>WING</t>
  </si>
  <si>
    <t>WINGSTOP INC</t>
  </si>
  <si>
    <t>WINS</t>
  </si>
  <si>
    <t>WINS FINANCE HOLDINGS INC</t>
  </si>
  <si>
    <t>WINT</t>
  </si>
  <si>
    <t>WINDTREE THERAPEUTICS INC</t>
  </si>
  <si>
    <t>WIP</t>
  </si>
  <si>
    <t>SPDR FTSE INTERNATIONAL GOVE</t>
  </si>
  <si>
    <t>WIRE</t>
  </si>
  <si>
    <t>ENCORE WIRE CORP</t>
  </si>
  <si>
    <t>WISA</t>
  </si>
  <si>
    <t>SUMMIT WIRELESS TECHNOLOGIES</t>
  </si>
  <si>
    <t>WIT</t>
  </si>
  <si>
    <t>WIPRO LTD-ADR</t>
  </si>
  <si>
    <t>WIW</t>
  </si>
  <si>
    <t>WESTERN ASSET INFL-LINK OPPS</t>
  </si>
  <si>
    <t>WIX</t>
  </si>
  <si>
    <t>WIX.COM LTD</t>
  </si>
  <si>
    <t>WIZ</t>
  </si>
  <si>
    <t>MERLYN AI BULL-RIDER BEAR-FI</t>
  </si>
  <si>
    <t>WK</t>
  </si>
  <si>
    <t>WORKIVA INC</t>
  </si>
  <si>
    <t>WKEY</t>
  </si>
  <si>
    <t>WISEKEY INTL HOLDINGS-ADR</t>
  </si>
  <si>
    <t>WKHS</t>
  </si>
  <si>
    <t>WORKHORSE GROUP INC</t>
  </si>
  <si>
    <t>WLDN</t>
  </si>
  <si>
    <t>WILLDAN GROUP INC</t>
  </si>
  <si>
    <t>WLDR</t>
  </si>
  <si>
    <t>AFFINITY WORLD LEADERS EQUIT</t>
  </si>
  <si>
    <t>WLFC</t>
  </si>
  <si>
    <t>WILLIS LEASE FINANCE CORP</t>
  </si>
  <si>
    <t>WLK</t>
  </si>
  <si>
    <t>WESTLAKE CHEMICAL CORP</t>
  </si>
  <si>
    <t>WLKP</t>
  </si>
  <si>
    <t>WESTLAKE CHEMICAL PARTNERS L</t>
  </si>
  <si>
    <t>WLL</t>
  </si>
  <si>
    <t>WHITING PETROLEUM CORP</t>
  </si>
  <si>
    <t>WLTW</t>
  </si>
  <si>
    <t>WILLIS TOWERS WATSON PLC</t>
  </si>
  <si>
    <t>WM</t>
  </si>
  <si>
    <t>WASTE MANAGEMENT INC</t>
  </si>
  <si>
    <t>WMB</t>
  </si>
  <si>
    <t>WILLIAMS COS INC</t>
  </si>
  <si>
    <t>WMC</t>
  </si>
  <si>
    <t>WESTERN ASSET MORTGAGE CAPIT</t>
  </si>
  <si>
    <t>WMG</t>
  </si>
  <si>
    <t>WARNER MUSIC GROUP CORP-CL A</t>
  </si>
  <si>
    <t>WMGI</t>
  </si>
  <si>
    <t>WRIGHT MEDICAL GROUP NV</t>
  </si>
  <si>
    <t>WMK</t>
  </si>
  <si>
    <t>WEIS MARKETS INC</t>
  </si>
  <si>
    <t>WMS</t>
  </si>
  <si>
    <t>ADVANCED DRAINAGE SYSTEMS IN</t>
  </si>
  <si>
    <t>WMT</t>
  </si>
  <si>
    <t>WALMART INC</t>
  </si>
  <si>
    <t>WNC</t>
  </si>
  <si>
    <t>WABASH NATIONAL CORP</t>
  </si>
  <si>
    <t>WNEB</t>
  </si>
  <si>
    <t>WESTERN NEW ENGLAND BANCORP</t>
  </si>
  <si>
    <t>WNS</t>
  </si>
  <si>
    <t>WNS HOLDINGS LTD-ADR</t>
  </si>
  <si>
    <t>WOMN</t>
  </si>
  <si>
    <t>IMPACT SHARES YWCA WOMEN'S E</t>
  </si>
  <si>
    <t>WOOD</t>
  </si>
  <si>
    <t>ISHARES GLOBAL TIMBER &amp; FORE</t>
  </si>
  <si>
    <t>WOR</t>
  </si>
  <si>
    <t>WORTHINGTON INDUSTRIES</t>
  </si>
  <si>
    <t>WORK</t>
  </si>
  <si>
    <t>SLACK TECHNOLOGIES INC- CL A</t>
  </si>
  <si>
    <t>WORX</t>
  </si>
  <si>
    <t>SCWORX CORP</t>
  </si>
  <si>
    <t>WOW</t>
  </si>
  <si>
    <t>WIDEOPENWEST INC</t>
  </si>
  <si>
    <t>WPC</t>
  </si>
  <si>
    <t>WP CAREY INC</t>
  </si>
  <si>
    <t>WPF</t>
  </si>
  <si>
    <t>FOLEY TRASIMENE ACQ-CLASS A</t>
  </si>
  <si>
    <t>WPF+</t>
  </si>
  <si>
    <t>WPF=</t>
  </si>
  <si>
    <t>WPG</t>
  </si>
  <si>
    <t>WASHINGTON PRIME GROUP INC</t>
  </si>
  <si>
    <t>WPG-H</t>
  </si>
  <si>
    <t>WPG-I</t>
  </si>
  <si>
    <t>WPM</t>
  </si>
  <si>
    <t>WHEATON PRECIOUS METALS CORP</t>
  </si>
  <si>
    <t>WPP</t>
  </si>
  <si>
    <t>WPP PLC-SPONSORED ADR</t>
  </si>
  <si>
    <t>WPRT</t>
  </si>
  <si>
    <t>WESTPORT FUEL SYSTEMS INC</t>
  </si>
  <si>
    <t>WPS</t>
  </si>
  <si>
    <t>WPX</t>
  </si>
  <si>
    <t>WPX ENERGY INC</t>
  </si>
  <si>
    <t>WRB</t>
  </si>
  <si>
    <t>WR BERKLEY CORP</t>
  </si>
  <si>
    <t>WRB-B</t>
  </si>
  <si>
    <t>WRB-C</t>
  </si>
  <si>
    <t>WRB-D</t>
  </si>
  <si>
    <t>WRB-E</t>
  </si>
  <si>
    <t>WRB-F</t>
  </si>
  <si>
    <t>WRE</t>
  </si>
  <si>
    <t>WASHINGTON REIT</t>
  </si>
  <si>
    <t>WRI</t>
  </si>
  <si>
    <t>WEINGARTEN REALTY INVESTORS</t>
  </si>
  <si>
    <t>WRK</t>
  </si>
  <si>
    <t>WESTROCK CO</t>
  </si>
  <si>
    <t>WRLD</t>
  </si>
  <si>
    <t>WORLD ACCEPTANCE CORP</t>
  </si>
  <si>
    <t>WRN</t>
  </si>
  <si>
    <t>WESTERN COPPER AND GOLD CORP</t>
  </si>
  <si>
    <t>WRTC</t>
  </si>
  <si>
    <t>WRAP TECHNOLOGIES INC</t>
  </si>
  <si>
    <t>WSBC</t>
  </si>
  <si>
    <t>WESBANCO INC</t>
  </si>
  <si>
    <t>WSBCP</t>
  </si>
  <si>
    <t>WSBF</t>
  </si>
  <si>
    <t>WATERSTONE FINANCIAL INC</t>
  </si>
  <si>
    <t>WSC</t>
  </si>
  <si>
    <t>WILLSCOT MOBILE MINI HOLDING</t>
  </si>
  <si>
    <t>WSFS</t>
  </si>
  <si>
    <t>WSFS FINANCIAL CORP</t>
  </si>
  <si>
    <t>WSG</t>
  </si>
  <si>
    <t>WANDA SPORTS GROUP CO LT-ADR</t>
  </si>
  <si>
    <t>WSM</t>
  </si>
  <si>
    <t>WILLIAMS-SONOMA INC</t>
  </si>
  <si>
    <t>WSO</t>
  </si>
  <si>
    <t>WATSCO INC</t>
  </si>
  <si>
    <t>WSO.B</t>
  </si>
  <si>
    <t>WATSCO INC  -CL B</t>
  </si>
  <si>
    <t>WSR</t>
  </si>
  <si>
    <t>WHITESTONE REIT</t>
  </si>
  <si>
    <t>WST</t>
  </si>
  <si>
    <t>WEST PHARMACEUTICAL SERVICES</t>
  </si>
  <si>
    <t>WSTG</t>
  </si>
  <si>
    <t>WAYSIDE TECHNOLOGY GROUP INC</t>
  </si>
  <si>
    <t>WSTL</t>
  </si>
  <si>
    <t>WESTELL TECHNOLOGIES INC-A</t>
  </si>
  <si>
    <t>WTBA</t>
  </si>
  <si>
    <t>WEST BANCORPORATION</t>
  </si>
  <si>
    <t>WTER</t>
  </si>
  <si>
    <t>ALKALINE WATER CO INC/THE</t>
  </si>
  <si>
    <t>WTFC</t>
  </si>
  <si>
    <t>WINTRUST FINANCIAL CORP</t>
  </si>
  <si>
    <t>WTFCM</t>
  </si>
  <si>
    <t>WTFCP</t>
  </si>
  <si>
    <t>WTI</t>
  </si>
  <si>
    <t>W&amp;T OFFSHORE INC</t>
  </si>
  <si>
    <t>WTM</t>
  </si>
  <si>
    <t>WHITE MOUNTAINS INSURANCE GP</t>
  </si>
  <si>
    <t>WTMF</t>
  </si>
  <si>
    <t>WISDOMTREE MGD FUTURES STRAT</t>
  </si>
  <si>
    <t>WTRE</t>
  </si>
  <si>
    <t>WATFORD HOLDINGS LTD</t>
  </si>
  <si>
    <t>WTREP</t>
  </si>
  <si>
    <t>WTRG</t>
  </si>
  <si>
    <t>ESSENTIAL UTILITIES INC</t>
  </si>
  <si>
    <t>WTRH</t>
  </si>
  <si>
    <t>WAITR HOLDINGS INC</t>
  </si>
  <si>
    <t>WTRU</t>
  </si>
  <si>
    <t>WTS</t>
  </si>
  <si>
    <t>WATTS WATER TECHNOLOGIES-A</t>
  </si>
  <si>
    <t>WTT</t>
  </si>
  <si>
    <t>WIRELESS TELECOM GROUP INC</t>
  </si>
  <si>
    <t>WTTR</t>
  </si>
  <si>
    <t>SELECT ENERGY SERVICES INC-A</t>
  </si>
  <si>
    <t>WU</t>
  </si>
  <si>
    <t>WESTERN UNION CO</t>
  </si>
  <si>
    <t>WUBA</t>
  </si>
  <si>
    <t>58.COM INC-ADR</t>
  </si>
  <si>
    <t>WUGI</t>
  </si>
  <si>
    <t>ESOTERICA NEXTG ECONOMY ETF</t>
  </si>
  <si>
    <t>WVE</t>
  </si>
  <si>
    <t>WAVE LIFE SCIENCES LTD</t>
  </si>
  <si>
    <t>WVFC</t>
  </si>
  <si>
    <t>WVS FINANCIAL CORP</t>
  </si>
  <si>
    <t>WVVI</t>
  </si>
  <si>
    <t>WILLAMETTE VALLEY VINEYARDS</t>
  </si>
  <si>
    <t>WVVIP</t>
  </si>
  <si>
    <t>WW</t>
  </si>
  <si>
    <t>WW INTERNATIONAL INC</t>
  </si>
  <si>
    <t>WWD</t>
  </si>
  <si>
    <t>WOODWARD INC</t>
  </si>
  <si>
    <t>WWE</t>
  </si>
  <si>
    <t>WORLD WRESTLING ENTERTAIN-A</t>
  </si>
  <si>
    <t>WWJD</t>
  </si>
  <si>
    <t>INSPIRE INTERNATIONAL ESG ET</t>
  </si>
  <si>
    <t>WWR</t>
  </si>
  <si>
    <t>WESTWATER RESOURCES INC</t>
  </si>
  <si>
    <t>WWW</t>
  </si>
  <si>
    <t>WOLVERINE WORLD WIDE INC</t>
  </si>
  <si>
    <t>WY</t>
  </si>
  <si>
    <t>WEYERHAEUSER CO</t>
  </si>
  <si>
    <t>WYND</t>
  </si>
  <si>
    <t>WYNDHAM DESTINATIONS INC</t>
  </si>
  <si>
    <t>WYNN</t>
  </si>
  <si>
    <t>WYNN RESORTS LTD</t>
  </si>
  <si>
    <t>WYY</t>
  </si>
  <si>
    <t>WIDEPOINT CORP</t>
  </si>
  <si>
    <t>X</t>
  </si>
  <si>
    <t>UNITED STATES STEEL CORP</t>
  </si>
  <si>
    <t>XAIR</t>
  </si>
  <si>
    <t>BEYOND AIR INC</t>
  </si>
  <si>
    <t>XAN</t>
  </si>
  <si>
    <t>EXANTAS CAPITAL CORP</t>
  </si>
  <si>
    <t>XAN-C</t>
  </si>
  <si>
    <t>XAR</t>
  </si>
  <si>
    <t>SPDR S&amp;P AEROSPACE &amp; DEF ETF</t>
  </si>
  <si>
    <t>XBI</t>
  </si>
  <si>
    <t>SPDR S&amp;P BIOTECH ETF</t>
  </si>
  <si>
    <t>XBIO</t>
  </si>
  <si>
    <t>XENETIC BIOSCIENCES INC</t>
  </si>
  <si>
    <t>XBIOW</t>
  </si>
  <si>
    <t>XBIT</t>
  </si>
  <si>
    <t>XBIOTECH INC</t>
  </si>
  <si>
    <t>XBUY</t>
  </si>
  <si>
    <t>AMPLIFY INTL ONLINE RETAIL</t>
  </si>
  <si>
    <t>XCEM</t>
  </si>
  <si>
    <t>COLUMBIA EM CORE EX-CHINA ET</t>
  </si>
  <si>
    <t>XCOM</t>
  </si>
  <si>
    <t>PROSHARES ULTRA COMMUNICATIO</t>
  </si>
  <si>
    <t>XCUR</t>
  </si>
  <si>
    <t>EXICURE INC</t>
  </si>
  <si>
    <t>XDIV</t>
  </si>
  <si>
    <t>METAURUS US EQUITY EX DIVIDE</t>
  </si>
  <si>
    <t>XEC</t>
  </si>
  <si>
    <t>CIMAREX ENERGY CO</t>
  </si>
  <si>
    <t>XEL</t>
  </si>
  <si>
    <t>XCEL ENERGY INC</t>
  </si>
  <si>
    <t>XELA</t>
  </si>
  <si>
    <t>EXELA TECHNOLOGIES INC</t>
  </si>
  <si>
    <t>XELB</t>
  </si>
  <si>
    <t>XCEL BRANDS INC</t>
  </si>
  <si>
    <t>XENE</t>
  </si>
  <si>
    <t>XENON PHARMACEUTICALS INC</t>
  </si>
  <si>
    <t>XENT</t>
  </si>
  <si>
    <t>INTERSECT ENT INC</t>
  </si>
  <si>
    <t>XERS</t>
  </si>
  <si>
    <t>XERIS PHARMACEUTICALS INC</t>
  </si>
  <si>
    <t>XES</t>
  </si>
  <si>
    <t>SPDR OIL &amp; GAS EQUIP &amp; SERV</t>
  </si>
  <si>
    <t>XFLT</t>
  </si>
  <si>
    <t>XAI OCTAGON FLOATING RATE AL</t>
  </si>
  <si>
    <t>XFOR</t>
  </si>
  <si>
    <t>X4 PHARMACEUTICALS INC</t>
  </si>
  <si>
    <t>XGN</t>
  </si>
  <si>
    <t>EXAGEN INC</t>
  </si>
  <si>
    <t>XHB</t>
  </si>
  <si>
    <t>SPDR S&amp;P HOMEBUILDERS ETF</t>
  </si>
  <si>
    <t>XHE</t>
  </si>
  <si>
    <t>SPDR S&amp;P HEALTH CARE EQUIPME</t>
  </si>
  <si>
    <t>XHR</t>
  </si>
  <si>
    <t>XENIA HOTELS &amp; RESORTS INC</t>
  </si>
  <si>
    <t>XHS</t>
  </si>
  <si>
    <t>SPDR S&amp;P HEALTH CARE SER ETF</t>
  </si>
  <si>
    <t>XIN</t>
  </si>
  <si>
    <t>XINYUAN REAL ESTATE CO L-ADR</t>
  </si>
  <si>
    <t>XITK</t>
  </si>
  <si>
    <t>SPDR FACTSET INNOVATIVE TECH</t>
  </si>
  <si>
    <t>XLB</t>
  </si>
  <si>
    <t>MATERIALS SELECT SECTOR SPDR</t>
  </si>
  <si>
    <t>XLC</t>
  </si>
  <si>
    <t>COMM SERV SELECT SECTOR SPDR</t>
  </si>
  <si>
    <t>XLE</t>
  </si>
  <si>
    <t>ENERGY SELECT SECTOR SPDR</t>
  </si>
  <si>
    <t>XLF</t>
  </si>
  <si>
    <t>FINANCIAL SELECT SECTOR SPDR</t>
  </si>
  <si>
    <t>XLG</t>
  </si>
  <si>
    <t>INVESCO S&amp;P 500 TOP 50 ETF</t>
  </si>
  <si>
    <t>XLI</t>
  </si>
  <si>
    <t>INDUSTRIAL SELECT SECT SPDR</t>
  </si>
  <si>
    <t>XLK</t>
  </si>
  <si>
    <t>TECHNOLOGY SELECT SECT SPDR</t>
  </si>
  <si>
    <t>XLNX</t>
  </si>
  <si>
    <t>XILINX INC</t>
  </si>
  <si>
    <t>XLP</t>
  </si>
  <si>
    <t>CONSUMER STAPLES SPDR</t>
  </si>
  <si>
    <t>XLRE</t>
  </si>
  <si>
    <t>REAL ESTATE SELECT SECT SPDR</t>
  </si>
  <si>
    <t>XLRN</t>
  </si>
  <si>
    <t>ACCELERON PHARMA INC</t>
  </si>
  <si>
    <t>XLSR</t>
  </si>
  <si>
    <t>SPDR SSGA US SECTOR ROTATE</t>
  </si>
  <si>
    <t>XLU</t>
  </si>
  <si>
    <t>UTILITIES SELECT SECTOR SPDR</t>
  </si>
  <si>
    <t>XLV</t>
  </si>
  <si>
    <t>HEALTH CARE SELECT SECTOR</t>
  </si>
  <si>
    <t>XLY</t>
  </si>
  <si>
    <t>CONSUMER DISCRETIONARY SELT</t>
  </si>
  <si>
    <t>XME</t>
  </si>
  <si>
    <t>SPDR S&amp;P METALS &amp; MINING ETF</t>
  </si>
  <si>
    <t>XMHQ</t>
  </si>
  <si>
    <t>INVESCO S&amp;P MIDCAP QUALITY E</t>
  </si>
  <si>
    <t>XMLV</t>
  </si>
  <si>
    <t>INVESCO S&amp;P MIDCAP LOW VOLAT</t>
  </si>
  <si>
    <t>XMMO</t>
  </si>
  <si>
    <t>INVESCO S&amp;P MIDCAP MOMENTUM</t>
  </si>
  <si>
    <t>XMPT</t>
  </si>
  <si>
    <t>VANECK CEF MUNI INCOME</t>
  </si>
  <si>
    <t>XMVM</t>
  </si>
  <si>
    <t>INVESCO S&amp;P MIDCAP VALUE WIT</t>
  </si>
  <si>
    <t>XNCR</t>
  </si>
  <si>
    <t>XENCOR INC</t>
  </si>
  <si>
    <t>XNET</t>
  </si>
  <si>
    <t>XUNLEI LTD-ADR</t>
  </si>
  <si>
    <t>XNTK</t>
  </si>
  <si>
    <t>SPDR NYSE TECHNOLOGY ETF</t>
  </si>
  <si>
    <t>XOM</t>
  </si>
  <si>
    <t>EXXON MOBIL CORP</t>
  </si>
  <si>
    <t>XOMA</t>
  </si>
  <si>
    <t>XOMA CORP</t>
  </si>
  <si>
    <t>XONE</t>
  </si>
  <si>
    <t>EXONE CO/THE</t>
  </si>
  <si>
    <t>XOP</t>
  </si>
  <si>
    <t>SPDR S&amp;P OIL &amp; GAS EXP &amp; PR</t>
  </si>
  <si>
    <t>XOUT</t>
  </si>
  <si>
    <t>GRANITESHARES XOUT US L/C</t>
  </si>
  <si>
    <t>XP</t>
  </si>
  <si>
    <t>XP INC - CLASS A</t>
  </si>
  <si>
    <t>XPEL</t>
  </si>
  <si>
    <t>XPEL INC</t>
  </si>
  <si>
    <t>XPER</t>
  </si>
  <si>
    <t>XPERI HOLDING CORP</t>
  </si>
  <si>
    <t>XPEV</t>
  </si>
  <si>
    <t>XPENG INC - ADR</t>
  </si>
  <si>
    <t>XPH</t>
  </si>
  <si>
    <t>SPDR S&amp;P PHARMACEUTICALS ETF</t>
  </si>
  <si>
    <t>XPL</t>
  </si>
  <si>
    <t>SOLITARIO ZINC CORP</t>
  </si>
  <si>
    <t>XPO</t>
  </si>
  <si>
    <t>XPO LOGISTICS INC</t>
  </si>
  <si>
    <t>XPP</t>
  </si>
  <si>
    <t>PROSHARES ULTRA FTSE CHINA50</t>
  </si>
  <si>
    <t>XRAY</t>
  </si>
  <si>
    <t>DENTSPLY SIRONA INC</t>
  </si>
  <si>
    <t>XRLV</t>
  </si>
  <si>
    <t>INVESCO S&amp;P 500 EX-RATE SENS</t>
  </si>
  <si>
    <t>XRT</t>
  </si>
  <si>
    <t>SPDR S&amp;P RETAIL ETF</t>
  </si>
  <si>
    <t>XRX</t>
  </si>
  <si>
    <t>XEROX HOLDINGS CORP</t>
  </si>
  <si>
    <t>XSD</t>
  </si>
  <si>
    <t>SPDR S&amp;P SEMICONDUCTOR ETF</t>
  </si>
  <si>
    <t>XSHD</t>
  </si>
  <si>
    <t>INVESCO S&amp;P SMALLCAP HIGH DI</t>
  </si>
  <si>
    <t>XSHQ</t>
  </si>
  <si>
    <t>INVESCO S&amp;P SMALLCAP QUALITY</t>
  </si>
  <si>
    <t>XSLV</t>
  </si>
  <si>
    <t>INVESCO S&amp;P SMALLCAP LOW VOL</t>
  </si>
  <si>
    <t>XSMO</t>
  </si>
  <si>
    <t>INVESCO S&amp;P SMALLCAP MOMENTU</t>
  </si>
  <si>
    <t>XSOE</t>
  </si>
  <si>
    <t>WISDMTREE EMERG MKT EX-ST OW</t>
  </si>
  <si>
    <t>XSPA</t>
  </si>
  <si>
    <t>XPRESSPA GROUP INC</t>
  </si>
  <si>
    <t>XSVM</t>
  </si>
  <si>
    <t>INVESCO S&amp;P SMALLCAP VALUE W</t>
  </si>
  <si>
    <t>XSW</t>
  </si>
  <si>
    <t>SPDR S&amp;P SOFTWARE &amp; SER ETF</t>
  </si>
  <si>
    <t>XT</t>
  </si>
  <si>
    <t>ISHARES EXPONENTIAL TECH ETF</t>
  </si>
  <si>
    <t>XTL</t>
  </si>
  <si>
    <t>SPDR S&amp;P TELECOM ETF</t>
  </si>
  <si>
    <t>XTLB</t>
  </si>
  <si>
    <t>XTL BIOPHARMACEUTICALS-ADR</t>
  </si>
  <si>
    <t>XTN</t>
  </si>
  <si>
    <t>SPDR S&amp;P TRANSPORTATION ETF</t>
  </si>
  <si>
    <t>XTNT</t>
  </si>
  <si>
    <t>XTANT MEDICAL HOLDINGS INC</t>
  </si>
  <si>
    <t>XVZ</t>
  </si>
  <si>
    <t>IPATH S&amp;P 500 DYN VIX ETN</t>
  </si>
  <si>
    <t>XWEB</t>
  </si>
  <si>
    <t>SPDR S&amp;P INTERNET ETF</t>
  </si>
  <si>
    <t>XXII</t>
  </si>
  <si>
    <t>22ND CENTURY GROUP INC</t>
  </si>
  <si>
    <t>XYF</t>
  </si>
  <si>
    <t>X FINANCIAL-ADR</t>
  </si>
  <si>
    <t>XYL</t>
  </si>
  <si>
    <t>XYLEM INC</t>
  </si>
  <si>
    <t>XYLD</t>
  </si>
  <si>
    <t>GLOBAL X S&amp;P 500 COVE CALL E</t>
  </si>
  <si>
    <t>Y</t>
  </si>
  <si>
    <t>ALLEGHANY CORP</t>
  </si>
  <si>
    <t>YAC=</t>
  </si>
  <si>
    <t>YUCAIPA ACQUISITION CORP</t>
  </si>
  <si>
    <t>YANG</t>
  </si>
  <si>
    <t>DRX DLY FTSE CHINA BEAR 3X</t>
  </si>
  <si>
    <t>YCBD</t>
  </si>
  <si>
    <t>CBDMD INC</t>
  </si>
  <si>
    <t>YCBD-A</t>
  </si>
  <si>
    <t>YCL</t>
  </si>
  <si>
    <t>PROSHARES ULTRA YEN</t>
  </si>
  <si>
    <t>YCOM</t>
  </si>
  <si>
    <t>PROSHARES ULTRASHORT COM SSS</t>
  </si>
  <si>
    <t>YCS</t>
  </si>
  <si>
    <t>PROSHARES ULTRASHORT YEN</t>
  </si>
  <si>
    <t>YELP</t>
  </si>
  <si>
    <t>YELP INC</t>
  </si>
  <si>
    <t>YETI</t>
  </si>
  <si>
    <t>YETI HOLDINGS INC</t>
  </si>
  <si>
    <t>YEXT</t>
  </si>
  <si>
    <t>YEXT INC</t>
  </si>
  <si>
    <t>YGRN</t>
  </si>
  <si>
    <t>MICROSECTORS US BIG OIL IVSR</t>
  </si>
  <si>
    <t>YGYI</t>
  </si>
  <si>
    <t>YOUNGEVITY INTERNATIONAL INC</t>
  </si>
  <si>
    <t>YGYIP</t>
  </si>
  <si>
    <t>YI</t>
  </si>
  <si>
    <t>111 INC</t>
  </si>
  <si>
    <t>YIN</t>
  </si>
  <si>
    <t>YINTECH INVESTMENT HOLD-ADR</t>
  </si>
  <si>
    <t>YINN</t>
  </si>
  <si>
    <t>DRX DLY FTSE CHINA BULL 3X</t>
  </si>
  <si>
    <t>YJ</t>
  </si>
  <si>
    <t>YUNJI INC-ADR</t>
  </si>
  <si>
    <t>YLCO</t>
  </si>
  <si>
    <t>GLOBAL X FUNDS GLOBAL X YIEL</t>
  </si>
  <si>
    <t>YLD</t>
  </si>
  <si>
    <t>PRINCIPAL ACTIVE INCOME ETF</t>
  </si>
  <si>
    <t>YLDE</t>
  </si>
  <si>
    <t>CLEARBRIDG DIV STRGY ESG ETF</t>
  </si>
  <si>
    <t>YMAB</t>
  </si>
  <si>
    <t>Y-MABS THERAPEUTICS INC</t>
  </si>
  <si>
    <t>YNDX</t>
  </si>
  <si>
    <t>YANDEX NV-A</t>
  </si>
  <si>
    <t>YOLO</t>
  </si>
  <si>
    <t>ADVISORSHARES PURE CANNABIS</t>
  </si>
  <si>
    <t>YORW</t>
  </si>
  <si>
    <t>YORK WATER CO</t>
  </si>
  <si>
    <t>YPF</t>
  </si>
  <si>
    <t>YPF S.A.-SPONSORED ADR</t>
  </si>
  <si>
    <t>YRCW</t>
  </si>
  <si>
    <t>YRC WORLDWIDE INC</t>
  </si>
  <si>
    <t>YRD</t>
  </si>
  <si>
    <t>YIREN DIGITAL LTD - SPS ADR</t>
  </si>
  <si>
    <t>YTEN</t>
  </si>
  <si>
    <t>YIELD10 BIOSCIENCE INC</t>
  </si>
  <si>
    <t>YTRA</t>
  </si>
  <si>
    <t>YATRA ONLINE INC</t>
  </si>
  <si>
    <t>YUM</t>
  </si>
  <si>
    <t>YUM! BRANDS INC</t>
  </si>
  <si>
    <t>YUMC</t>
  </si>
  <si>
    <t>YUM CHINA HOLDINGS INC</t>
  </si>
  <si>
    <t>YVR</t>
  </si>
  <si>
    <t>LIQUID MEDIA GROUP LTD</t>
  </si>
  <si>
    <t>YXI</t>
  </si>
  <si>
    <t>PROSHARES SHORT FTSE CHINA50</t>
  </si>
  <si>
    <t>YY</t>
  </si>
  <si>
    <t>JOYY INC</t>
  </si>
  <si>
    <t>YYY</t>
  </si>
  <si>
    <t>AMPLIFY HIGH INCOME ETF</t>
  </si>
  <si>
    <t>Z</t>
  </si>
  <si>
    <t>ZILLOW GROUP INC - C</t>
  </si>
  <si>
    <t>ZAGG</t>
  </si>
  <si>
    <t>ZAGG INC</t>
  </si>
  <si>
    <t>ZAZZT</t>
  </si>
  <si>
    <t>ZBH</t>
  </si>
  <si>
    <t>ZIMMER BIOMET HOLDINGS INC</t>
  </si>
  <si>
    <t>ZBRA</t>
  </si>
  <si>
    <t>ZEBRA TECHNOLOGIES CORP-CL A</t>
  </si>
  <si>
    <t>ZBZX</t>
  </si>
  <si>
    <t>ZBZZT</t>
  </si>
  <si>
    <t>ZCAN</t>
  </si>
  <si>
    <t>SPDR SOLACTIVE CANADA ETF</t>
  </si>
  <si>
    <t>ZCMD</t>
  </si>
  <si>
    <t>ZHONGCHAO INC-CLASS A</t>
  </si>
  <si>
    <t>ZCZZT</t>
  </si>
  <si>
    <t>ZDEU</t>
  </si>
  <si>
    <t>SPDR SOLACTIVE GERMANY ETF</t>
  </si>
  <si>
    <t>ZDGE</t>
  </si>
  <si>
    <t>ZEDGE INC-CL B</t>
  </si>
  <si>
    <t>ZEAL</t>
  </si>
  <si>
    <t>ZEALAND PHARMA A/S-ADR</t>
  </si>
  <si>
    <t>ZEN</t>
  </si>
  <si>
    <t>ZENDESK INC</t>
  </si>
  <si>
    <t>ZEUS</t>
  </si>
  <si>
    <t>OLYMPIC STEEL INC</t>
  </si>
  <si>
    <t>ZEXIT</t>
  </si>
  <si>
    <t>ZG</t>
  </si>
  <si>
    <t>ZILLOW GROUP INC - A</t>
  </si>
  <si>
    <t>ZGBR</t>
  </si>
  <si>
    <t>SPDR SOLACTIVE UNITED KINGDO</t>
  </si>
  <si>
    <t>ZGNX</t>
  </si>
  <si>
    <t>ZOGENIX INC</t>
  </si>
  <si>
    <t>ZGYH</t>
  </si>
  <si>
    <t>CHINA YUNHONG HOLDINGS LTD-A</t>
  </si>
  <si>
    <t>ZGYHR</t>
  </si>
  <si>
    <t>YUNHONG INTERNATIONAL -RIGHT</t>
  </si>
  <si>
    <t>ZGYHU</t>
  </si>
  <si>
    <t>YUNHONG INTERNATIONAL CO LTD</t>
  </si>
  <si>
    <t>ZGYHW</t>
  </si>
  <si>
    <t>ZHOK</t>
  </si>
  <si>
    <t>SPDR SOLACTIVE HONG KONG ETF</t>
  </si>
  <si>
    <t>ZI</t>
  </si>
  <si>
    <t>ZOOMINFO TECHNOLOGIES INC-A</t>
  </si>
  <si>
    <t>ZIEXT</t>
  </si>
  <si>
    <t>ZIG</t>
  </si>
  <si>
    <t>THE ACQUIRERS FUND ETF</t>
  </si>
  <si>
    <t>ZION</t>
  </si>
  <si>
    <t>ZIONS BANCORP NA</t>
  </si>
  <si>
    <t>ZIONL</t>
  </si>
  <si>
    <t>ZIONN</t>
  </si>
  <si>
    <t>ZIONO</t>
  </si>
  <si>
    <t>ZIONP</t>
  </si>
  <si>
    <t>ZIOP</t>
  </si>
  <si>
    <t>ZIOPHARM ONCOLOGY INC</t>
  </si>
  <si>
    <t>ZIXI</t>
  </si>
  <si>
    <t>ZIX CORP</t>
  </si>
  <si>
    <t>ZJPN</t>
  </si>
  <si>
    <t>SPDR SOLACTIVE JAPAN ETF</t>
  </si>
  <si>
    <t>ZJZZT</t>
  </si>
  <si>
    <t>ZKIN</t>
  </si>
  <si>
    <t>ZK INTERNATIONAL GROUP CO LT</t>
  </si>
  <si>
    <t>ZLAB</t>
  </si>
  <si>
    <t>ZAI LAB LTD-ADR</t>
  </si>
  <si>
    <t>ZM</t>
  </si>
  <si>
    <t>ZOOM VIDEO COMMUNICATIONS-A</t>
  </si>
  <si>
    <t>ZMLP</t>
  </si>
  <si>
    <t>DIREXION ZACKS MLP HIGH INCO</t>
  </si>
  <si>
    <t>ZNGA</t>
  </si>
  <si>
    <t>ZYNGA INC - CL A</t>
  </si>
  <si>
    <t>ZNH</t>
  </si>
  <si>
    <t>CHINA SOUTHERN AIR-SPONS ADR</t>
  </si>
  <si>
    <t>ZNTL</t>
  </si>
  <si>
    <t>ZENTALIS PHARMACEUTICALS INC</t>
  </si>
  <si>
    <t>ZOM</t>
  </si>
  <si>
    <t>ZOMEDICA PHARMACEUTICALS COR</t>
  </si>
  <si>
    <t>ZROZ</t>
  </si>
  <si>
    <t>PIMCO 25+ YR ZERO CPN US TIF</t>
  </si>
  <si>
    <t>ZS</t>
  </si>
  <si>
    <t>ZSCALER INC</t>
  </si>
  <si>
    <t>ZSAN</t>
  </si>
  <si>
    <t>ZOSANO PHARMA CORP</t>
  </si>
  <si>
    <t>ZSL</t>
  </si>
  <si>
    <t>PROSHARES ULTRASHORT SILVER</t>
  </si>
  <si>
    <t>ZTEST</t>
  </si>
  <si>
    <t>ZTO</t>
  </si>
  <si>
    <t>ZTO EXPRESS CAYMAN INC-ADR</t>
  </si>
  <si>
    <t>ZTR</t>
  </si>
  <si>
    <t>VIRTUS TOTAL RETURN FUND INC</t>
  </si>
  <si>
    <t>ZTS</t>
  </si>
  <si>
    <t>ZOETIS INC</t>
  </si>
  <si>
    <t>ZUMZ</t>
  </si>
  <si>
    <t>ZUMIEZ INC</t>
  </si>
  <si>
    <t>ZUO</t>
  </si>
  <si>
    <t>ZUORA INC - CLASS A</t>
  </si>
  <si>
    <t>ZVO</t>
  </si>
  <si>
    <t>ZOVIO INC</t>
  </si>
  <si>
    <t>ZVV</t>
  </si>
  <si>
    <t>ZVVV</t>
  </si>
  <si>
    <t>ZVZZT</t>
  </si>
  <si>
    <t>ZWZZT</t>
  </si>
  <si>
    <t>ZXIET</t>
  </si>
  <si>
    <t>ZXZZT</t>
  </si>
  <si>
    <t>ZYME</t>
  </si>
  <si>
    <t>ZYMEWORKS INC</t>
  </si>
  <si>
    <t>ZYNE</t>
  </si>
  <si>
    <t>ZYNERBA PHARMACEUTICALS INC</t>
  </si>
  <si>
    <t>ZYXI</t>
  </si>
  <si>
    <t>ZYNEX INC</t>
  </si>
  <si>
    <t>BTCUSDT</t>
  </si>
  <si>
    <t>Bitcoin USD</t>
  </si>
  <si>
    <t>crypto</t>
  </si>
  <si>
    <t>EOSUSDT</t>
  </si>
  <si>
    <t>EOS USD</t>
  </si>
  <si>
    <t>ETHUSDT</t>
  </si>
  <si>
    <t>Ethereum USD</t>
  </si>
  <si>
    <t>BNBUSDT</t>
  </si>
  <si>
    <t>Binance Coin USD</t>
  </si>
  <si>
    <t>ONTUSDT</t>
  </si>
  <si>
    <t>Ontology USD</t>
  </si>
  <si>
    <t>BCCUSDT</t>
  </si>
  <si>
    <t>Bitcoin Cash USD</t>
  </si>
  <si>
    <t>ADAUSDT</t>
  </si>
  <si>
    <t>Cardano USD</t>
  </si>
  <si>
    <t>XRPUSDT</t>
  </si>
  <si>
    <t>Ripple USD</t>
  </si>
  <si>
    <t>TUSDUSDT</t>
  </si>
  <si>
    <t>TrueUSD</t>
  </si>
  <si>
    <t>TRXUSDT</t>
  </si>
  <si>
    <t>TRON USD</t>
  </si>
  <si>
    <t>LTCUSDT</t>
  </si>
  <si>
    <t>Litecoin USD</t>
  </si>
  <si>
    <t>ETCUSDT</t>
  </si>
  <si>
    <t>Ethereum Classic USD</t>
  </si>
  <si>
    <t>IOTAUSDT</t>
  </si>
  <si>
    <t>MIOTA USD</t>
  </si>
  <si>
    <t>ICXUSDT</t>
  </si>
  <si>
    <t>ICON USD</t>
  </si>
  <si>
    <t>NEOUSDT</t>
  </si>
  <si>
    <t>NEO USD</t>
  </si>
  <si>
    <t>VENUSDT</t>
  </si>
  <si>
    <t>VeChain USD</t>
  </si>
  <si>
    <t>XLMUSDT</t>
  </si>
  <si>
    <t>Stellar Lumens USD</t>
  </si>
  <si>
    <t>QTUMUSDT</t>
  </si>
  <si>
    <t>Qtum USD</t>
  </si>
  <si>
    <t>AssetCode</t>
  </si>
  <si>
    <t>Fraction</t>
  </si>
  <si>
    <t>Date</t>
  </si>
  <si>
    <t>Wouter Mertens</t>
  </si>
  <si>
    <t>Overall performance</t>
  </si>
  <si>
    <t>Yield</t>
  </si>
  <si>
    <t>Worst Value Date</t>
  </si>
  <si>
    <t>Best Value Date</t>
  </si>
  <si>
    <t>Aandeel 1</t>
  </si>
  <si>
    <t>Aandeel 2</t>
  </si>
  <si>
    <t>Best performing Asset</t>
  </si>
  <si>
    <t>Last Value</t>
  </si>
  <si>
    <t>Value</t>
  </si>
  <si>
    <t>Worst performing Asset</t>
  </si>
  <si>
    <t>Name</t>
  </si>
  <si>
    <t>Lowest Value</t>
  </si>
  <si>
    <t>Highest Value</t>
  </si>
  <si>
    <t>Portfolio selectie</t>
  </si>
  <si>
    <t>nr</t>
  </si>
  <si>
    <t>Aandeel</t>
  </si>
  <si>
    <t>Percentage</t>
  </si>
  <si>
    <t>Code</t>
  </si>
  <si>
    <t>Correlatie</t>
  </si>
  <si>
    <t>Correlaties</t>
  </si>
  <si>
    <t>uClose</t>
  </si>
  <si>
    <t xml:space="preserve">Ticker </t>
  </si>
  <si>
    <t>Current Value</t>
  </si>
  <si>
    <t>Volume</t>
  </si>
  <si>
    <t>Value Total</t>
  </si>
  <si>
    <t>Yield over time</t>
  </si>
  <si>
    <t>min</t>
  </si>
  <si>
    <t>max</t>
  </si>
  <si>
    <t>Total Yield (6m)</t>
  </si>
  <si>
    <t>Yearly Yield</t>
  </si>
  <si>
    <t>Min</t>
  </si>
  <si>
    <t>Max</t>
  </si>
  <si>
    <t>Laagste</t>
  </si>
  <si>
    <t>Hoogste</t>
  </si>
  <si>
    <t>Asset</t>
  </si>
  <si>
    <t>Assets Prices</t>
  </si>
  <si>
    <t>Start Value</t>
  </si>
  <si>
    <t>Explanation</t>
  </si>
  <si>
    <t>Change</t>
  </si>
  <si>
    <t>Description Sheet</t>
  </si>
  <si>
    <t>20200820 API getting shares</t>
  </si>
  <si>
    <t>Made on</t>
  </si>
  <si>
    <t>Made By</t>
  </si>
  <si>
    <t>Function</t>
  </si>
  <si>
    <t>Innovation Manager</t>
  </si>
  <si>
    <t>Data from</t>
  </si>
  <si>
    <t>Data is retrieved from IEX.cloud via a client side API. The macro's retriebve the data necessary.</t>
  </si>
  <si>
    <t>The sheet is used for a workshop explaining how client side API's work and how they can be used in Excel VBA. The workbook has the following sheets:
- Portfolio Sheet (has the dashboard)
- JSON Parsre (converts a JSON into a table)
- Assets (are all the assets selected from the dashboard and their prices)
- All Stock (contains all stock that is available from IEX cloud)
- Analysed Stock (contains the calculated values from the Assets)</t>
  </si>
  <si>
    <t>cemb</t>
  </si>
  <si>
    <t>Dell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</si>
</sst>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\ * #,##0.00_);_(&quot;€&quot;\ * \(#,##0.00\);_(&quot;€&quot;\ * &quot;-&quot;??_);_(@_)"/>
    <numFmt numFmtId="165" formatCode="_-[$$-409]* #,##0.00_ ;_-[$$-409]* \-#,##0.00\ ;_-[$$-409]* &quot;-&quot;??_ ;_-@_ "/>
  </numFmts>
  <fonts count="2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Tahoma"/>
      <family val="2"/>
    </font>
    <font>
      <b/>
      <sz val="14"/>
      <color theme="0"/>
      <name val="Tahoma"/>
      <family val="2"/>
    </font>
    <font>
      <b/>
      <sz val="10"/>
      <color theme="0"/>
      <name val="Tahoma"/>
      <family val="2"/>
    </font>
    <font>
      <sz val="11"/>
      <color theme="1"/>
      <name val="Tahoma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name val="Tahoma"/>
      <family val="2"/>
    </font>
    <font>
      <b/>
      <sz val="16"/>
      <color theme="0"/>
      <name val="Tahoma"/>
      <family val="2"/>
    </font>
    <font>
      <sz val="11"/>
      <color theme="0"/>
      <name val="Tahoma"/>
      <family val="2"/>
    </font>
    <font>
      <sz val="12"/>
      <color theme="0"/>
      <name val="Tahoma"/>
      <family val="2"/>
    </font>
    <font>
      <b/>
      <sz val="12"/>
      <color theme="0"/>
      <name val="Tahoma"/>
      <family val="2"/>
    </font>
    <font>
      <sz val="24"/>
      <color theme="0"/>
      <name val="Tahoma"/>
      <family val="2"/>
    </font>
    <font>
      <sz val="30"/>
      <color theme="0"/>
      <name val="Tahoma"/>
      <family val="2"/>
    </font>
    <font>
      <sz val="10"/>
      <color theme="0"/>
      <name val="Tahoma"/>
      <family val="2"/>
    </font>
    <font>
      <sz val="13"/>
      <color theme="0"/>
      <name val="Tahoma"/>
      <family val="2"/>
    </font>
    <font>
      <b/>
      <sz val="11"/>
      <color theme="0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sz val="8"/>
      <name val="Calibri"/>
      <family val="2"/>
      <scheme val="minor"/>
    </font>
    <font>
      <b/>
      <sz val="13"/>
      <color theme="0"/>
      <name val="Tahoma"/>
      <family val="2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53534D"/>
        <bgColor indexed="64"/>
      </patternFill>
    </fill>
    <fill>
      <patternFill patternType="solid">
        <fgColor rgb="FFE1271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E1271C"/>
      </bottom>
      <diagonal/>
    </border>
    <border>
      <left/>
      <right/>
      <top style="thin">
        <color rgb="FFE1271C"/>
      </top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7" fillId="0" borderId="0"/>
  </cellStyleXfs>
  <cellXfs count="76">
    <xf numFmtId="0" fontId="0" fillId="0" borderId="0" xfId="0"/>
    <xf numFmtId="14" fontId="0" fillId="0" borderId="0" xfId="0" applyNumberFormat="1"/>
    <xf numFmtId="16" fontId="0" fillId="0" borderId="0" xfId="0" applyNumberFormat="1"/>
    <xf numFmtId="0" fontId="0" fillId="0" borderId="0" xfId="0" applyAlignment="1">
      <alignment wrapText="1"/>
    </xf>
    <xf numFmtId="0" fontId="4" fillId="0" borderId="0" xfId="0" applyFont="1" applyAlignment="1">
      <alignment vertical="center"/>
    </xf>
    <xf numFmtId="0" fontId="6" fillId="3" borderId="3" xfId="0" applyFont="1" applyFill="1" applyBorder="1"/>
    <xf numFmtId="0" fontId="6" fillId="3" borderId="6" xfId="0" applyFont="1" applyFill="1" applyBorder="1"/>
    <xf numFmtId="0" fontId="6" fillId="3" borderId="9" xfId="0" applyFont="1" applyFill="1" applyBorder="1"/>
    <xf numFmtId="0" fontId="9" fillId="0" borderId="0" xfId="2" applyFont="1" applyAlignment="1">
      <alignment horizontal="center"/>
    </xf>
    <xf numFmtId="164" fontId="9" fillId="0" borderId="0" xfId="2" applyNumberFormat="1" applyFont="1" applyAlignment="1">
      <alignment horizontal="center" wrapText="1"/>
    </xf>
    <xf numFmtId="0" fontId="7" fillId="0" borderId="0" xfId="2"/>
    <xf numFmtId="164" fontId="7" fillId="0" borderId="0" xfId="2" applyNumberFormat="1"/>
    <xf numFmtId="0" fontId="5" fillId="2" borderId="0" xfId="0" applyFont="1" applyFill="1" applyAlignment="1">
      <alignment horizontal="left" vertical="top"/>
    </xf>
    <xf numFmtId="0" fontId="5" fillId="4" borderId="0" xfId="0" applyFont="1" applyFill="1"/>
    <xf numFmtId="0" fontId="0" fillId="5" borderId="0" xfId="0" applyFill="1"/>
    <xf numFmtId="0" fontId="7" fillId="0" borderId="0" xfId="0" applyFont="1"/>
    <xf numFmtId="0" fontId="12" fillId="3" borderId="0" xfId="0" applyFont="1" applyFill="1"/>
    <xf numFmtId="0" fontId="16" fillId="3" borderId="0" xfId="0" applyFont="1" applyFill="1" applyAlignment="1">
      <alignment horizontal="center"/>
    </xf>
    <xf numFmtId="1" fontId="15" fillId="3" borderId="0" xfId="0" applyNumberFormat="1" applyFont="1" applyFill="1" applyAlignment="1">
      <alignment horizontal="center"/>
    </xf>
    <xf numFmtId="0" fontId="17" fillId="3" borderId="0" xfId="0" applyFont="1" applyFill="1" applyAlignment="1">
      <alignment horizontal="center"/>
    </xf>
    <xf numFmtId="1" fontId="18" fillId="3" borderId="0" xfId="0" applyNumberFormat="1" applyFont="1" applyFill="1" applyAlignment="1">
      <alignment horizontal="center"/>
    </xf>
    <xf numFmtId="9" fontId="18" fillId="3" borderId="0" xfId="1" applyFont="1" applyFill="1" applyAlignment="1">
      <alignment horizontal="center"/>
    </xf>
    <xf numFmtId="0" fontId="19" fillId="3" borderId="0" xfId="0" applyFont="1" applyFill="1"/>
    <xf numFmtId="0" fontId="20" fillId="0" borderId="0" xfId="0" applyFont="1"/>
    <xf numFmtId="0" fontId="21" fillId="0" borderId="0" xfId="0" applyFont="1"/>
    <xf numFmtId="1" fontId="7" fillId="0" borderId="0" xfId="0" applyNumberFormat="1" applyFont="1"/>
    <xf numFmtId="0" fontId="21" fillId="0" borderId="12" xfId="0" applyFont="1" applyBorder="1"/>
    <xf numFmtId="0" fontId="21" fillId="0" borderId="12" xfId="0" applyFont="1" applyBorder="1" applyAlignment="1">
      <alignment horizontal="right"/>
    </xf>
    <xf numFmtId="0" fontId="12" fillId="0" borderId="0" xfId="0" applyFont="1"/>
    <xf numFmtId="14" fontId="7" fillId="0" borderId="0" xfId="0" applyNumberFormat="1" applyFont="1"/>
    <xf numFmtId="0" fontId="21" fillId="0" borderId="12" xfId="0" applyFont="1" applyBorder="1" applyAlignment="1">
      <alignment horizontal="left"/>
    </xf>
    <xf numFmtId="9" fontId="21" fillId="0" borderId="0" xfId="0" applyNumberFormat="1" applyFont="1"/>
    <xf numFmtId="15" fontId="0" fillId="0" borderId="0" xfId="0" applyNumberFormat="1"/>
    <xf numFmtId="2" fontId="0" fillId="0" borderId="0" xfId="0" applyNumberFormat="1"/>
    <xf numFmtId="9" fontId="0" fillId="0" borderId="0" xfId="1" applyFont="1" applyAlignment="1">
      <alignment horizontal="center"/>
    </xf>
    <xf numFmtId="2" fontId="7" fillId="0" borderId="0" xfId="0" applyNumberFormat="1" applyFont="1" applyAlignment="1">
      <alignment horizontal="right"/>
    </xf>
    <xf numFmtId="14" fontId="18" fillId="3" borderId="0" xfId="0" applyNumberFormat="1" applyFont="1" applyFill="1" applyAlignment="1">
      <alignment horizontal="center"/>
    </xf>
    <xf numFmtId="2" fontId="7" fillId="0" borderId="0" xfId="0" applyNumberFormat="1" applyFont="1"/>
    <xf numFmtId="10" fontId="21" fillId="0" borderId="0" xfId="1" applyNumberFormat="1" applyFont="1" applyAlignment="1">
      <alignment horizontal="right"/>
    </xf>
    <xf numFmtId="165" fontId="21" fillId="0" borderId="0" xfId="0" applyNumberFormat="1" applyFont="1" applyAlignment="1">
      <alignment horizontal="right"/>
    </xf>
    <xf numFmtId="165" fontId="0" fillId="0" borderId="0" xfId="0" applyNumberFormat="1"/>
    <xf numFmtId="3" fontId="21" fillId="0" borderId="0" xfId="0" applyNumberFormat="1" applyFont="1" applyAlignment="1">
      <alignment horizontal="right"/>
    </xf>
    <xf numFmtId="20" fontId="0" fillId="0" borderId="0" xfId="0" applyNumberFormat="1"/>
    <xf numFmtId="0" fontId="24" fillId="0" borderId="0" xfId="0" applyFont="1"/>
    <xf numFmtId="0" fontId="12" fillId="0" borderId="0" xfId="0" applyFont="1" applyFill="1" applyBorder="1" applyAlignment="1">
      <alignment horizontal="right"/>
    </xf>
    <xf numFmtId="0" fontId="8" fillId="0" borderId="10" xfId="2" applyFont="1" applyBorder="1" applyAlignment="1">
      <alignment wrapText="1"/>
    </xf>
    <xf numFmtId="0" fontId="8" fillId="0" borderId="10" xfId="0" applyFont="1" applyBorder="1"/>
    <xf numFmtId="0" fontId="8" fillId="0" borderId="11" xfId="0" applyFont="1" applyBorder="1"/>
    <xf numFmtId="0" fontId="10" fillId="0" borderId="0" xfId="2" applyFont="1" applyAlignment="1">
      <alignment horizontal="left" vertical="top" wrapText="1"/>
    </xf>
    <xf numFmtId="0" fontId="5" fillId="2" borderId="1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/>
    </xf>
    <xf numFmtId="0" fontId="8" fillId="0" borderId="4" xfId="2" applyFont="1" applyBorder="1"/>
    <xf numFmtId="0" fontId="8" fillId="0" borderId="5" xfId="2" applyFont="1" applyBorder="1"/>
    <xf numFmtId="14" fontId="8" fillId="0" borderId="7" xfId="2" quotePrefix="1" applyNumberFormat="1" applyFont="1" applyBorder="1" applyAlignment="1">
      <alignment horizontal="left"/>
    </xf>
    <xf numFmtId="0" fontId="8" fillId="0" borderId="7" xfId="2" applyFont="1" applyBorder="1" applyAlignment="1">
      <alignment horizontal="left"/>
    </xf>
    <xf numFmtId="0" fontId="8" fillId="0" borderId="8" xfId="2" applyFont="1" applyBorder="1" applyAlignment="1">
      <alignment horizontal="left"/>
    </xf>
    <xf numFmtId="0" fontId="8" fillId="0" borderId="7" xfId="2" applyFont="1" applyBorder="1"/>
    <xf numFmtId="0" fontId="8" fillId="0" borderId="8" xfId="2" applyFont="1" applyBorder="1"/>
    <xf numFmtId="0" fontId="11" fillId="2" borderId="0" xfId="0" applyFont="1" applyFill="1" applyAlignment="1">
      <alignment horizontal="left" vertical="center"/>
    </xf>
    <xf numFmtId="0" fontId="14" fillId="3" borderId="0" xfId="0" applyFont="1" applyFill="1" applyAlignment="1">
      <alignment horizontal="center" vertical="center"/>
    </xf>
    <xf numFmtId="3" fontId="15" fillId="3" borderId="0" xfId="0" applyNumberFormat="1" applyFont="1" applyFill="1" applyAlignment="1">
      <alignment horizontal="center"/>
    </xf>
    <xf numFmtId="0" fontId="15" fillId="3" borderId="0" xfId="0" applyFont="1" applyFill="1" applyAlignment="1">
      <alignment horizontal="center"/>
    </xf>
    <xf numFmtId="0" fontId="17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13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9" fillId="3" borderId="0" xfId="0" applyFont="1" applyFill="1" applyAlignment="1">
      <alignment horizontal="left"/>
    </xf>
    <xf numFmtId="9" fontId="18" fillId="3" borderId="0" xfId="1" applyFont="1" applyFill="1" applyAlignment="1">
      <alignment horizontal="center"/>
    </xf>
    <xf numFmtId="0" fontId="23" fillId="2" borderId="0" xfId="0" applyFont="1" applyFill="1" applyAlignment="1">
      <alignment horizontal="left" vertical="center"/>
    </xf>
    <xf numFmtId="9" fontId="15" fillId="3" borderId="0" xfId="1" applyFont="1" applyFill="1" applyAlignment="1">
      <alignment horizontal="center"/>
    </xf>
    <xf numFmtId="14" fontId="18" fillId="3" borderId="0" xfId="0" applyNumberFormat="1" applyFont="1" applyFill="1" applyAlignment="1">
      <alignment horizontal="center"/>
    </xf>
    <xf numFmtId="0" fontId="0" fillId="0" borderId="0" xfId="0" applyAlignment="1">
      <alignment horizontal="left"/>
    </xf>
    <xf numFmtId="0" fontId="21" fillId="0" borderId="12" xfId="0" applyFont="1" applyBorder="1" applyAlignment="1">
      <alignment horizontal="center"/>
    </xf>
    <xf numFmtId="14" fontId="21" fillId="0" borderId="13" xfId="0" applyNumberFormat="1" applyFont="1" applyBorder="1" applyAlignment="1">
      <alignment horizontal="left"/>
    </xf>
    <xf numFmtId="0" fontId="0" fillId="0" borderId="0" xfId="0" applyAlignment="1">
      <alignment horizontal="left" wrapText="1"/>
    </xf>
    <xf numFmtId="0" fontId="2" fillId="0" borderId="0" xfId="0" applyFont="1" applyAlignment="1">
      <alignment horizontal="left"/>
    </xf>
  </cellXfs>
  <cellStyles count="3">
    <cellStyle name="Procent" xfId="1" builtinId="5"/>
    <cellStyle name="Standaard" xfId="0" builtinId="0"/>
    <cellStyle name="Standaard 2" xfId="2" xr:uid="{5709BE3A-1898-4F20-98C8-19F1B46DCE87}"/>
  </cellStyles>
  <dxfs count="2"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1271C"/>
      <color rgb="FF5353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93230850339932"/>
          <c:y val="4.3165467625899283E-2"/>
          <c:w val="0.83597168345129191"/>
          <c:h val="0.734276704620555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53534D"/>
              </a:solidFill>
              <a:ln w="9525">
                <a:solidFill>
                  <a:srgbClr val="53534D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53534D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'Analysed stock'!$A$6:$A$131</c:f>
              <c:numCache>
                <c:formatCode>m/d/yyyy</c:formatCode>
                <c:ptCount val="126"/>
                <c:pt idx="0">
                  <c:v>43900</c:v>
                </c:pt>
                <c:pt idx="1">
                  <c:v>43901</c:v>
                </c:pt>
                <c:pt idx="2">
                  <c:v>43902</c:v>
                </c:pt>
                <c:pt idx="3">
                  <c:v>43903</c:v>
                </c:pt>
                <c:pt idx="4">
                  <c:v>43906</c:v>
                </c:pt>
                <c:pt idx="5">
                  <c:v>43907</c:v>
                </c:pt>
                <c:pt idx="6">
                  <c:v>43908</c:v>
                </c:pt>
                <c:pt idx="7">
                  <c:v>43909</c:v>
                </c:pt>
                <c:pt idx="8">
                  <c:v>43910</c:v>
                </c:pt>
                <c:pt idx="9">
                  <c:v>43913</c:v>
                </c:pt>
                <c:pt idx="10">
                  <c:v>43914</c:v>
                </c:pt>
                <c:pt idx="11">
                  <c:v>43915</c:v>
                </c:pt>
                <c:pt idx="12">
                  <c:v>43916</c:v>
                </c:pt>
                <c:pt idx="13">
                  <c:v>43917</c:v>
                </c:pt>
                <c:pt idx="14">
                  <c:v>43920</c:v>
                </c:pt>
                <c:pt idx="15">
                  <c:v>43921</c:v>
                </c:pt>
                <c:pt idx="16">
                  <c:v>43922</c:v>
                </c:pt>
                <c:pt idx="17">
                  <c:v>43923</c:v>
                </c:pt>
                <c:pt idx="18">
                  <c:v>43924</c:v>
                </c:pt>
                <c:pt idx="19">
                  <c:v>43927</c:v>
                </c:pt>
                <c:pt idx="20">
                  <c:v>43928</c:v>
                </c:pt>
                <c:pt idx="21">
                  <c:v>43929</c:v>
                </c:pt>
                <c:pt idx="22">
                  <c:v>43930</c:v>
                </c:pt>
                <c:pt idx="23">
                  <c:v>43934</c:v>
                </c:pt>
                <c:pt idx="24">
                  <c:v>43935</c:v>
                </c:pt>
                <c:pt idx="25">
                  <c:v>43936</c:v>
                </c:pt>
                <c:pt idx="26">
                  <c:v>43937</c:v>
                </c:pt>
                <c:pt idx="27">
                  <c:v>43938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43948</c:v>
                </c:pt>
                <c:pt idx="34">
                  <c:v>43949</c:v>
                </c:pt>
                <c:pt idx="35">
                  <c:v>43950</c:v>
                </c:pt>
                <c:pt idx="36">
                  <c:v>43951</c:v>
                </c:pt>
                <c:pt idx="37">
                  <c:v>43952</c:v>
                </c:pt>
                <c:pt idx="38">
                  <c:v>43955</c:v>
                </c:pt>
                <c:pt idx="39">
                  <c:v>43956</c:v>
                </c:pt>
                <c:pt idx="40">
                  <c:v>43957</c:v>
                </c:pt>
                <c:pt idx="41">
                  <c:v>43958</c:v>
                </c:pt>
                <c:pt idx="42">
                  <c:v>43959</c:v>
                </c:pt>
                <c:pt idx="43">
                  <c:v>43962</c:v>
                </c:pt>
                <c:pt idx="44">
                  <c:v>43963</c:v>
                </c:pt>
                <c:pt idx="45">
                  <c:v>43964</c:v>
                </c:pt>
                <c:pt idx="46">
                  <c:v>43965</c:v>
                </c:pt>
                <c:pt idx="47">
                  <c:v>43966</c:v>
                </c:pt>
                <c:pt idx="48">
                  <c:v>43969</c:v>
                </c:pt>
                <c:pt idx="49">
                  <c:v>43970</c:v>
                </c:pt>
                <c:pt idx="50">
                  <c:v>43971</c:v>
                </c:pt>
                <c:pt idx="51">
                  <c:v>43972</c:v>
                </c:pt>
                <c:pt idx="52">
                  <c:v>43973</c:v>
                </c:pt>
                <c:pt idx="53">
                  <c:v>43977</c:v>
                </c:pt>
                <c:pt idx="54">
                  <c:v>43978</c:v>
                </c:pt>
                <c:pt idx="55">
                  <c:v>43979</c:v>
                </c:pt>
                <c:pt idx="56">
                  <c:v>43980</c:v>
                </c:pt>
                <c:pt idx="57">
                  <c:v>43983</c:v>
                </c:pt>
                <c:pt idx="58">
                  <c:v>43984</c:v>
                </c:pt>
                <c:pt idx="59">
                  <c:v>43985</c:v>
                </c:pt>
                <c:pt idx="60">
                  <c:v>43986</c:v>
                </c:pt>
                <c:pt idx="61">
                  <c:v>43987</c:v>
                </c:pt>
                <c:pt idx="62">
                  <c:v>43990</c:v>
                </c:pt>
                <c:pt idx="63">
                  <c:v>43991</c:v>
                </c:pt>
                <c:pt idx="64">
                  <c:v>43992</c:v>
                </c:pt>
                <c:pt idx="65">
                  <c:v>43993</c:v>
                </c:pt>
                <c:pt idx="66">
                  <c:v>43994</c:v>
                </c:pt>
                <c:pt idx="67">
                  <c:v>43997</c:v>
                </c:pt>
                <c:pt idx="68">
                  <c:v>43998</c:v>
                </c:pt>
                <c:pt idx="69">
                  <c:v>43999</c:v>
                </c:pt>
                <c:pt idx="70">
                  <c:v>44000</c:v>
                </c:pt>
                <c:pt idx="71">
                  <c:v>44001</c:v>
                </c:pt>
                <c:pt idx="72">
                  <c:v>44004</c:v>
                </c:pt>
                <c:pt idx="73">
                  <c:v>44005</c:v>
                </c:pt>
                <c:pt idx="74">
                  <c:v>44006</c:v>
                </c:pt>
                <c:pt idx="75">
                  <c:v>44007</c:v>
                </c:pt>
                <c:pt idx="76">
                  <c:v>44008</c:v>
                </c:pt>
                <c:pt idx="77">
                  <c:v>44011</c:v>
                </c:pt>
                <c:pt idx="78">
                  <c:v>44012</c:v>
                </c:pt>
                <c:pt idx="79">
                  <c:v>44013</c:v>
                </c:pt>
                <c:pt idx="80">
                  <c:v>44014</c:v>
                </c:pt>
                <c:pt idx="81">
                  <c:v>44018</c:v>
                </c:pt>
                <c:pt idx="82">
                  <c:v>44019</c:v>
                </c:pt>
                <c:pt idx="83">
                  <c:v>44020</c:v>
                </c:pt>
                <c:pt idx="84">
                  <c:v>44021</c:v>
                </c:pt>
                <c:pt idx="85">
                  <c:v>44022</c:v>
                </c:pt>
                <c:pt idx="86">
                  <c:v>44025</c:v>
                </c:pt>
                <c:pt idx="87">
                  <c:v>44026</c:v>
                </c:pt>
                <c:pt idx="88">
                  <c:v>44027</c:v>
                </c:pt>
                <c:pt idx="89">
                  <c:v>44028</c:v>
                </c:pt>
                <c:pt idx="90">
                  <c:v>44029</c:v>
                </c:pt>
                <c:pt idx="91">
                  <c:v>44032</c:v>
                </c:pt>
                <c:pt idx="92">
                  <c:v>44033</c:v>
                </c:pt>
                <c:pt idx="93">
                  <c:v>44034</c:v>
                </c:pt>
                <c:pt idx="94">
                  <c:v>44035</c:v>
                </c:pt>
                <c:pt idx="95">
                  <c:v>44036</c:v>
                </c:pt>
                <c:pt idx="96">
                  <c:v>44039</c:v>
                </c:pt>
                <c:pt idx="97">
                  <c:v>44040</c:v>
                </c:pt>
                <c:pt idx="98">
                  <c:v>44041</c:v>
                </c:pt>
                <c:pt idx="99">
                  <c:v>44042</c:v>
                </c:pt>
                <c:pt idx="100">
                  <c:v>44043</c:v>
                </c:pt>
                <c:pt idx="101">
                  <c:v>44046</c:v>
                </c:pt>
                <c:pt idx="102">
                  <c:v>44047</c:v>
                </c:pt>
                <c:pt idx="103">
                  <c:v>44048</c:v>
                </c:pt>
                <c:pt idx="104">
                  <c:v>44049</c:v>
                </c:pt>
                <c:pt idx="105">
                  <c:v>44050</c:v>
                </c:pt>
                <c:pt idx="106">
                  <c:v>44053</c:v>
                </c:pt>
                <c:pt idx="107">
                  <c:v>44054</c:v>
                </c:pt>
                <c:pt idx="108">
                  <c:v>44055</c:v>
                </c:pt>
                <c:pt idx="109">
                  <c:v>44056</c:v>
                </c:pt>
                <c:pt idx="110">
                  <c:v>44057</c:v>
                </c:pt>
                <c:pt idx="111">
                  <c:v>44060</c:v>
                </c:pt>
                <c:pt idx="112">
                  <c:v>44061</c:v>
                </c:pt>
                <c:pt idx="113">
                  <c:v>44062</c:v>
                </c:pt>
                <c:pt idx="114">
                  <c:v>44063</c:v>
                </c:pt>
                <c:pt idx="115">
                  <c:v>44064</c:v>
                </c:pt>
                <c:pt idx="116">
                  <c:v>44067</c:v>
                </c:pt>
                <c:pt idx="117">
                  <c:v>44068</c:v>
                </c:pt>
                <c:pt idx="118">
                  <c:v>44069</c:v>
                </c:pt>
                <c:pt idx="119">
                  <c:v>44070</c:v>
                </c:pt>
                <c:pt idx="120">
                  <c:v>44071</c:v>
                </c:pt>
                <c:pt idx="121">
                  <c:v>44074</c:v>
                </c:pt>
                <c:pt idx="122">
                  <c:v>44075</c:v>
                </c:pt>
                <c:pt idx="123">
                  <c:v>44076</c:v>
                </c:pt>
                <c:pt idx="124">
                  <c:v>44077</c:v>
                </c:pt>
                <c:pt idx="125">
                  <c:v>44078</c:v>
                </c:pt>
              </c:numCache>
            </c:numRef>
          </c:xVal>
          <c:yVal>
            <c:numRef>
              <c:f>'Analysed stock'!$G$6:$G$131</c:f>
              <c:numCache>
                <c:formatCode>General</c:formatCode>
                <c:ptCount val="126"/>
                <c:pt idx="0">
                  <c:v>0.99999999999999989</c:v>
                </c:pt>
                <c:pt idx="1">
                  <c:v>0.94607181708366173</c:v>
                </c:pt>
                <c:pt idx="2">
                  <c:v>0.85473344122779349</c:v>
                </c:pt>
                <c:pt idx="3">
                  <c:v>0.95525556363723618</c:v>
                </c:pt>
                <c:pt idx="4">
                  <c:v>0.83387012638443947</c:v>
                </c:pt>
                <c:pt idx="5">
                  <c:v>0.89222842935044322</c:v>
                </c:pt>
                <c:pt idx="6">
                  <c:v>0.850173115941811</c:v>
                </c:pt>
                <c:pt idx="7">
                  <c:v>0.85293225403114037</c:v>
                </c:pt>
                <c:pt idx="8">
                  <c:v>0.81867392935995476</c:v>
                </c:pt>
                <c:pt idx="9">
                  <c:v>0.80194005687987935</c:v>
                </c:pt>
                <c:pt idx="10">
                  <c:v>0.87680717368219407</c:v>
                </c:pt>
                <c:pt idx="11">
                  <c:v>0.88399046749065335</c:v>
                </c:pt>
                <c:pt idx="12">
                  <c:v>0.93974376072548926</c:v>
                </c:pt>
                <c:pt idx="13">
                  <c:v>0.90091361004925652</c:v>
                </c:pt>
                <c:pt idx="14">
                  <c:v>0.94887807064595742</c:v>
                </c:pt>
                <c:pt idx="15">
                  <c:v>0.93979379850967781</c:v>
                </c:pt>
                <c:pt idx="16">
                  <c:v>0.90102001757665229</c:v>
                </c:pt>
                <c:pt idx="17">
                  <c:v>0.9248297601010923</c:v>
                </c:pt>
                <c:pt idx="18">
                  <c:v>0.91854916520983032</c:v>
                </c:pt>
                <c:pt idx="19">
                  <c:v>0.97415397383243196</c:v>
                </c:pt>
                <c:pt idx="20">
                  <c:v>0.96681209369428101</c:v>
                </c:pt>
                <c:pt idx="21">
                  <c:v>0.99262964213511251</c:v>
                </c:pt>
                <c:pt idx="22">
                  <c:v>0.99772185298618488</c:v>
                </c:pt>
                <c:pt idx="23">
                  <c:v>0.99246208982151451</c:v>
                </c:pt>
                <c:pt idx="24">
                  <c:v>1.0231336736480245</c:v>
                </c:pt>
                <c:pt idx="25">
                  <c:v>1.005567641261804</c:v>
                </c:pt>
                <c:pt idx="26">
                  <c:v>1.0142755869726618</c:v>
                </c:pt>
                <c:pt idx="27">
                  <c:v>1.0447323548355336</c:v>
                </c:pt>
                <c:pt idx="28">
                  <c:v>1.0188296746084864</c:v>
                </c:pt>
                <c:pt idx="29">
                  <c:v>0.98925379563464921</c:v>
                </c:pt>
                <c:pt idx="30">
                  <c:v>1.013914499133322</c:v>
                </c:pt>
                <c:pt idx="31">
                  <c:v>1.0134868536474688</c:v>
                </c:pt>
                <c:pt idx="32">
                  <c:v>1.0259667054791128</c:v>
                </c:pt>
                <c:pt idx="33">
                  <c:v>1.0358583186491002</c:v>
                </c:pt>
                <c:pt idx="34">
                  <c:v>1.0286914283102671</c:v>
                </c:pt>
                <c:pt idx="35">
                  <c:v>1.0584703310504215</c:v>
                </c:pt>
                <c:pt idx="36">
                  <c:v>1.0620084381059023</c:v>
                </c:pt>
                <c:pt idx="37">
                  <c:v>1.0289391480290038</c:v>
                </c:pt>
                <c:pt idx="38">
                  <c:v>1.0422420089415798</c:v>
                </c:pt>
                <c:pt idx="39">
                  <c:v>1.0543568803546917</c:v>
                </c:pt>
                <c:pt idx="40">
                  <c:v>1.0547180890444081</c:v>
                </c:pt>
                <c:pt idx="41">
                  <c:v>1.0540235647438643</c:v>
                </c:pt>
                <c:pt idx="42">
                  <c:v>1.0670508193135038</c:v>
                </c:pt>
                <c:pt idx="43">
                  <c:v>1.0751865006971191</c:v>
                </c:pt>
                <c:pt idx="44">
                  <c:v>1.0486583227465449</c:v>
                </c:pt>
                <c:pt idx="45">
                  <c:v>1.0279377703203521</c:v>
                </c:pt>
                <c:pt idx="46">
                  <c:v>1.0366645624854907</c:v>
                </c:pt>
                <c:pt idx="47">
                  <c:v>1.0394477238264055</c:v>
                </c:pt>
                <c:pt idx="48">
                  <c:v>1.0686151616729069</c:v>
                </c:pt>
                <c:pt idx="49">
                  <c:v>1.0562831056820541</c:v>
                </c:pt>
                <c:pt idx="50">
                  <c:v>1.0699267715948277</c:v>
                </c:pt>
                <c:pt idx="51">
                  <c:v>1.0589436745598966</c:v>
                </c:pt>
                <c:pt idx="52">
                  <c:v>1.0597888979015568</c:v>
                </c:pt>
                <c:pt idx="53">
                  <c:v>1.0698774162822748</c:v>
                </c:pt>
                <c:pt idx="54">
                  <c:v>1.0838347551655252</c:v>
                </c:pt>
                <c:pt idx="55">
                  <c:v>1.0739076842593103</c:v>
                </c:pt>
                <c:pt idx="56">
                  <c:v>1.0757656044864805</c:v>
                </c:pt>
                <c:pt idx="57">
                  <c:v>1.0645545371774672</c:v>
                </c:pt>
                <c:pt idx="58">
                  <c:v>1.0829980492234479</c:v>
                </c:pt>
                <c:pt idx="59">
                  <c:v>1.095832995128786</c:v>
                </c:pt>
                <c:pt idx="60">
                  <c:v>1.0936609618476825</c:v>
                </c:pt>
                <c:pt idx="61">
                  <c:v>1.1192757541486749</c:v>
                </c:pt>
                <c:pt idx="62">
                  <c:v>1.1382945865143235</c:v>
                </c:pt>
                <c:pt idx="63">
                  <c:v>1.1313194990393864</c:v>
                </c:pt>
                <c:pt idx="64">
                  <c:v>1.137788384164846</c:v>
                </c:pt>
                <c:pt idx="65">
                  <c:v>1.0615242610247018</c:v>
                </c:pt>
                <c:pt idx="66">
                  <c:v>1.0785137822761539</c:v>
                </c:pt>
                <c:pt idx="67">
                  <c:v>1.0822625355539754</c:v>
                </c:pt>
                <c:pt idx="68">
                  <c:v>1.1036997746335464</c:v>
                </c:pt>
                <c:pt idx="69">
                  <c:v>1.0986468111529137</c:v>
                </c:pt>
                <c:pt idx="70">
                  <c:v>1.1031046812140346</c:v>
                </c:pt>
                <c:pt idx="71">
                  <c:v>1.0956769648352362</c:v>
                </c:pt>
                <c:pt idx="72">
                  <c:v>1.1114668380493484</c:v>
                </c:pt>
                <c:pt idx="73">
                  <c:v>1.1145952739059943</c:v>
                </c:pt>
                <c:pt idx="74">
                  <c:v>1.0845500391677174</c:v>
                </c:pt>
                <c:pt idx="75">
                  <c:v>1.1012332884909402</c:v>
                </c:pt>
                <c:pt idx="76">
                  <c:v>1.0716090077345903</c:v>
                </c:pt>
                <c:pt idx="77">
                  <c:v>1.0891842928049198</c:v>
                </c:pt>
                <c:pt idx="78">
                  <c:v>1.1087959655778266</c:v>
                </c:pt>
                <c:pt idx="79">
                  <c:v>1.1151360293356172</c:v>
                </c:pt>
                <c:pt idx="80">
                  <c:v>1.1260993892250044</c:v>
                </c:pt>
                <c:pt idx="81">
                  <c:v>1.1480458500466373</c:v>
                </c:pt>
                <c:pt idx="82">
                  <c:v>1.1279574081389228</c:v>
                </c:pt>
                <c:pt idx="83">
                  <c:v>1.143036368774353</c:v>
                </c:pt>
                <c:pt idx="84">
                  <c:v>1.1357848740417622</c:v>
                </c:pt>
                <c:pt idx="85">
                  <c:v>1.1448547443186616</c:v>
                </c:pt>
                <c:pt idx="86">
                  <c:v>1.1342637974646619</c:v>
                </c:pt>
                <c:pt idx="87">
                  <c:v>1.1464213173417996</c:v>
                </c:pt>
                <c:pt idx="88">
                  <c:v>1.1540868432307001</c:v>
                </c:pt>
                <c:pt idx="89">
                  <c:v>1.1375587385473447</c:v>
                </c:pt>
                <c:pt idx="90">
                  <c:v>1.1347924955115218</c:v>
                </c:pt>
                <c:pt idx="91">
                  <c:v>1.1588853662074738</c:v>
                </c:pt>
                <c:pt idx="92">
                  <c:v>1.1581704559784314</c:v>
                </c:pt>
                <c:pt idx="93">
                  <c:v>1.1728689312617371</c:v>
                </c:pt>
                <c:pt idx="94">
                  <c:v>1.1417497710497204</c:v>
                </c:pt>
                <c:pt idx="95">
                  <c:v>1.130063744691816</c:v>
                </c:pt>
                <c:pt idx="96">
                  <c:v>1.1379132855805227</c:v>
                </c:pt>
                <c:pt idx="97">
                  <c:v>1.1408612095513697</c:v>
                </c:pt>
                <c:pt idx="98">
                  <c:v>1.1468241012447424</c:v>
                </c:pt>
                <c:pt idx="99">
                  <c:v>1.1329612232812749</c:v>
                </c:pt>
                <c:pt idx="100">
                  <c:v>1.1323920432849339</c:v>
                </c:pt>
                <c:pt idx="101">
                  <c:v>1.1690849263759715</c:v>
                </c:pt>
                <c:pt idx="102">
                  <c:v>1.1635879215326015</c:v>
                </c:pt>
                <c:pt idx="103">
                  <c:v>1.1682228188884802</c:v>
                </c:pt>
                <c:pt idx="104">
                  <c:v>1.1763562020411906</c:v>
                </c:pt>
                <c:pt idx="105">
                  <c:v>1.1678832285451055</c:v>
                </c:pt>
                <c:pt idx="106">
                  <c:v>1.1605109635802449</c:v>
                </c:pt>
                <c:pt idx="107">
                  <c:v>1.1445589501267524</c:v>
                </c:pt>
                <c:pt idx="108">
                  <c:v>1.1641739288840947</c:v>
                </c:pt>
                <c:pt idx="109">
                  <c:v>1.155853722489401</c:v>
                </c:pt>
                <c:pt idx="110">
                  <c:v>1.1567269530821722</c:v>
                </c:pt>
                <c:pt idx="111">
                  <c:v>1.1565966776531953</c:v>
                </c:pt>
                <c:pt idx="112">
                  <c:v>1.1586366816716986</c:v>
                </c:pt>
                <c:pt idx="113">
                  <c:v>1.1516636275164556</c:v>
                </c:pt>
                <c:pt idx="114">
                  <c:v>1.1661342547279041</c:v>
                </c:pt>
                <c:pt idx="115">
                  <c:v>1.1622647237498556</c:v>
                </c:pt>
                <c:pt idx="116">
                  <c:v>1.1731818301769383</c:v>
                </c:pt>
                <c:pt idx="117">
                  <c:v>1.1750676929621708</c:v>
                </c:pt>
                <c:pt idx="118">
                  <c:v>1.1849422538196852</c:v>
                </c:pt>
                <c:pt idx="119">
                  <c:v>1.2016827994701933</c:v>
                </c:pt>
                <c:pt idx="120">
                  <c:v>1.2115453156393299</c:v>
                </c:pt>
                <c:pt idx="121">
                  <c:v>1.1940302528001498</c:v>
                </c:pt>
                <c:pt idx="122">
                  <c:v>1.1916253132492145</c:v>
                </c:pt>
                <c:pt idx="123">
                  <c:v>1.2118412012350368</c:v>
                </c:pt>
                <c:pt idx="124">
                  <c:v>1.1597427255956123</c:v>
                </c:pt>
                <c:pt idx="125">
                  <c:v>1.1529289901882305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DA-482C-BD54-F4120FDCC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5966648"/>
        <c:axId val="895965336"/>
      </c:scatterChart>
      <c:valAx>
        <c:axId val="895966648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[$-413]mmm/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895965336"/>
        <c:crosses val="autoZero"/>
        <c:crossBetween val="midCat"/>
      </c:valAx>
      <c:valAx>
        <c:axId val="895965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Yield</a:t>
                </a:r>
                <a:r>
                  <a:rPr lang="nl-NL" baseline="0"/>
                  <a:t> (%)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895966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Portfolio!$K$15</c:f>
              <c:strCache>
                <c:ptCount val="1"/>
                <c:pt idx="0">
                  <c:v>Start Value</c:v>
                </c:pt>
              </c:strCache>
            </c:strRef>
          </c:tx>
          <c:spPr>
            <a:solidFill>
              <a:srgbClr val="53534D"/>
            </a:solidFill>
            <a:ln>
              <a:noFill/>
            </a:ln>
            <a:effectLst/>
          </c:spPr>
          <c:invertIfNegative val="0"/>
          <c:cat>
            <c:strRef>
              <c:f>Portfolio!$J$16:$J$20</c:f>
              <c:strCache>
                <c:ptCount val="5"/>
                <c:pt idx="0">
                  <c:v>PFE</c:v>
                </c:pt>
                <c:pt idx="1">
                  <c:v>Dell</c:v>
                </c:pt>
                <c:pt idx="2">
                  <c:v>cemb</c:v>
                </c:pt>
                <c:pt idx="3">
                  <c:v>XOM</c:v>
                </c:pt>
                <c:pt idx="4">
                  <c:v>GE</c:v>
                </c:pt>
              </c:strCache>
            </c:strRef>
          </c:cat>
          <c:val>
            <c:numRef>
              <c:f>Portfolio!$K$16:$K$20</c:f>
              <c:numCache>
                <c:formatCode>0.00</c:formatCode>
                <c:ptCount val="5"/>
                <c:pt idx="0">
                  <c:v>34.590000000000003</c:v>
                </c:pt>
                <c:pt idx="1">
                  <c:v>160.91999999999999</c:v>
                </c:pt>
                <c:pt idx="2">
                  <c:v>184.35</c:v>
                </c:pt>
                <c:pt idx="3">
                  <c:v>43.41</c:v>
                </c:pt>
                <c:pt idx="4">
                  <c:v>8.85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74-4414-A5A7-33223EF74F82}"/>
            </c:ext>
          </c:extLst>
        </c:ser>
        <c:ser>
          <c:idx val="1"/>
          <c:order val="1"/>
          <c:tx>
            <c:strRef>
              <c:f>Portfolio!$L$15</c:f>
              <c:strCache>
                <c:ptCount val="1"/>
                <c:pt idx="0">
                  <c:v>Last Value</c:v>
                </c:pt>
              </c:strCache>
            </c:strRef>
          </c:tx>
          <c:spPr>
            <a:solidFill>
              <a:srgbClr val="E1271C"/>
            </a:solidFill>
            <a:ln>
              <a:noFill/>
            </a:ln>
            <a:effectLst/>
          </c:spPr>
          <c:invertIfNegative val="0"/>
          <c:cat>
            <c:strRef>
              <c:f>Portfolio!$J$16:$J$20</c:f>
              <c:strCache>
                <c:ptCount val="5"/>
                <c:pt idx="0">
                  <c:v>PFE</c:v>
                </c:pt>
                <c:pt idx="1">
                  <c:v>Dell</c:v>
                </c:pt>
                <c:pt idx="2">
                  <c:v>cemb</c:v>
                </c:pt>
                <c:pt idx="3">
                  <c:v>XOM</c:v>
                </c:pt>
                <c:pt idx="4">
                  <c:v>GE</c:v>
                </c:pt>
              </c:strCache>
            </c:strRef>
          </c:cat>
          <c:val>
            <c:numRef>
              <c:f>Portfolio!$L$16:$L$20</c:f>
              <c:numCache>
                <c:formatCode>General</c:formatCode>
                <c:ptCount val="5"/>
                <c:pt idx="0">
                  <c:v>35.65</c:v>
                </c:pt>
                <c:pt idx="1">
                  <c:v>205.37</c:v>
                </c:pt>
                <c:pt idx="2">
                  <c:v>200.01</c:v>
                </c:pt>
                <c:pt idx="3">
                  <c:v>37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74-4414-A5A7-33223EF7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3178840"/>
        <c:axId val="573170312"/>
      </c:barChart>
      <c:catAx>
        <c:axId val="573178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573170312"/>
        <c:crosses val="autoZero"/>
        <c:auto val="1"/>
        <c:lblAlgn val="ctr"/>
        <c:lblOffset val="100"/>
        <c:noMultiLvlLbl val="0"/>
      </c:catAx>
      <c:valAx>
        <c:axId val="57317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573178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95249</xdr:colOff>
      <xdr:row>12</xdr:row>
      <xdr:rowOff>95249</xdr:rowOff>
    </xdr:from>
    <xdr:to>
      <xdr:col>5</xdr:col>
      <xdr:colOff>520195</xdr:colOff>
      <xdr:row>16</xdr:row>
      <xdr:rowOff>353277</xdr:rowOff>
    </xdr:to>
    <xdr:pic>
      <xdr:nvPicPr>
        <xdr:cNvPr id="2" name="Afbeelding 1" descr="http://www.apsupport.nl/portal-content/home-final/logo%20website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3999" y="2867024"/>
          <a:ext cx="1644146" cy="1020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428625</xdr:colOff>
          <xdr:row>27</xdr:row>
          <xdr:rowOff>66675</xdr:rowOff>
        </xdr:from>
        <xdr:to>
          <xdr:col>5</xdr:col>
          <xdr:colOff>1323975</xdr:colOff>
          <xdr:row>28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1104900</xdr:colOff>
          <xdr:row>1</xdr:row>
          <xdr:rowOff>9525</xdr:rowOff>
        </xdr:from>
        <xdr:to>
          <xdr:col>15</xdr:col>
          <xdr:colOff>1333500</xdr:colOff>
          <xdr:row>1</xdr:row>
          <xdr:rowOff>228600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Assets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285749</xdr:colOff>
      <xdr:row>13</xdr:row>
      <xdr:rowOff>9525</xdr:rowOff>
    </xdr:from>
    <xdr:to>
      <xdr:col>8</xdr:col>
      <xdr:colOff>0</xdr:colOff>
      <xdr:row>26</xdr:row>
      <xdr:rowOff>180975</xdr:rowOff>
    </xdr:to>
    <xdr:graphicFrame macro="">
      <xdr:nvGraphicFramePr>
        <xdr:cNvPr id="6" name="Grafi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138111</xdr:colOff>
      <xdr:row>13</xdr:row>
      <xdr:rowOff>4761</xdr:rowOff>
    </xdr:from>
    <xdr:to>
      <xdr:col>15</xdr:col>
      <xdr:colOff>1333500</xdr:colOff>
      <xdr:row>26</xdr:row>
      <xdr:rowOff>180974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27</xdr:row>
          <xdr:rowOff>47625</xdr:rowOff>
        </xdr:from>
        <xdr:to>
          <xdr:col>15</xdr:col>
          <xdr:colOff>1295400</xdr:colOff>
          <xdr:row>28</xdr:row>
          <xdr:rowOff>171450</xdr:rowOff>
        </xdr:to>
        <xdr:sp macro="" textlink="">
          <xdr:nvSpPr>
            <xdr:cNvPr id="2056" name="startTicker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16</xdr:col>
      <xdr:colOff>123265</xdr:colOff>
      <xdr:row>1</xdr:row>
      <xdr:rowOff>123265</xdr:rowOff>
    </xdr:from>
    <xdr:to>
      <xdr:col>18</xdr:col>
      <xdr:colOff>557176</xdr:colOff>
      <xdr:row>5</xdr:row>
      <xdr:rowOff>280440</xdr:rowOff>
    </xdr:to>
    <xdr:pic>
      <xdr:nvPicPr>
        <xdr:cNvPr id="12" name="Afbeelding 11" descr="http://www.apsupport.nl/portal-content/home-final/logo%20website.png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20265" y="313765"/>
          <a:ext cx="1644146" cy="10200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2</xdr:row>
          <xdr:rowOff>114300</xdr:rowOff>
        </xdr:from>
        <xdr:to>
          <xdr:col>11</xdr:col>
          <xdr:colOff>457200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JSON to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36948-085A-427E-8E29-712178FBC16B}">
  <sheetPr codeName="Blad5"/>
  <dimension ref="A2:O130"/>
  <sheetViews>
    <sheetView showGridLines="0" showRowColHeaders="0" workbookViewId="0">
      <selection activeCell="N9" sqref="N9"/>
    </sheetView>
  </sheetViews>
  <sheetFormatPr defaultRowHeight="15" x14ac:dyDescent="0.25"/>
  <cols>
    <col min="1" max="1" width="4.85546875" customWidth="1"/>
    <col min="2" max="2" width="64.5703125" customWidth="1"/>
  </cols>
  <sheetData>
    <row r="2" spans="1:15" ht="18.75" x14ac:dyDescent="0.25">
      <c r="B2" s="4" t="s">
        <v>16947</v>
      </c>
    </row>
    <row r="3" spans="1:15" ht="15.75" thickBot="1" x14ac:dyDescent="0.3"/>
    <row r="4" spans="1:15" ht="18.75" thickBot="1" x14ac:dyDescent="0.3">
      <c r="B4" s="49" t="s">
        <v>16949</v>
      </c>
      <c r="C4" s="50"/>
      <c r="D4" s="50"/>
      <c r="E4" s="50"/>
      <c r="F4" s="50"/>
    </row>
    <row r="5" spans="1:15" x14ac:dyDescent="0.25">
      <c r="B5" s="5" t="s">
        <v>16920</v>
      </c>
      <c r="C5" s="51" t="s">
        <v>16950</v>
      </c>
      <c r="D5" s="51"/>
      <c r="E5" s="51"/>
      <c r="F5" s="52"/>
    </row>
    <row r="6" spans="1:15" x14ac:dyDescent="0.25">
      <c r="B6" s="6" t="s">
        <v>16951</v>
      </c>
      <c r="C6" s="53">
        <v>44063</v>
      </c>
      <c r="D6" s="54"/>
      <c r="E6" s="54"/>
      <c r="F6" s="55"/>
    </row>
    <row r="7" spans="1:15" x14ac:dyDescent="0.25">
      <c r="B7" s="6" t="s">
        <v>16952</v>
      </c>
      <c r="C7" s="56" t="s">
        <v>16909</v>
      </c>
      <c r="D7" s="56"/>
      <c r="E7" s="56"/>
      <c r="F7" s="57"/>
    </row>
    <row r="8" spans="1:15" x14ac:dyDescent="0.25">
      <c r="B8" s="6" t="s">
        <v>16953</v>
      </c>
      <c r="C8" s="56" t="s">
        <v>16954</v>
      </c>
      <c r="D8" s="56"/>
      <c r="E8" s="56"/>
      <c r="F8" s="57"/>
    </row>
    <row r="9" spans="1:15" ht="42" customHeight="1" thickBot="1" x14ac:dyDescent="0.3">
      <c r="A9" s="1"/>
      <c r="B9" s="7" t="s">
        <v>16955</v>
      </c>
      <c r="C9" s="45" t="s">
        <v>16956</v>
      </c>
      <c r="D9" s="46"/>
      <c r="E9" s="46"/>
      <c r="F9" s="47"/>
      <c r="O9" s="32"/>
    </row>
    <row r="10" spans="1:15" x14ac:dyDescent="0.25">
      <c r="A10" s="1"/>
      <c r="B10" s="8"/>
      <c r="C10" s="9"/>
      <c r="D10" s="9"/>
      <c r="E10" s="9"/>
      <c r="F10" s="9"/>
      <c r="O10" s="32"/>
    </row>
    <row r="11" spans="1:15" x14ac:dyDescent="0.25">
      <c r="A11" s="1"/>
      <c r="B11" s="10"/>
      <c r="C11" s="10"/>
      <c r="D11" s="11"/>
      <c r="E11" s="10"/>
      <c r="O11" s="32"/>
    </row>
    <row r="12" spans="1:15" ht="18" x14ac:dyDescent="0.25">
      <c r="A12" s="1"/>
      <c r="B12" s="12"/>
      <c r="C12" s="12"/>
      <c r="D12" s="12"/>
      <c r="E12" s="12"/>
      <c r="F12" s="12"/>
      <c r="G12" s="13"/>
      <c r="O12" s="32"/>
    </row>
    <row r="13" spans="1:15" x14ac:dyDescent="0.25">
      <c r="A13" s="1"/>
      <c r="B13" s="48" t="s">
        <v>16957</v>
      </c>
      <c r="O13" s="32"/>
    </row>
    <row r="14" spans="1:15" x14ac:dyDescent="0.25">
      <c r="A14" s="1"/>
      <c r="B14" s="48"/>
      <c r="C14" s="14"/>
      <c r="O14" s="32"/>
    </row>
    <row r="15" spans="1:15" x14ac:dyDescent="0.25">
      <c r="A15" s="1"/>
      <c r="B15" s="48"/>
      <c r="C15" s="14"/>
      <c r="O15" s="32"/>
    </row>
    <row r="16" spans="1:15" x14ac:dyDescent="0.25">
      <c r="A16" s="1"/>
      <c r="B16" s="48"/>
      <c r="C16" s="14"/>
      <c r="O16" s="32"/>
    </row>
    <row r="17" spans="1:15" ht="75.75" customHeight="1" x14ac:dyDescent="0.25">
      <c r="A17" s="1"/>
      <c r="B17" s="48"/>
      <c r="O17" s="32"/>
    </row>
    <row r="18" spans="1:15" x14ac:dyDescent="0.25">
      <c r="A18" s="1"/>
      <c r="B18" s="3"/>
      <c r="O18" s="32"/>
    </row>
    <row r="19" spans="1:15" x14ac:dyDescent="0.25">
      <c r="A19" s="1"/>
      <c r="O19" s="32"/>
    </row>
    <row r="20" spans="1:15" x14ac:dyDescent="0.25">
      <c r="A20" s="1"/>
      <c r="O20" s="32"/>
    </row>
    <row r="21" spans="1:15" x14ac:dyDescent="0.25">
      <c r="A21" s="1"/>
      <c r="O21" s="32"/>
    </row>
    <row r="22" spans="1:15" x14ac:dyDescent="0.25">
      <c r="A22" s="1"/>
      <c r="O22" s="32"/>
    </row>
    <row r="23" spans="1:15" x14ac:dyDescent="0.25">
      <c r="A23" s="1"/>
      <c r="O23" s="32"/>
    </row>
    <row r="24" spans="1:15" x14ac:dyDescent="0.25">
      <c r="A24" s="1"/>
      <c r="O24" s="32"/>
    </row>
    <row r="25" spans="1:15" x14ac:dyDescent="0.25">
      <c r="A25" s="1"/>
      <c r="O25" s="32"/>
    </row>
    <row r="26" spans="1:15" x14ac:dyDescent="0.25">
      <c r="A26" s="1"/>
      <c r="O26" s="32"/>
    </row>
    <row r="27" spans="1:15" x14ac:dyDescent="0.25">
      <c r="A27" s="1"/>
      <c r="O27" s="32"/>
    </row>
    <row r="28" spans="1:15" x14ac:dyDescent="0.25">
      <c r="A28" s="1"/>
      <c r="O28" s="32"/>
    </row>
    <row r="29" spans="1:15" x14ac:dyDescent="0.25">
      <c r="A29" s="1"/>
      <c r="O29" s="32"/>
    </row>
    <row r="30" spans="1:15" x14ac:dyDescent="0.25">
      <c r="A30" s="1"/>
      <c r="O30" s="32"/>
    </row>
    <row r="31" spans="1:15" x14ac:dyDescent="0.25">
      <c r="A31" s="1"/>
      <c r="O31" s="32"/>
    </row>
    <row r="32" spans="1:15" x14ac:dyDescent="0.25">
      <c r="A32" s="1"/>
      <c r="O32" s="32"/>
    </row>
    <row r="33" spans="1:15" x14ac:dyDescent="0.25">
      <c r="A33" s="1"/>
      <c r="O33" s="32"/>
    </row>
    <row r="34" spans="1:15" x14ac:dyDescent="0.25">
      <c r="A34" s="1"/>
      <c r="O34" s="32"/>
    </row>
    <row r="35" spans="1:15" x14ac:dyDescent="0.25">
      <c r="A35" s="1"/>
      <c r="O35" s="32"/>
    </row>
    <row r="36" spans="1:15" x14ac:dyDescent="0.25">
      <c r="A36" s="1"/>
      <c r="O36" s="32"/>
    </row>
    <row r="37" spans="1:15" x14ac:dyDescent="0.25">
      <c r="A37" s="1"/>
      <c r="O37" s="32"/>
    </row>
    <row r="38" spans="1:15" x14ac:dyDescent="0.25">
      <c r="A38" s="1"/>
      <c r="O38" s="32"/>
    </row>
    <row r="39" spans="1:15" x14ac:dyDescent="0.25">
      <c r="A39" s="1"/>
      <c r="O39" s="32"/>
    </row>
    <row r="40" spans="1:15" x14ac:dyDescent="0.25">
      <c r="A40" s="1"/>
      <c r="O40" s="32"/>
    </row>
    <row r="41" spans="1:15" x14ac:dyDescent="0.25">
      <c r="A41" s="1"/>
      <c r="O41" s="32"/>
    </row>
    <row r="42" spans="1:15" x14ac:dyDescent="0.25">
      <c r="A42" s="1"/>
      <c r="O42" s="32"/>
    </row>
    <row r="43" spans="1:15" x14ac:dyDescent="0.25">
      <c r="A43" s="1"/>
      <c r="O43" s="32"/>
    </row>
    <row r="44" spans="1:15" x14ac:dyDescent="0.25">
      <c r="A44" s="1"/>
      <c r="O44" s="32"/>
    </row>
    <row r="45" spans="1:15" x14ac:dyDescent="0.25">
      <c r="A45" s="1"/>
      <c r="O45" s="32"/>
    </row>
    <row r="46" spans="1:15" x14ac:dyDescent="0.25">
      <c r="A46" s="1"/>
      <c r="O46" s="32"/>
    </row>
    <row r="47" spans="1:15" x14ac:dyDescent="0.25">
      <c r="A47" s="1"/>
      <c r="O47" s="32"/>
    </row>
    <row r="48" spans="1:15" x14ac:dyDescent="0.25">
      <c r="A48" s="1"/>
      <c r="O48" s="32"/>
    </row>
    <row r="49" spans="1:15" x14ac:dyDescent="0.25">
      <c r="A49" s="1"/>
      <c r="O49" s="32"/>
    </row>
    <row r="50" spans="1:15" x14ac:dyDescent="0.25">
      <c r="A50" s="1"/>
      <c r="O50" s="32"/>
    </row>
    <row r="51" spans="1:15" x14ac:dyDescent="0.25">
      <c r="A51" s="1"/>
      <c r="O51" s="32"/>
    </row>
    <row r="52" spans="1:15" x14ac:dyDescent="0.25">
      <c r="A52" s="1"/>
      <c r="O52" s="32"/>
    </row>
    <row r="53" spans="1:15" x14ac:dyDescent="0.25">
      <c r="A53" s="1"/>
      <c r="O53" s="32"/>
    </row>
    <row r="54" spans="1:15" x14ac:dyDescent="0.25">
      <c r="A54" s="1"/>
      <c r="O54" s="32"/>
    </row>
    <row r="55" spans="1:15" x14ac:dyDescent="0.25">
      <c r="A55" s="1"/>
      <c r="O55" s="32"/>
    </row>
    <row r="56" spans="1:15" x14ac:dyDescent="0.25">
      <c r="A56" s="1"/>
      <c r="O56" s="32"/>
    </row>
    <row r="57" spans="1:15" x14ac:dyDescent="0.25">
      <c r="A57" s="1"/>
      <c r="O57" s="32"/>
    </row>
    <row r="58" spans="1:15" x14ac:dyDescent="0.25">
      <c r="A58" s="1"/>
      <c r="O58" s="32"/>
    </row>
    <row r="59" spans="1:15" x14ac:dyDescent="0.25">
      <c r="A59" s="1"/>
      <c r="O59" s="32"/>
    </row>
    <row r="60" spans="1:15" x14ac:dyDescent="0.25">
      <c r="A60" s="1"/>
      <c r="O60" s="32"/>
    </row>
    <row r="61" spans="1:15" x14ac:dyDescent="0.25">
      <c r="A61" s="1"/>
      <c r="O61" s="32"/>
    </row>
    <row r="62" spans="1:15" x14ac:dyDescent="0.25">
      <c r="A62" s="1"/>
      <c r="O62" s="32"/>
    </row>
    <row r="63" spans="1:15" x14ac:dyDescent="0.25">
      <c r="A63" s="1"/>
      <c r="O63" s="32"/>
    </row>
    <row r="64" spans="1:15" x14ac:dyDescent="0.25">
      <c r="A64" s="1"/>
      <c r="O64" s="32"/>
    </row>
    <row r="65" spans="1:15" x14ac:dyDescent="0.25">
      <c r="A65" s="1"/>
      <c r="O65" s="32"/>
    </row>
    <row r="66" spans="1:15" x14ac:dyDescent="0.25">
      <c r="A66" s="1"/>
      <c r="O66" s="32"/>
    </row>
    <row r="67" spans="1:15" x14ac:dyDescent="0.25">
      <c r="A67" s="1"/>
      <c r="O67" s="32"/>
    </row>
    <row r="68" spans="1:15" x14ac:dyDescent="0.25">
      <c r="A68" s="1"/>
      <c r="O68" s="32"/>
    </row>
    <row r="69" spans="1:15" x14ac:dyDescent="0.25">
      <c r="A69" s="1"/>
      <c r="O69" s="32"/>
    </row>
    <row r="70" spans="1:15" x14ac:dyDescent="0.25">
      <c r="A70" s="1"/>
      <c r="O70" s="32"/>
    </row>
    <row r="71" spans="1:15" x14ac:dyDescent="0.25">
      <c r="A71" s="1"/>
      <c r="O71" s="32"/>
    </row>
    <row r="72" spans="1:15" x14ac:dyDescent="0.25">
      <c r="A72" s="1"/>
      <c r="O72" s="32"/>
    </row>
    <row r="73" spans="1:15" x14ac:dyDescent="0.25">
      <c r="A73" s="1"/>
      <c r="O73" s="32"/>
    </row>
    <row r="74" spans="1:15" x14ac:dyDescent="0.25">
      <c r="A74" s="1"/>
      <c r="O74" s="32"/>
    </row>
    <row r="75" spans="1:15" x14ac:dyDescent="0.25">
      <c r="A75" s="1"/>
      <c r="O75" s="32"/>
    </row>
    <row r="76" spans="1:15" x14ac:dyDescent="0.25">
      <c r="A76" s="1"/>
      <c r="O76" s="32"/>
    </row>
    <row r="77" spans="1:15" x14ac:dyDescent="0.25">
      <c r="A77" s="1"/>
      <c r="O77" s="32"/>
    </row>
    <row r="78" spans="1:15" x14ac:dyDescent="0.25">
      <c r="A78" s="1"/>
      <c r="O78" s="32"/>
    </row>
    <row r="79" spans="1:15" x14ac:dyDescent="0.25">
      <c r="A79" s="1"/>
      <c r="O79" s="32"/>
    </row>
    <row r="80" spans="1:15" x14ac:dyDescent="0.25">
      <c r="A80" s="1"/>
      <c r="O80" s="32"/>
    </row>
    <row r="81" spans="1:15" x14ac:dyDescent="0.25">
      <c r="A81" s="1"/>
      <c r="O81" s="32"/>
    </row>
    <row r="82" spans="1:15" x14ac:dyDescent="0.25">
      <c r="A82" s="1"/>
      <c r="O82" s="32"/>
    </row>
    <row r="83" spans="1:15" x14ac:dyDescent="0.25">
      <c r="A83" s="1"/>
      <c r="O83" s="32"/>
    </row>
    <row r="84" spans="1:15" x14ac:dyDescent="0.25">
      <c r="A84" s="1"/>
      <c r="O84" s="32"/>
    </row>
    <row r="85" spans="1:15" x14ac:dyDescent="0.25">
      <c r="A85" s="1"/>
      <c r="O85" s="32"/>
    </row>
    <row r="86" spans="1:15" x14ac:dyDescent="0.25">
      <c r="A86" s="1"/>
      <c r="O86" s="32"/>
    </row>
    <row r="87" spans="1:15" x14ac:dyDescent="0.25">
      <c r="A87" s="1"/>
      <c r="O87" s="32"/>
    </row>
    <row r="88" spans="1:15" x14ac:dyDescent="0.25">
      <c r="A88" s="1"/>
      <c r="O88" s="32"/>
    </row>
    <row r="89" spans="1:15" x14ac:dyDescent="0.25">
      <c r="A89" s="1"/>
      <c r="O89" s="32"/>
    </row>
    <row r="90" spans="1:15" x14ac:dyDescent="0.25">
      <c r="A90" s="1"/>
      <c r="O90" s="32"/>
    </row>
    <row r="91" spans="1:15" x14ac:dyDescent="0.25">
      <c r="A91" s="1"/>
      <c r="O91" s="32"/>
    </row>
    <row r="92" spans="1:15" x14ac:dyDescent="0.25">
      <c r="A92" s="1"/>
      <c r="O92" s="32"/>
    </row>
    <row r="93" spans="1:15" x14ac:dyDescent="0.25">
      <c r="A93" s="1"/>
      <c r="O93" s="32"/>
    </row>
    <row r="94" spans="1:15" x14ac:dyDescent="0.25">
      <c r="A94" s="1"/>
      <c r="O94" s="32"/>
    </row>
    <row r="95" spans="1:15" x14ac:dyDescent="0.25">
      <c r="A95" s="1"/>
      <c r="O95" s="32"/>
    </row>
    <row r="96" spans="1:15" x14ac:dyDescent="0.25">
      <c r="A96" s="1"/>
      <c r="O96" s="32"/>
    </row>
    <row r="97" spans="1:15" x14ac:dyDescent="0.25">
      <c r="A97" s="1"/>
      <c r="O97" s="32"/>
    </row>
    <row r="98" spans="1:15" x14ac:dyDescent="0.25">
      <c r="A98" s="1"/>
      <c r="O98" s="32"/>
    </row>
    <row r="99" spans="1:15" x14ac:dyDescent="0.25">
      <c r="A99" s="1"/>
      <c r="O99" s="32"/>
    </row>
    <row r="100" spans="1:15" x14ac:dyDescent="0.25">
      <c r="A100" s="1"/>
      <c r="O100" s="32"/>
    </row>
    <row r="101" spans="1:15" x14ac:dyDescent="0.25">
      <c r="A101" s="1"/>
      <c r="O101" s="32"/>
    </row>
    <row r="102" spans="1:15" x14ac:dyDescent="0.25">
      <c r="A102" s="1"/>
      <c r="O102" s="32"/>
    </row>
    <row r="103" spans="1:15" x14ac:dyDescent="0.25">
      <c r="A103" s="1"/>
      <c r="O103" s="32"/>
    </row>
    <row r="104" spans="1:15" x14ac:dyDescent="0.25">
      <c r="A104" s="1"/>
      <c r="O104" s="32"/>
    </row>
    <row r="105" spans="1:15" x14ac:dyDescent="0.25">
      <c r="A105" s="1"/>
      <c r="O105" s="32"/>
    </row>
    <row r="106" spans="1:15" x14ac:dyDescent="0.25">
      <c r="A106" s="1"/>
      <c r="O106" s="32"/>
    </row>
    <row r="107" spans="1:15" x14ac:dyDescent="0.25">
      <c r="A107" s="1"/>
      <c r="O107" s="32"/>
    </row>
    <row r="108" spans="1:15" x14ac:dyDescent="0.25">
      <c r="A108" s="1"/>
      <c r="O108" s="32"/>
    </row>
    <row r="109" spans="1:15" x14ac:dyDescent="0.25">
      <c r="A109" s="1"/>
      <c r="O109" s="32"/>
    </row>
    <row r="110" spans="1:15" x14ac:dyDescent="0.25">
      <c r="A110" s="1"/>
      <c r="O110" s="32"/>
    </row>
    <row r="111" spans="1:15" x14ac:dyDescent="0.25">
      <c r="A111" s="1"/>
      <c r="O111" s="32"/>
    </row>
    <row r="112" spans="1:15" x14ac:dyDescent="0.25">
      <c r="A112" s="1"/>
      <c r="O112" s="32"/>
    </row>
    <row r="113" spans="1:15" x14ac:dyDescent="0.25">
      <c r="A113" s="1"/>
      <c r="O113" s="32"/>
    </row>
    <row r="114" spans="1:15" x14ac:dyDescent="0.25">
      <c r="A114" s="1"/>
      <c r="O114" s="32"/>
    </row>
    <row r="115" spans="1:15" x14ac:dyDescent="0.25">
      <c r="A115" s="1"/>
      <c r="O115" s="32"/>
    </row>
    <row r="116" spans="1:15" x14ac:dyDescent="0.25">
      <c r="A116" s="1"/>
      <c r="O116" s="32"/>
    </row>
    <row r="117" spans="1:15" x14ac:dyDescent="0.25">
      <c r="A117" s="1"/>
      <c r="O117" s="32"/>
    </row>
    <row r="118" spans="1:15" x14ac:dyDescent="0.25">
      <c r="A118" s="1"/>
      <c r="O118" s="32"/>
    </row>
    <row r="119" spans="1:15" x14ac:dyDescent="0.25">
      <c r="A119" s="1"/>
      <c r="O119" s="32"/>
    </row>
    <row r="120" spans="1:15" x14ac:dyDescent="0.25">
      <c r="A120" s="1"/>
      <c r="O120" s="32"/>
    </row>
    <row r="121" spans="1:15" x14ac:dyDescent="0.25">
      <c r="A121" s="1"/>
      <c r="O121" s="32"/>
    </row>
    <row r="122" spans="1:15" x14ac:dyDescent="0.25">
      <c r="A122" s="1"/>
      <c r="O122" s="32"/>
    </row>
    <row r="123" spans="1:15" x14ac:dyDescent="0.25">
      <c r="A123" s="1"/>
      <c r="O123" s="32"/>
    </row>
    <row r="124" spans="1:15" x14ac:dyDescent="0.25">
      <c r="A124" s="1"/>
      <c r="O124" s="32"/>
    </row>
    <row r="125" spans="1:15" x14ac:dyDescent="0.25">
      <c r="A125" s="1"/>
      <c r="O125" s="32"/>
    </row>
    <row r="126" spans="1:15" x14ac:dyDescent="0.25">
      <c r="A126" s="1"/>
      <c r="O126" s="32"/>
    </row>
    <row r="127" spans="1:15" x14ac:dyDescent="0.25">
      <c r="A127" s="1"/>
      <c r="O127" s="32"/>
    </row>
    <row r="128" spans="1:15" x14ac:dyDescent="0.25">
      <c r="A128" s="1"/>
      <c r="O128" s="32"/>
    </row>
    <row r="129" spans="1:15" x14ac:dyDescent="0.25">
      <c r="A129" s="1"/>
      <c r="O129" s="32"/>
    </row>
    <row r="130" spans="1:15" x14ac:dyDescent="0.25">
      <c r="A130" s="1"/>
    </row>
  </sheetData>
  <mergeCells count="7">
    <mergeCell ref="C9:F9"/>
    <mergeCell ref="B13:B17"/>
    <mergeCell ref="B4:F4"/>
    <mergeCell ref="C5:F5"/>
    <mergeCell ref="C6:F6"/>
    <mergeCell ref="C7:F7"/>
    <mergeCell ref="C8:F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13692-F6E4-47D2-9E03-40F343CC1ECC}">
  <sheetPr codeName="Blad6"/>
  <dimension ref="A1:R41"/>
  <sheetViews>
    <sheetView showGridLines="0" showRowColHeaders="0" tabSelected="1" zoomScale="85" zoomScaleNormal="85" workbookViewId="0">
      <selection activeCell="T16" sqref="T16"/>
    </sheetView>
  </sheetViews>
  <sheetFormatPr defaultRowHeight="15" x14ac:dyDescent="0.25"/>
  <cols>
    <col min="1" max="1" width="4.28515625" customWidth="1"/>
    <col min="2" max="2" width="4" customWidth="1"/>
    <col min="3" max="3" width="16.140625" customWidth="1"/>
    <col min="4" max="4" width="14" customWidth="1"/>
    <col min="5" max="5" width="12.7109375" customWidth="1"/>
    <col min="6" max="6" width="21" customWidth="1"/>
    <col min="7" max="7" width="2.7109375" customWidth="1"/>
    <col min="8" max="8" width="21.7109375" customWidth="1"/>
    <col min="9" max="9" width="2.140625" customWidth="1"/>
    <col min="10" max="10" width="19.140625" customWidth="1"/>
    <col min="11" max="11" width="21" customWidth="1"/>
    <col min="12" max="12" width="2.7109375" customWidth="1"/>
    <col min="13" max="13" width="18.5703125" customWidth="1"/>
    <col min="14" max="14" width="13.28515625" customWidth="1"/>
    <col min="15" max="15" width="17.7109375" customWidth="1"/>
    <col min="16" max="16" width="20.140625" customWidth="1"/>
  </cols>
  <sheetData>
    <row r="1" spans="1:16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</row>
    <row r="2" spans="1:16" ht="19.5" x14ac:dyDescent="0.25">
      <c r="A2" s="15"/>
      <c r="B2" s="58" t="str">
        <f>"Portfolio Assets "</f>
        <v xml:space="preserve">Portfolio Assets 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</row>
    <row r="3" spans="1:16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</row>
    <row r="4" spans="1:16" ht="18" x14ac:dyDescent="0.25">
      <c r="A4" s="15"/>
      <c r="B4" s="63" t="s">
        <v>16910</v>
      </c>
      <c r="C4" s="63"/>
      <c r="D4" s="63"/>
      <c r="E4" s="63"/>
      <c r="F4" s="63"/>
      <c r="G4" s="15"/>
      <c r="H4" s="63" t="s">
        <v>16916</v>
      </c>
      <c r="I4" s="63"/>
      <c r="J4" s="63"/>
      <c r="K4" s="63"/>
      <c r="L4" s="15"/>
      <c r="M4" s="63" t="s">
        <v>16919</v>
      </c>
      <c r="N4" s="63"/>
      <c r="O4" s="63"/>
      <c r="P4" s="63"/>
    </row>
    <row r="5" spans="1:16" ht="15.75" x14ac:dyDescent="0.25">
      <c r="A5" s="15"/>
      <c r="B5" s="16"/>
      <c r="C5" s="16"/>
      <c r="D5" s="64" t="s">
        <v>16938</v>
      </c>
      <c r="E5" s="64"/>
      <c r="F5" s="16"/>
      <c r="G5" s="15"/>
      <c r="H5" s="16"/>
      <c r="I5" s="65" t="s">
        <v>16920</v>
      </c>
      <c r="J5" s="65"/>
      <c r="K5" s="16"/>
      <c r="L5" s="15"/>
      <c r="M5" s="16"/>
      <c r="N5" s="64" t="s">
        <v>16920</v>
      </c>
      <c r="O5" s="64"/>
      <c r="P5" s="16"/>
    </row>
    <row r="6" spans="1:16" ht="36.75" x14ac:dyDescent="0.45">
      <c r="A6" s="15"/>
      <c r="B6" s="16"/>
      <c r="C6" s="59"/>
      <c r="D6" s="69">
        <f>'Analysed stock'!G131</f>
        <v>1.1529289901882305</v>
      </c>
      <c r="E6" s="69"/>
      <c r="F6" s="16"/>
      <c r="G6" s="15"/>
      <c r="H6" s="59"/>
      <c r="I6" s="17"/>
      <c r="J6" s="18" t="str">
        <f>'Analysed stock'!M3</f>
        <v>Dell</v>
      </c>
      <c r="K6" s="59"/>
      <c r="L6" s="15"/>
      <c r="M6" s="16"/>
      <c r="N6" s="60" t="str">
        <f>'Analysed stock'!M2</f>
        <v>GE</v>
      </c>
      <c r="O6" s="61"/>
      <c r="P6" s="16"/>
    </row>
    <row r="7" spans="1:16" x14ac:dyDescent="0.25">
      <c r="A7" s="15"/>
      <c r="B7" s="16"/>
      <c r="C7" s="59"/>
      <c r="D7" s="16"/>
      <c r="E7" s="16"/>
      <c r="F7" s="16"/>
      <c r="G7" s="15"/>
      <c r="H7" s="59"/>
      <c r="I7" s="16"/>
      <c r="J7" s="16"/>
      <c r="K7" s="59"/>
      <c r="L7" s="15"/>
      <c r="M7" s="16"/>
      <c r="N7" s="16"/>
      <c r="O7" s="16"/>
      <c r="P7" s="16"/>
    </row>
    <row r="8" spans="1:16" x14ac:dyDescent="0.25">
      <c r="A8" s="15"/>
      <c r="B8" s="16"/>
      <c r="C8" s="16"/>
      <c r="D8" s="16"/>
      <c r="E8" s="16"/>
      <c r="F8" s="16"/>
      <c r="G8" s="15"/>
      <c r="H8" s="16"/>
      <c r="I8" s="16"/>
      <c r="J8" s="16"/>
      <c r="K8" s="16"/>
      <c r="L8" s="15"/>
      <c r="M8" s="16"/>
      <c r="N8" s="16"/>
      <c r="O8" s="16"/>
      <c r="P8" s="16"/>
    </row>
    <row r="9" spans="1:16" x14ac:dyDescent="0.25">
      <c r="A9" s="15"/>
      <c r="B9" s="62" t="s">
        <v>16939</v>
      </c>
      <c r="C9" s="62"/>
      <c r="D9" s="62" t="s">
        <v>16912</v>
      </c>
      <c r="E9" s="62"/>
      <c r="F9" s="19" t="s">
        <v>16913</v>
      </c>
      <c r="G9" s="15"/>
      <c r="H9" s="19" t="s">
        <v>16911</v>
      </c>
      <c r="I9" s="19"/>
      <c r="J9" s="19" t="s">
        <v>16921</v>
      </c>
      <c r="K9" s="19" t="s">
        <v>16922</v>
      </c>
      <c r="L9" s="15"/>
      <c r="M9" s="19" t="s">
        <v>16911</v>
      </c>
      <c r="N9" s="62" t="s">
        <v>16921</v>
      </c>
      <c r="O9" s="62"/>
      <c r="P9" s="19" t="s">
        <v>16922</v>
      </c>
    </row>
    <row r="10" spans="1:16" ht="16.5" x14ac:dyDescent="0.25">
      <c r="A10" s="15"/>
      <c r="B10" s="67">
        <f>D6^2</f>
        <v>1.3292452564164527</v>
      </c>
      <c r="C10" s="67"/>
      <c r="D10" s="70">
        <f>'Analysed stock'!H2</f>
        <v>43913</v>
      </c>
      <c r="E10" s="70"/>
      <c r="F10" s="36">
        <f>'Analysed stock'!H3</f>
        <v>44076</v>
      </c>
      <c r="G10" s="15"/>
      <c r="H10" s="21">
        <f>'Analysed stock'!L3</f>
        <v>1.3314069102659707</v>
      </c>
      <c r="I10" s="20"/>
      <c r="J10" s="21">
        <f>'Analysed stock'!N3</f>
        <v>0.84153616703952272</v>
      </c>
      <c r="K10" s="21">
        <f>'Analysed stock'!O3</f>
        <v>1.4395351727566494</v>
      </c>
      <c r="L10" s="15"/>
      <c r="M10" s="21">
        <f>'Analysed stock'!L2</f>
        <v>0.72542372881355932</v>
      </c>
      <c r="N10" s="67">
        <f>'Analysed stock'!N2</f>
        <v>0.62033898305084756</v>
      </c>
      <c r="O10" s="67"/>
      <c r="P10" s="21">
        <f>'Analysed stock'!O2</f>
        <v>1</v>
      </c>
    </row>
    <row r="11" spans="1:16" x14ac:dyDescent="0.25">
      <c r="A11" s="15"/>
      <c r="B11" s="16"/>
      <c r="C11" s="16"/>
      <c r="D11" s="16"/>
      <c r="E11" s="16"/>
      <c r="F11" s="16"/>
      <c r="G11" s="15"/>
      <c r="H11" s="16"/>
      <c r="I11" s="16"/>
      <c r="J11" s="16"/>
      <c r="K11" s="16"/>
      <c r="L11" s="15"/>
      <c r="M11" s="16"/>
      <c r="N11" s="16"/>
      <c r="O11" s="16"/>
      <c r="P11" s="16"/>
    </row>
    <row r="12" spans="1:16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</row>
    <row r="13" spans="1:16" x14ac:dyDescent="0.25">
      <c r="A13" s="15"/>
      <c r="B13" s="66" t="s">
        <v>16935</v>
      </c>
      <c r="C13" s="66"/>
      <c r="D13" s="22"/>
      <c r="E13" s="22"/>
      <c r="F13" s="22"/>
      <c r="G13" s="22"/>
      <c r="H13" s="22"/>
      <c r="I13" s="23"/>
      <c r="J13" s="66" t="s">
        <v>16945</v>
      </c>
      <c r="K13" s="66"/>
      <c r="L13" s="66"/>
      <c r="M13" s="66"/>
      <c r="N13" s="66"/>
      <c r="O13" s="66"/>
      <c r="P13" s="66"/>
    </row>
    <row r="14" spans="1:16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</row>
    <row r="15" spans="1:16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 t="s">
        <v>16944</v>
      </c>
      <c r="K15" s="15" t="s">
        <v>16946</v>
      </c>
      <c r="L15" s="15" t="s">
        <v>16917</v>
      </c>
      <c r="M15" s="15"/>
      <c r="N15" s="29">
        <f>MAX(Assets!A4:A132)</f>
        <v>44084</v>
      </c>
      <c r="O15" s="15"/>
      <c r="P15" s="15"/>
    </row>
    <row r="16" spans="1:16" x14ac:dyDescent="0.25">
      <c r="A16" s="15"/>
      <c r="B16" s="15"/>
      <c r="C16" s="24"/>
      <c r="D16" s="15"/>
      <c r="E16" s="15"/>
      <c r="F16" s="15"/>
      <c r="G16" s="15"/>
      <c r="H16" s="15"/>
      <c r="I16" s="24"/>
      <c r="J16" s="15" t="str">
        <f>C32</f>
        <v>PFE</v>
      </c>
      <c r="K16" s="37">
        <f t="array" ref="K16:K20">TRANSPOSE(Assets!$B$4:$F$4)</f>
        <v>34.590000000000003</v>
      </c>
      <c r="L16" s="15">
        <f>VLOOKUP($N$15,Assets!$A$4:$F$132,Portfolio!$O16+1,0)</f>
        <v>35.65</v>
      </c>
      <c r="M16" s="15"/>
      <c r="N16" s="15"/>
      <c r="O16" s="15">
        <v>1</v>
      </c>
      <c r="P16" s="15"/>
    </row>
    <row r="17" spans="1:18" x14ac:dyDescent="0.25">
      <c r="A17" s="15"/>
      <c r="B17" s="15"/>
      <c r="C17" s="25"/>
      <c r="D17" s="15"/>
      <c r="E17" s="15"/>
      <c r="F17" s="15"/>
      <c r="G17" s="15"/>
      <c r="H17" s="15"/>
      <c r="I17" s="15"/>
      <c r="J17" s="15" t="str">
        <f t="shared" ref="J17:J20" si="0">C33</f>
        <v>Dell</v>
      </c>
      <c r="K17" s="37">
        <v>160.91999999999999</v>
      </c>
      <c r="L17" s="15">
        <f>VLOOKUP($N$15,Assets!$A$4:$F$132,Portfolio!$O17+1,0)</f>
        <v>205.37</v>
      </c>
      <c r="M17" s="15"/>
      <c r="N17" s="15"/>
      <c r="O17" s="15">
        <v>2</v>
      </c>
      <c r="P17" s="15"/>
    </row>
    <row r="18" spans="1:18" x14ac:dyDescent="0.25">
      <c r="A18" s="15"/>
      <c r="B18" s="15"/>
      <c r="C18" s="25"/>
      <c r="D18" s="15"/>
      <c r="E18" s="15"/>
      <c r="F18" s="15"/>
      <c r="G18" s="15"/>
      <c r="H18" s="15"/>
      <c r="I18" s="15"/>
      <c r="J18" s="15" t="str">
        <f t="shared" si="0"/>
        <v>cemb</v>
      </c>
      <c r="K18" s="37">
        <v>184.35</v>
      </c>
      <c r="L18" s="15">
        <f>VLOOKUP($N$15,Assets!$A$4:$F$132,Portfolio!$O18+1,0)</f>
        <v>200.01</v>
      </c>
      <c r="M18" s="15"/>
      <c r="N18" s="15"/>
      <c r="O18" s="15">
        <v>3</v>
      </c>
      <c r="P18" s="15"/>
    </row>
    <row r="19" spans="1:18" x14ac:dyDescent="0.25">
      <c r="A19" s="15"/>
      <c r="B19" s="15"/>
      <c r="C19" s="25"/>
      <c r="D19" s="15"/>
      <c r="E19" s="15"/>
      <c r="F19" s="15"/>
      <c r="G19" s="15"/>
      <c r="H19" s="15"/>
      <c r="I19" s="15"/>
      <c r="J19" s="15" t="str">
        <f t="shared" si="0"/>
        <v>XOM</v>
      </c>
      <c r="K19" s="37">
        <v>43.41</v>
      </c>
      <c r="L19" s="15">
        <f>VLOOKUP($N$15,Assets!$A$4:$F$132,Portfolio!$O19+1,0)</f>
        <v>37</v>
      </c>
      <c r="M19" s="15"/>
      <c r="N19" s="15"/>
      <c r="O19" s="15">
        <v>4</v>
      </c>
      <c r="P19" s="15"/>
    </row>
    <row r="20" spans="1:18" x14ac:dyDescent="0.25">
      <c r="A20" s="15"/>
      <c r="B20" s="15"/>
      <c r="C20" s="25"/>
      <c r="D20" s="15"/>
      <c r="E20" s="15"/>
      <c r="F20" s="15"/>
      <c r="G20" s="15"/>
      <c r="H20" s="15"/>
      <c r="I20" s="15"/>
      <c r="J20" s="15" t="str">
        <f t="shared" si="0"/>
        <v>GE</v>
      </c>
      <c r="K20" s="37">
        <v>8.85</v>
      </c>
      <c r="L20" s="15">
        <f>VLOOKUP($N$15,Assets!$A$4:$F$132,Portfolio!$O20+1,0)</f>
        <v>6</v>
      </c>
      <c r="M20" s="15"/>
      <c r="N20" s="15"/>
      <c r="O20" s="15">
        <v>5</v>
      </c>
      <c r="P20" s="15"/>
    </row>
    <row r="21" spans="1:18" x14ac:dyDescent="0.25">
      <c r="A21" s="15"/>
      <c r="B21" s="15"/>
      <c r="C21" s="2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</row>
    <row r="22" spans="1:18" x14ac:dyDescent="0.25">
      <c r="A22" s="15"/>
      <c r="B22" s="15"/>
      <c r="C22" s="2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</row>
    <row r="23" spans="1:18" x14ac:dyDescent="0.25">
      <c r="A23" s="15"/>
      <c r="B23" s="15"/>
      <c r="C23" s="2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</row>
    <row r="24" spans="1:18" x14ac:dyDescent="0.25">
      <c r="A24" s="15"/>
      <c r="B24" s="15"/>
      <c r="C24" s="2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</row>
    <row r="25" spans="1:18" x14ac:dyDescent="0.25">
      <c r="A25" s="15"/>
      <c r="B25" s="15"/>
      <c r="C25" s="2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</row>
    <row r="26" spans="1:18" x14ac:dyDescent="0.25">
      <c r="A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</row>
    <row r="27" spans="1:18" x14ac:dyDescent="0.25">
      <c r="A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</row>
    <row r="28" spans="1:18" ht="15" customHeight="1" x14ac:dyDescent="0.25">
      <c r="A28" s="15"/>
      <c r="B28" s="68" t="s">
        <v>16923</v>
      </c>
      <c r="C28" s="68"/>
      <c r="D28" s="68"/>
      <c r="E28" s="68"/>
      <c r="F28" s="68"/>
      <c r="G28" s="15"/>
      <c r="H28" s="68" t="s">
        <v>16929</v>
      </c>
      <c r="I28" s="68"/>
      <c r="J28" s="68"/>
      <c r="K28" s="68"/>
      <c r="L28" s="15"/>
      <c r="M28" s="68" t="s">
        <v>16931</v>
      </c>
      <c r="N28" s="68"/>
      <c r="O28" s="68"/>
      <c r="P28" s="68"/>
    </row>
    <row r="29" spans="1:18" ht="15" customHeight="1" x14ac:dyDescent="0.25">
      <c r="B29" s="68"/>
      <c r="C29" s="68"/>
      <c r="D29" s="68"/>
      <c r="E29" s="68"/>
      <c r="F29" s="68"/>
      <c r="G29" s="15"/>
      <c r="H29" s="68"/>
      <c r="I29" s="68"/>
      <c r="J29" s="68"/>
      <c r="K29" s="68"/>
      <c r="L29" s="15"/>
      <c r="M29" s="68"/>
      <c r="N29" s="68"/>
      <c r="O29" s="68"/>
      <c r="P29" s="68"/>
    </row>
    <row r="30" spans="1:18" x14ac:dyDescent="0.25"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</row>
    <row r="31" spans="1:18" x14ac:dyDescent="0.25">
      <c r="B31" s="26" t="s">
        <v>16924</v>
      </c>
      <c r="C31" s="26" t="s">
        <v>16927</v>
      </c>
      <c r="D31" s="72" t="s">
        <v>16925</v>
      </c>
      <c r="E31" s="72"/>
      <c r="F31" s="27" t="s">
        <v>16926</v>
      </c>
      <c r="G31" s="15"/>
      <c r="H31" s="26" t="s">
        <v>16914</v>
      </c>
      <c r="I31" s="27"/>
      <c r="J31" s="30" t="s">
        <v>16915</v>
      </c>
      <c r="K31" s="27" t="s">
        <v>16928</v>
      </c>
      <c r="L31" s="15"/>
      <c r="M31" s="26" t="s">
        <v>16927</v>
      </c>
      <c r="N31" s="27" t="s">
        <v>16932</v>
      </c>
      <c r="O31" s="27" t="s">
        <v>16933</v>
      </c>
      <c r="P31" s="27" t="s">
        <v>16948</v>
      </c>
      <c r="Q31" s="43"/>
      <c r="R31" s="44" t="s">
        <v>16917</v>
      </c>
    </row>
    <row r="32" spans="1:18" x14ac:dyDescent="0.25">
      <c r="B32">
        <v>1</v>
      </c>
      <c r="C32" s="24" t="s">
        <v>11685</v>
      </c>
      <c r="D32" s="73" t="str">
        <f>VLOOKUP(C32,'All Stock'!$A:$B,2,0)</f>
        <v>PFIZER INC</v>
      </c>
      <c r="E32" s="73"/>
      <c r="F32" s="31">
        <v>0.2</v>
      </c>
      <c r="G32" s="28">
        <v>5</v>
      </c>
      <c r="H32" s="24" t="str">
        <f>C32</f>
        <v>PFE</v>
      </c>
      <c r="I32" s="23"/>
      <c r="J32" s="29" t="str">
        <f>C33</f>
        <v>Dell</v>
      </c>
      <c r="K32" s="35">
        <f>CORREL(Assets!$B$4:$B$132,Assets!$C$4:$C$132)</f>
        <v>0.58060574320043468</v>
      </c>
      <c r="L32" s="28">
        <v>73</v>
      </c>
      <c r="M32" s="24" t="str">
        <f>C32</f>
        <v>PFE</v>
      </c>
      <c r="N32" s="39">
        <v>35.94</v>
      </c>
      <c r="O32" s="41">
        <v>7145778</v>
      </c>
      <c r="P32" s="38">
        <f>(N32-R32)/R32</f>
        <v>0</v>
      </c>
      <c r="Q32" s="43"/>
      <c r="R32" s="43">
        <v>35.94</v>
      </c>
    </row>
    <row r="33" spans="2:18" x14ac:dyDescent="0.25">
      <c r="B33">
        <v>2</v>
      </c>
      <c r="C33" s="24" t="s">
        <v>16959</v>
      </c>
      <c r="D33" s="71" t="str">
        <f>VLOOKUP(C33,'All Stock'!$A:$B,2,0)</f>
        <v>DELL TECHNOLOGIES -C</v>
      </c>
      <c r="E33" s="71"/>
      <c r="F33" s="31">
        <v>0.5</v>
      </c>
      <c r="H33" s="24" t="str">
        <f>H32</f>
        <v>PFE</v>
      </c>
      <c r="J33" s="29" t="str">
        <f t="shared" ref="J33:J35" si="1">C34</f>
        <v>cemb</v>
      </c>
      <c r="K33" s="35">
        <f>CORREL(Assets!$B$4:$B$132,Assets!$D$4:$D$132)</f>
        <v>0.52447779967831143</v>
      </c>
      <c r="M33" s="24" t="str">
        <f t="shared" ref="M33:M36" si="2">C33</f>
        <v>Dell</v>
      </c>
      <c r="N33" s="40">
        <v>210.66</v>
      </c>
      <c r="O33" s="41">
        <v>13542452</v>
      </c>
      <c r="P33" s="38">
        <f t="shared" ref="P33:P36" si="3">(N33-R33)/R33</f>
        <v>1.4242985329725652E-4</v>
      </c>
      <c r="Q33" s="43"/>
      <c r="R33" s="43">
        <v>210.63</v>
      </c>
    </row>
    <row r="34" spans="2:18" x14ac:dyDescent="0.25">
      <c r="B34">
        <v>3</v>
      </c>
      <c r="C34" s="24" t="s">
        <v>16958</v>
      </c>
      <c r="D34" s="71" t="str">
        <f>VLOOKUP(C34,'All Stock'!$A:$B,2,0)</f>
        <v>ISHARES JP MORGAN EM CORPORA</v>
      </c>
      <c r="E34" s="71"/>
      <c r="F34" s="31">
        <v>0.1</v>
      </c>
      <c r="H34" s="24" t="str">
        <f>H33</f>
        <v>PFE</v>
      </c>
      <c r="J34" s="29" t="str">
        <f t="shared" si="1"/>
        <v>XOM</v>
      </c>
      <c r="K34" s="35">
        <f>CORREL(Assets!$B$4:$B$132,Assets!$E$4:$E$132)</f>
        <v>0.4050125699075392</v>
      </c>
      <c r="M34" s="24" t="str">
        <f t="shared" si="2"/>
        <v>cemb</v>
      </c>
      <c r="N34" s="40">
        <v>202.57</v>
      </c>
      <c r="O34" s="41">
        <v>924341</v>
      </c>
      <c r="P34" s="38">
        <f t="shared" si="3"/>
        <v>0</v>
      </c>
      <c r="Q34" s="43"/>
      <c r="R34" s="43">
        <v>202.57</v>
      </c>
    </row>
    <row r="35" spans="2:18" x14ac:dyDescent="0.25">
      <c r="B35">
        <v>4</v>
      </c>
      <c r="C35" s="24" t="s">
        <v>16616</v>
      </c>
      <c r="D35" s="71" t="str">
        <f>VLOOKUP(C35,'All Stock'!$A:$B,2,0)</f>
        <v>EXXON MOBIL CORP</v>
      </c>
      <c r="E35" s="71"/>
      <c r="F35" s="31">
        <v>0.1</v>
      </c>
      <c r="H35" s="24" t="str">
        <f>H34</f>
        <v>PFE</v>
      </c>
      <c r="J35" s="29" t="str">
        <f t="shared" si="1"/>
        <v>GE</v>
      </c>
      <c r="K35" s="35">
        <f>CORREL(Assets!$B$4:$B$132,Assets!$F$4:$F$132)</f>
        <v>-0.4154458526400594</v>
      </c>
      <c r="M35" s="24" t="str">
        <f t="shared" si="2"/>
        <v>XOM</v>
      </c>
      <c r="N35" s="40">
        <v>37.765000000000001</v>
      </c>
      <c r="O35" s="41">
        <v>12682951</v>
      </c>
      <c r="P35" s="38">
        <f t="shared" si="3"/>
        <v>0</v>
      </c>
      <c r="Q35" s="43"/>
      <c r="R35" s="43">
        <v>37.765000000000001</v>
      </c>
    </row>
    <row r="36" spans="2:18" x14ac:dyDescent="0.25">
      <c r="B36">
        <v>5</v>
      </c>
      <c r="C36" s="24" t="s">
        <v>6283</v>
      </c>
      <c r="D36" s="71" t="str">
        <f>VLOOKUP(C36,'All Stock'!$A:$B,2,0)</f>
        <v>GENERAL ELECTRIC CO</v>
      </c>
      <c r="E36" s="71"/>
      <c r="F36" s="31">
        <v>0.1</v>
      </c>
      <c r="H36" s="24" t="str">
        <f>C33</f>
        <v>Dell</v>
      </c>
      <c r="J36" s="29" t="str">
        <f>C34</f>
        <v>cemb</v>
      </c>
      <c r="K36" s="35">
        <f>CORREL(Assets!$C$4:$C$132,Assets!$D$4:$D$132)</f>
        <v>0.8651750227852647</v>
      </c>
      <c r="M36" s="24" t="str">
        <f t="shared" si="2"/>
        <v>GE</v>
      </c>
      <c r="N36" s="40">
        <v>6.0449999999999999</v>
      </c>
      <c r="O36" s="41">
        <v>38300454</v>
      </c>
      <c r="P36" s="38">
        <f t="shared" si="3"/>
        <v>0</v>
      </c>
      <c r="Q36" s="43"/>
      <c r="R36" s="43">
        <v>6.0449999999999999</v>
      </c>
    </row>
    <row r="37" spans="2:18" x14ac:dyDescent="0.25">
      <c r="H37" t="str">
        <f>H36</f>
        <v>Dell</v>
      </c>
      <c r="J37" s="29" t="str">
        <f t="shared" ref="J37:J38" si="4">C35</f>
        <v>XOM</v>
      </c>
      <c r="K37" s="35">
        <f>CORREL(Assets!$C$4:$C$132,Assets!$E$4:$E$132)</f>
        <v>0.34275328215661482</v>
      </c>
    </row>
    <row r="38" spans="2:18" x14ac:dyDescent="0.25">
      <c r="H38" t="str">
        <f>H37</f>
        <v>Dell</v>
      </c>
      <c r="J38" s="29" t="str">
        <f t="shared" si="4"/>
        <v>GE</v>
      </c>
      <c r="K38" s="35">
        <f>CORREL(Assets!$C$4:$C$132,Assets!$F$4:$F$132)</f>
        <v>-0.29451298717449714</v>
      </c>
    </row>
    <row r="39" spans="2:18" x14ac:dyDescent="0.25">
      <c r="H39" s="24" t="str">
        <f>C34</f>
        <v>cemb</v>
      </c>
      <c r="J39" t="str">
        <f>C35</f>
        <v>XOM</v>
      </c>
      <c r="K39" s="35">
        <f>CORREL(Assets!$D$4:$D$132,Assets!$E$4:$E$132)</f>
        <v>0.63037544790659084</v>
      </c>
    </row>
    <row r="40" spans="2:18" x14ac:dyDescent="0.25">
      <c r="H40" t="str">
        <f>H39</f>
        <v>cemb</v>
      </c>
      <c r="J40" t="str">
        <f>C36</f>
        <v>GE</v>
      </c>
      <c r="K40" s="35">
        <f>CORREL(Assets!$D$4:$D$132,Assets!$F$4:$F$132)</f>
        <v>4.1815965700685694E-2</v>
      </c>
    </row>
    <row r="41" spans="2:18" x14ac:dyDescent="0.25">
      <c r="H41" t="str">
        <f>C35</f>
        <v>XOM</v>
      </c>
      <c r="J41" t="str">
        <f>C36</f>
        <v>GE</v>
      </c>
      <c r="K41" s="35">
        <f>CORREL(Assets!$E$4:$E$132,Assets!$F$4:$F$132)</f>
        <v>0.25823996376742292</v>
      </c>
    </row>
  </sheetData>
  <mergeCells count="30">
    <mergeCell ref="D36:E36"/>
    <mergeCell ref="N10:O10"/>
    <mergeCell ref="J13:P13"/>
    <mergeCell ref="H28:J29"/>
    <mergeCell ref="K28:K29"/>
    <mergeCell ref="M28:P29"/>
    <mergeCell ref="D31:E31"/>
    <mergeCell ref="D32:E32"/>
    <mergeCell ref="D33:E33"/>
    <mergeCell ref="D34:E34"/>
    <mergeCell ref="D35:E35"/>
    <mergeCell ref="B13:C13"/>
    <mergeCell ref="B10:C10"/>
    <mergeCell ref="B28:F29"/>
    <mergeCell ref="C6:C7"/>
    <mergeCell ref="D6:E6"/>
    <mergeCell ref="B9:C9"/>
    <mergeCell ref="D10:E10"/>
    <mergeCell ref="B2:P2"/>
    <mergeCell ref="H6:H7"/>
    <mergeCell ref="K6:K7"/>
    <mergeCell ref="N6:O6"/>
    <mergeCell ref="D9:E9"/>
    <mergeCell ref="N9:O9"/>
    <mergeCell ref="H4:K4"/>
    <mergeCell ref="M4:P4"/>
    <mergeCell ref="D5:E5"/>
    <mergeCell ref="I5:J5"/>
    <mergeCell ref="N5:O5"/>
    <mergeCell ref="B4:F4"/>
  </mergeCells>
  <phoneticPr fontId="22" type="noConversion"/>
  <conditionalFormatting sqref="P32:P36">
    <cfRule type="expression" dxfId="1" priority="1">
      <formula>$P32&gt;0</formula>
    </cfRule>
    <cfRule type="expression" dxfId="0" priority="2">
      <formula>$P32&lt;0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6" r:id="rId4" name="startTicker">
          <controlPr defaultSize="0" autoLine="0" r:id="rId5">
            <anchor moveWithCells="1">
              <from>
                <xdr:col>15</xdr:col>
                <xdr:colOff>247650</xdr:colOff>
                <xdr:row>27</xdr:row>
                <xdr:rowOff>47625</xdr:rowOff>
              </from>
              <to>
                <xdr:col>15</xdr:col>
                <xdr:colOff>1295400</xdr:colOff>
                <xdr:row>28</xdr:row>
                <xdr:rowOff>171450</xdr:rowOff>
              </to>
            </anchor>
          </controlPr>
        </control>
      </mc:Choice>
      <mc:Fallback>
        <control shapeId="2056" r:id="rId4" name="startTicker"/>
      </mc:Fallback>
    </mc:AlternateContent>
    <mc:AlternateContent xmlns:mc="http://schemas.openxmlformats.org/markup-compatibility/2006">
      <mc:Choice Requires="x14">
        <control shapeId="2050" r:id="rId6" name="Button 2">
          <controlPr defaultSize="0" print="0" autoFill="0" autoPict="0" macro="[0]!renewPortfolio">
            <anchor moveWithCells="1" sizeWithCells="1">
              <from>
                <xdr:col>5</xdr:col>
                <xdr:colOff>428625</xdr:colOff>
                <xdr:row>27</xdr:row>
                <xdr:rowOff>66675</xdr:rowOff>
              </from>
              <to>
                <xdr:col>5</xdr:col>
                <xdr:colOff>1323975</xdr:colOff>
                <xdr:row>28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1" r:id="rId7" name="Button 3">
          <controlPr defaultSize="0" print="0" autoFill="0" autoPict="0" macro="[0]!hoofAlleAndelen">
            <anchor moveWithCells="1" sizeWithCells="1">
              <from>
                <xdr:col>14</xdr:col>
                <xdr:colOff>1104900</xdr:colOff>
                <xdr:row>1</xdr:row>
                <xdr:rowOff>9525</xdr:rowOff>
              </from>
              <to>
                <xdr:col>15</xdr:col>
                <xdr:colOff>1333500</xdr:colOff>
                <xdr:row>1</xdr:row>
                <xdr:rowOff>228600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0FEB8D-BFD9-4364-B952-72AC803ECA66}">
          <x14:formula1>
            <xm:f>'All Stock'!$A$2:$A$9041</xm:f>
          </x14:formula1>
          <xm:sqref>C32:C36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F918E-7AE7-4AC0-820B-E7CED3E7DDDC}">
  <sheetPr codeName="Blad1"/>
  <dimension ref="A3:S309"/>
  <sheetViews>
    <sheetView workbookViewId="0">
      <selection activeCell="H5" sqref="H5"/>
    </sheetView>
  </sheetViews>
  <sheetFormatPr defaultRowHeight="15" x14ac:dyDescent="0.25"/>
  <cols>
    <col min="2" max="2" width="31.5703125" customWidth="1"/>
    <col min="14" max="14" width="10.5703125" customWidth="1"/>
    <col min="15" max="15" width="16.140625" bestFit="1" customWidth="1"/>
  </cols>
  <sheetData>
    <row r="3" spans="1:19" x14ac:dyDescent="0.25">
      <c r="B3" t="s">
        <v>1</v>
      </c>
    </row>
    <row r="4" spans="1:19" ht="15" customHeight="1" x14ac:dyDescent="0.25">
      <c r="B4" s="74"/>
      <c r="C4" s="74"/>
      <c r="D4" s="74"/>
      <c r="E4" s="74"/>
      <c r="F4" s="74"/>
      <c r="G4" s="74"/>
    </row>
    <row r="5" spans="1:19" x14ac:dyDescent="0.25">
      <c r="B5" s="74"/>
      <c r="C5" s="74"/>
      <c r="D5" s="74"/>
      <c r="E5" s="74"/>
      <c r="F5" s="74"/>
      <c r="G5" s="74"/>
      <c r="P5" s="42"/>
    </row>
    <row r="6" spans="1:19" x14ac:dyDescent="0.25">
      <c r="B6" s="74"/>
      <c r="C6" s="74"/>
      <c r="D6" s="74"/>
      <c r="E6" s="74"/>
      <c r="F6" s="74"/>
      <c r="G6" s="74"/>
      <c r="P6" s="42"/>
    </row>
    <row r="7" spans="1:19" x14ac:dyDescent="0.25">
      <c r="B7" s="74"/>
      <c r="C7" s="74"/>
      <c r="D7" s="74"/>
      <c r="E7" s="74"/>
      <c r="F7" s="74"/>
      <c r="G7" s="74"/>
    </row>
    <row r="8" spans="1:19" x14ac:dyDescent="0.25">
      <c r="B8" s="74"/>
      <c r="C8" s="74"/>
      <c r="D8" s="74"/>
      <c r="E8" s="74"/>
      <c r="F8" s="74"/>
      <c r="G8" s="74"/>
    </row>
    <row r="9" spans="1:19" x14ac:dyDescent="0.25">
      <c r="B9" s="3"/>
      <c r="C9" s="3"/>
      <c r="D9" s="3"/>
      <c r="E9" s="3"/>
      <c r="F9" s="3"/>
    </row>
    <row r="10" spans="1:19" ht="21" customHeight="1" x14ac:dyDescent="0.25">
      <c r="A10" s="75" t="s">
        <v>2</v>
      </c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</row>
    <row r="12" spans="1:19" x14ac:dyDescent="0.25">
      <c r="A12" s="1"/>
      <c r="B12" s="33"/>
      <c r="C12" s="33"/>
      <c r="N12" s="2"/>
      <c r="O12" s="32"/>
      <c r="S12" s="32"/>
    </row>
    <row r="13" spans="1:19" x14ac:dyDescent="0.25">
      <c r="A13" s="1"/>
      <c r="B13" s="33"/>
      <c r="C13" s="33"/>
      <c r="N13" s="2"/>
      <c r="O13" s="32"/>
    </row>
    <row r="14" spans="1:19" x14ac:dyDescent="0.25">
      <c r="A14" s="1"/>
      <c r="B14" s="33"/>
      <c r="C14" s="33"/>
      <c r="N14" s="2"/>
      <c r="O14" s="32"/>
    </row>
    <row r="15" spans="1:19" x14ac:dyDescent="0.25">
      <c r="A15" s="1"/>
      <c r="B15" s="33"/>
      <c r="C15" s="33"/>
      <c r="N15" s="2"/>
      <c r="O15" s="32"/>
    </row>
    <row r="16" spans="1:19" x14ac:dyDescent="0.25">
      <c r="A16" s="1"/>
      <c r="B16" s="33"/>
      <c r="C16" s="33"/>
      <c r="N16" s="2"/>
      <c r="O16" s="32"/>
    </row>
    <row r="17" spans="1:15" x14ac:dyDescent="0.25">
      <c r="A17" s="1"/>
      <c r="B17" s="33"/>
      <c r="C17" s="33"/>
      <c r="N17" s="2"/>
      <c r="O17" s="32"/>
    </row>
    <row r="18" spans="1:15" x14ac:dyDescent="0.25">
      <c r="A18" s="1"/>
      <c r="B18" s="33"/>
      <c r="C18" s="33"/>
      <c r="N18" s="2"/>
      <c r="O18" s="32"/>
    </row>
    <row r="19" spans="1:15" x14ac:dyDescent="0.25">
      <c r="A19" s="1"/>
      <c r="B19" s="33"/>
      <c r="C19" s="33"/>
      <c r="N19" s="2"/>
      <c r="O19" s="32"/>
    </row>
    <row r="20" spans="1:15" x14ac:dyDescent="0.25">
      <c r="A20" s="1"/>
      <c r="B20" s="33"/>
      <c r="C20" s="33"/>
      <c r="N20" s="2"/>
      <c r="O20" s="32"/>
    </row>
    <row r="21" spans="1:15" x14ac:dyDescent="0.25">
      <c r="A21" s="1"/>
      <c r="B21" s="33"/>
      <c r="C21" s="33"/>
      <c r="N21" s="2"/>
      <c r="O21" s="32"/>
    </row>
    <row r="22" spans="1:15" x14ac:dyDescent="0.25">
      <c r="A22" s="1"/>
      <c r="B22" s="33"/>
      <c r="C22" s="33"/>
      <c r="N22" s="2"/>
      <c r="O22" s="32"/>
    </row>
    <row r="23" spans="1:15" x14ac:dyDescent="0.25">
      <c r="A23" s="1"/>
      <c r="B23" s="33"/>
      <c r="C23" s="33"/>
      <c r="N23" s="2"/>
      <c r="O23" s="32"/>
    </row>
    <row r="24" spans="1:15" x14ac:dyDescent="0.25">
      <c r="A24" s="1"/>
      <c r="B24" s="33"/>
      <c r="C24" s="33"/>
      <c r="N24" s="2"/>
      <c r="O24" s="32"/>
    </row>
    <row r="25" spans="1:15" x14ac:dyDescent="0.25">
      <c r="A25" s="1"/>
      <c r="B25" s="33"/>
      <c r="C25" s="33"/>
      <c r="N25" s="2"/>
      <c r="O25" s="32"/>
    </row>
    <row r="26" spans="1:15" x14ac:dyDescent="0.25">
      <c r="A26" s="1"/>
      <c r="B26" s="33"/>
      <c r="C26" s="33"/>
      <c r="N26" s="2"/>
      <c r="O26" s="32"/>
    </row>
    <row r="27" spans="1:15" x14ac:dyDescent="0.25">
      <c r="A27" s="1"/>
      <c r="B27" s="33"/>
      <c r="C27" s="33"/>
      <c r="N27" s="2"/>
      <c r="O27" s="32"/>
    </row>
    <row r="28" spans="1:15" x14ac:dyDescent="0.25">
      <c r="A28" s="1"/>
      <c r="B28" s="33"/>
      <c r="C28" s="33"/>
      <c r="N28" s="2"/>
      <c r="O28" s="32"/>
    </row>
    <row r="29" spans="1:15" x14ac:dyDescent="0.25">
      <c r="A29" s="1"/>
      <c r="B29" s="33"/>
      <c r="C29" s="33"/>
      <c r="N29" s="2"/>
      <c r="O29" s="32"/>
    </row>
    <row r="30" spans="1:15" x14ac:dyDescent="0.25">
      <c r="A30" s="1"/>
      <c r="B30" s="33"/>
      <c r="C30" s="33"/>
      <c r="N30" s="2"/>
      <c r="O30" s="32"/>
    </row>
    <row r="31" spans="1:15" x14ac:dyDescent="0.25">
      <c r="A31" s="1"/>
      <c r="B31" s="33"/>
      <c r="C31" s="33"/>
      <c r="N31" s="2"/>
      <c r="O31" s="32"/>
    </row>
    <row r="32" spans="1:15" x14ac:dyDescent="0.25">
      <c r="A32" s="1"/>
      <c r="B32" s="33"/>
      <c r="C32" s="33"/>
      <c r="N32" s="2"/>
      <c r="O32" s="32"/>
    </row>
    <row r="33" spans="1:15" x14ac:dyDescent="0.25">
      <c r="A33" s="1"/>
      <c r="B33" s="33"/>
      <c r="C33" s="33"/>
      <c r="N33" s="2"/>
      <c r="O33" s="32"/>
    </row>
    <row r="34" spans="1:15" x14ac:dyDescent="0.25">
      <c r="A34" s="1"/>
      <c r="B34" s="33"/>
      <c r="C34" s="33"/>
      <c r="N34" s="2"/>
      <c r="O34" s="32"/>
    </row>
    <row r="35" spans="1:15" x14ac:dyDescent="0.25">
      <c r="A35" s="1"/>
      <c r="B35" s="33"/>
      <c r="C35" s="33"/>
      <c r="N35" s="2"/>
      <c r="O35" s="32"/>
    </row>
    <row r="36" spans="1:15" x14ac:dyDescent="0.25">
      <c r="A36" s="1"/>
      <c r="B36" s="33"/>
      <c r="C36" s="33"/>
      <c r="O36" s="32"/>
    </row>
    <row r="37" spans="1:15" x14ac:dyDescent="0.25">
      <c r="A37" s="1"/>
      <c r="B37" s="33"/>
      <c r="C37" s="33"/>
      <c r="O37" s="32"/>
    </row>
    <row r="38" spans="1:15" x14ac:dyDescent="0.25">
      <c r="A38" s="1"/>
      <c r="B38" s="33"/>
      <c r="C38" s="33"/>
      <c r="O38" s="32"/>
    </row>
    <row r="39" spans="1:15" x14ac:dyDescent="0.25">
      <c r="A39" s="1"/>
      <c r="B39" s="33"/>
      <c r="C39" s="33"/>
      <c r="O39" s="32"/>
    </row>
    <row r="40" spans="1:15" x14ac:dyDescent="0.25">
      <c r="A40" s="1"/>
      <c r="B40" s="33"/>
      <c r="C40" s="33"/>
      <c r="O40" s="32"/>
    </row>
    <row r="41" spans="1:15" x14ac:dyDescent="0.25">
      <c r="A41" s="1"/>
      <c r="B41" s="33"/>
      <c r="C41" s="33"/>
      <c r="O41" s="32"/>
    </row>
    <row r="42" spans="1:15" x14ac:dyDescent="0.25">
      <c r="A42" s="1"/>
      <c r="B42" s="33"/>
      <c r="C42" s="33"/>
      <c r="O42" s="32"/>
    </row>
    <row r="43" spans="1:15" x14ac:dyDescent="0.25">
      <c r="A43" s="1"/>
      <c r="B43" s="33"/>
      <c r="C43" s="33"/>
      <c r="O43" s="32"/>
    </row>
    <row r="44" spans="1:15" x14ac:dyDescent="0.25">
      <c r="A44" s="1"/>
      <c r="B44" s="33"/>
      <c r="C44" s="33"/>
      <c r="O44" s="32"/>
    </row>
    <row r="45" spans="1:15" x14ac:dyDescent="0.25">
      <c r="A45" s="1"/>
      <c r="B45" s="33"/>
      <c r="C45" s="33"/>
      <c r="O45" s="32"/>
    </row>
    <row r="46" spans="1:15" x14ac:dyDescent="0.25">
      <c r="A46" s="1"/>
      <c r="B46" s="33"/>
      <c r="C46" s="33"/>
      <c r="O46" s="32"/>
    </row>
    <row r="47" spans="1:15" x14ac:dyDescent="0.25">
      <c r="A47" s="1"/>
      <c r="B47" s="33"/>
      <c r="C47" s="33"/>
      <c r="O47" s="32"/>
    </row>
    <row r="48" spans="1:15" x14ac:dyDescent="0.25">
      <c r="A48" s="1"/>
      <c r="B48" s="33"/>
      <c r="C48" s="33"/>
      <c r="O48" s="32"/>
    </row>
    <row r="49" spans="1:15" x14ac:dyDescent="0.25">
      <c r="A49" s="1"/>
      <c r="B49" s="33"/>
      <c r="C49" s="33"/>
      <c r="O49" s="32"/>
    </row>
    <row r="50" spans="1:15" x14ac:dyDescent="0.25">
      <c r="A50" s="1"/>
      <c r="B50" s="33"/>
      <c r="C50" s="33"/>
      <c r="O50" s="32"/>
    </row>
    <row r="51" spans="1:15" x14ac:dyDescent="0.25">
      <c r="A51" s="1"/>
      <c r="B51" s="33"/>
      <c r="C51" s="33"/>
      <c r="O51" s="32"/>
    </row>
    <row r="52" spans="1:15" x14ac:dyDescent="0.25">
      <c r="A52" s="1"/>
      <c r="B52" s="33"/>
      <c r="C52" s="33"/>
      <c r="O52" s="32"/>
    </row>
    <row r="53" spans="1:15" x14ac:dyDescent="0.25">
      <c r="A53" s="1"/>
      <c r="B53" s="33"/>
      <c r="C53" s="33"/>
      <c r="O53" s="32"/>
    </row>
    <row r="54" spans="1:15" x14ac:dyDescent="0.25">
      <c r="A54" s="1"/>
      <c r="B54" s="33"/>
      <c r="C54" s="33"/>
      <c r="O54" s="32"/>
    </row>
    <row r="55" spans="1:15" x14ac:dyDescent="0.25">
      <c r="A55" s="1"/>
      <c r="B55" s="33"/>
      <c r="C55" s="33"/>
      <c r="O55" s="32"/>
    </row>
    <row r="56" spans="1:15" x14ac:dyDescent="0.25">
      <c r="A56" s="1"/>
      <c r="B56" s="33"/>
      <c r="C56" s="33"/>
      <c r="O56" s="32"/>
    </row>
    <row r="57" spans="1:15" x14ac:dyDescent="0.25">
      <c r="A57" s="1"/>
      <c r="B57" s="33"/>
      <c r="C57" s="33"/>
      <c r="O57" s="32"/>
    </row>
    <row r="58" spans="1:15" x14ac:dyDescent="0.25">
      <c r="A58" s="1"/>
      <c r="B58" s="33"/>
      <c r="C58" s="33"/>
      <c r="O58" s="32"/>
    </row>
    <row r="59" spans="1:15" x14ac:dyDescent="0.25">
      <c r="A59" s="1"/>
      <c r="B59" s="33"/>
      <c r="C59" s="33"/>
      <c r="O59" s="32"/>
    </row>
    <row r="60" spans="1:15" x14ac:dyDescent="0.25">
      <c r="A60" s="1"/>
      <c r="B60" s="33"/>
      <c r="C60" s="33"/>
      <c r="O60" s="32"/>
    </row>
    <row r="61" spans="1:15" x14ac:dyDescent="0.25">
      <c r="A61" s="1"/>
      <c r="B61" s="33"/>
      <c r="C61" s="33"/>
      <c r="O61" s="32"/>
    </row>
    <row r="62" spans="1:15" x14ac:dyDescent="0.25">
      <c r="A62" s="1"/>
      <c r="B62" s="33"/>
      <c r="C62" s="33"/>
      <c r="O62" s="32"/>
    </row>
    <row r="63" spans="1:15" x14ac:dyDescent="0.25">
      <c r="A63" s="1"/>
      <c r="B63" s="33"/>
      <c r="C63" s="33"/>
      <c r="O63" s="32"/>
    </row>
    <row r="64" spans="1:15" x14ac:dyDescent="0.25">
      <c r="A64" s="1"/>
      <c r="B64" s="33"/>
      <c r="C64" s="33"/>
      <c r="O64" s="32"/>
    </row>
    <row r="65" spans="1:15" x14ac:dyDescent="0.25">
      <c r="A65" s="1"/>
      <c r="B65" s="33"/>
      <c r="C65" s="33"/>
      <c r="O65" s="32"/>
    </row>
    <row r="66" spans="1:15" x14ac:dyDescent="0.25">
      <c r="A66" s="1"/>
      <c r="B66" s="33"/>
      <c r="C66" s="33"/>
      <c r="O66" s="32"/>
    </row>
    <row r="67" spans="1:15" x14ac:dyDescent="0.25">
      <c r="A67" s="1"/>
      <c r="B67" s="33"/>
      <c r="C67" s="33"/>
      <c r="O67" s="32"/>
    </row>
    <row r="68" spans="1:15" x14ac:dyDescent="0.25">
      <c r="A68" s="1"/>
      <c r="B68" s="33"/>
      <c r="C68" s="33"/>
      <c r="O68" s="32"/>
    </row>
    <row r="69" spans="1:15" x14ac:dyDescent="0.25">
      <c r="A69" s="1"/>
      <c r="B69" s="33"/>
      <c r="C69" s="33"/>
      <c r="O69" s="32"/>
    </row>
    <row r="70" spans="1:15" x14ac:dyDescent="0.25">
      <c r="A70" s="1"/>
      <c r="B70" s="33"/>
      <c r="C70" s="33"/>
      <c r="O70" s="32"/>
    </row>
    <row r="71" spans="1:15" x14ac:dyDescent="0.25">
      <c r="A71" s="1"/>
      <c r="B71" s="33"/>
      <c r="C71" s="33"/>
      <c r="O71" s="32"/>
    </row>
    <row r="72" spans="1:15" x14ac:dyDescent="0.25">
      <c r="A72" s="1"/>
      <c r="B72" s="33"/>
      <c r="C72" s="33"/>
      <c r="O72" s="32"/>
    </row>
    <row r="73" spans="1:15" x14ac:dyDescent="0.25">
      <c r="A73" s="1"/>
      <c r="B73" s="33"/>
      <c r="C73" s="33"/>
      <c r="O73" s="32"/>
    </row>
    <row r="74" spans="1:15" x14ac:dyDescent="0.25">
      <c r="A74" s="1"/>
      <c r="B74" s="33"/>
      <c r="C74" s="33"/>
      <c r="O74" s="32"/>
    </row>
    <row r="75" spans="1:15" x14ac:dyDescent="0.25">
      <c r="A75" s="1"/>
      <c r="B75" s="33"/>
      <c r="C75" s="33"/>
      <c r="O75" s="32"/>
    </row>
    <row r="76" spans="1:15" x14ac:dyDescent="0.25">
      <c r="A76" s="1"/>
      <c r="B76" s="33"/>
      <c r="C76" s="33"/>
      <c r="O76" s="32"/>
    </row>
    <row r="77" spans="1:15" x14ac:dyDescent="0.25">
      <c r="A77" s="1"/>
      <c r="B77" s="33"/>
      <c r="C77" s="33"/>
      <c r="O77" s="32"/>
    </row>
    <row r="78" spans="1:15" x14ac:dyDescent="0.25">
      <c r="A78" s="1"/>
      <c r="B78" s="33"/>
      <c r="C78" s="33"/>
      <c r="O78" s="32"/>
    </row>
    <row r="79" spans="1:15" x14ac:dyDescent="0.25">
      <c r="A79" s="1"/>
      <c r="B79" s="33"/>
      <c r="C79" s="33"/>
      <c r="O79" s="32"/>
    </row>
    <row r="80" spans="1:15" x14ac:dyDescent="0.25">
      <c r="A80" s="1"/>
      <c r="B80" s="33"/>
      <c r="C80" s="33"/>
      <c r="O80" s="32"/>
    </row>
    <row r="81" spans="1:15" x14ac:dyDescent="0.25">
      <c r="A81" s="1"/>
      <c r="B81" s="33"/>
      <c r="C81" s="33"/>
      <c r="O81" s="32"/>
    </row>
    <row r="82" spans="1:15" x14ac:dyDescent="0.25">
      <c r="A82" s="1"/>
      <c r="B82" s="33"/>
      <c r="C82" s="33"/>
      <c r="O82" s="32"/>
    </row>
    <row r="83" spans="1:15" x14ac:dyDescent="0.25">
      <c r="A83" s="1"/>
      <c r="B83" s="33"/>
      <c r="C83" s="33"/>
      <c r="O83" s="32"/>
    </row>
    <row r="84" spans="1:15" x14ac:dyDescent="0.25">
      <c r="A84" s="1"/>
      <c r="B84" s="33"/>
      <c r="C84" s="33"/>
      <c r="O84" s="32"/>
    </row>
    <row r="85" spans="1:15" x14ac:dyDescent="0.25">
      <c r="A85" s="1"/>
      <c r="B85" s="33"/>
      <c r="C85" s="33"/>
      <c r="O85" s="32"/>
    </row>
    <row r="86" spans="1:15" x14ac:dyDescent="0.25">
      <c r="A86" s="1"/>
      <c r="B86" s="33"/>
      <c r="C86" s="33"/>
      <c r="O86" s="32"/>
    </row>
    <row r="87" spans="1:15" x14ac:dyDescent="0.25">
      <c r="A87" s="1"/>
      <c r="B87" s="33"/>
      <c r="C87" s="33"/>
      <c r="O87" s="32"/>
    </row>
    <row r="88" spans="1:15" x14ac:dyDescent="0.25">
      <c r="A88" s="1"/>
      <c r="B88" s="33"/>
      <c r="C88" s="33"/>
      <c r="O88" s="32"/>
    </row>
    <row r="89" spans="1:15" x14ac:dyDescent="0.25">
      <c r="A89" s="1"/>
      <c r="B89" s="33"/>
      <c r="C89" s="33"/>
      <c r="O89" s="32"/>
    </row>
    <row r="90" spans="1:15" x14ac:dyDescent="0.25">
      <c r="A90" s="1"/>
      <c r="B90" s="33"/>
      <c r="C90" s="33"/>
      <c r="O90" s="32"/>
    </row>
    <row r="91" spans="1:15" x14ac:dyDescent="0.25">
      <c r="A91" s="1"/>
      <c r="B91" s="33"/>
      <c r="C91" s="33"/>
      <c r="O91" s="32"/>
    </row>
    <row r="92" spans="1:15" x14ac:dyDescent="0.25">
      <c r="A92" s="1"/>
      <c r="B92" s="33"/>
      <c r="C92" s="33"/>
      <c r="O92" s="32"/>
    </row>
    <row r="93" spans="1:15" x14ac:dyDescent="0.25">
      <c r="A93" s="1"/>
      <c r="B93" s="33"/>
      <c r="C93" s="33"/>
      <c r="O93" s="32"/>
    </row>
    <row r="94" spans="1:15" x14ac:dyDescent="0.25">
      <c r="A94" s="1"/>
      <c r="B94" s="33"/>
      <c r="C94" s="33"/>
      <c r="O94" s="32"/>
    </row>
    <row r="95" spans="1:15" x14ac:dyDescent="0.25">
      <c r="A95" s="1"/>
      <c r="B95" s="33"/>
      <c r="C95" s="33"/>
      <c r="O95" s="32"/>
    </row>
    <row r="96" spans="1:15" x14ac:dyDescent="0.25">
      <c r="A96" s="1"/>
      <c r="B96" s="33"/>
      <c r="C96" s="33"/>
      <c r="O96" s="32"/>
    </row>
    <row r="97" spans="1:15" x14ac:dyDescent="0.25">
      <c r="A97" s="1"/>
      <c r="B97" s="33"/>
      <c r="C97" s="33"/>
      <c r="O97" s="32"/>
    </row>
    <row r="98" spans="1:15" x14ac:dyDescent="0.25">
      <c r="A98" s="1"/>
      <c r="B98" s="33"/>
      <c r="C98" s="33"/>
      <c r="O98" s="32"/>
    </row>
    <row r="99" spans="1:15" x14ac:dyDescent="0.25">
      <c r="A99" s="1"/>
      <c r="B99" s="33"/>
      <c r="C99" s="33"/>
      <c r="O99" s="32"/>
    </row>
    <row r="100" spans="1:15" x14ac:dyDescent="0.25">
      <c r="A100" s="1"/>
      <c r="B100" s="33"/>
      <c r="C100" s="33"/>
      <c r="O100" s="32"/>
    </row>
    <row r="101" spans="1:15" x14ac:dyDescent="0.25">
      <c r="A101" s="1"/>
      <c r="B101" s="33"/>
      <c r="C101" s="33"/>
      <c r="O101" s="32"/>
    </row>
    <row r="102" spans="1:15" x14ac:dyDescent="0.25">
      <c r="A102" s="1"/>
      <c r="B102" s="33"/>
      <c r="C102" s="33"/>
      <c r="O102" s="32"/>
    </row>
    <row r="103" spans="1:15" x14ac:dyDescent="0.25">
      <c r="A103" s="1"/>
      <c r="B103" s="33"/>
      <c r="C103" s="33"/>
      <c r="O103" s="32"/>
    </row>
    <row r="104" spans="1:15" x14ac:dyDescent="0.25">
      <c r="A104" s="1"/>
      <c r="B104" s="33"/>
      <c r="C104" s="33"/>
      <c r="O104" s="32"/>
    </row>
    <row r="105" spans="1:15" x14ac:dyDescent="0.25">
      <c r="A105" s="1"/>
      <c r="B105" s="33"/>
      <c r="C105" s="33"/>
      <c r="O105" s="32"/>
    </row>
    <row r="106" spans="1:15" x14ac:dyDescent="0.25">
      <c r="A106" s="1"/>
      <c r="B106" s="33"/>
      <c r="C106" s="33"/>
      <c r="O106" s="32"/>
    </row>
    <row r="107" spans="1:15" x14ac:dyDescent="0.25">
      <c r="A107" s="1"/>
      <c r="B107" s="33"/>
      <c r="C107" s="33"/>
      <c r="O107" s="32"/>
    </row>
    <row r="108" spans="1:15" x14ac:dyDescent="0.25">
      <c r="A108" s="1"/>
      <c r="B108" s="33"/>
      <c r="C108" s="33"/>
      <c r="O108" s="32"/>
    </row>
    <row r="109" spans="1:15" x14ac:dyDescent="0.25">
      <c r="A109" s="1"/>
      <c r="B109" s="33"/>
      <c r="C109" s="33"/>
      <c r="O109" s="32"/>
    </row>
    <row r="110" spans="1:15" x14ac:dyDescent="0.25">
      <c r="A110" s="1"/>
      <c r="B110" s="33"/>
      <c r="C110" s="33"/>
      <c r="O110" s="32"/>
    </row>
    <row r="111" spans="1:15" x14ac:dyDescent="0.25">
      <c r="A111" s="1"/>
      <c r="B111" s="33"/>
      <c r="C111" s="33"/>
      <c r="O111" s="32"/>
    </row>
    <row r="112" spans="1:15" x14ac:dyDescent="0.25">
      <c r="A112" s="1"/>
      <c r="B112" s="33"/>
      <c r="C112" s="33"/>
      <c r="O112" s="32"/>
    </row>
    <row r="113" spans="1:15" x14ac:dyDescent="0.25">
      <c r="A113" s="1"/>
      <c r="B113" s="33"/>
      <c r="C113" s="33"/>
      <c r="O113" s="32"/>
    </row>
    <row r="114" spans="1:15" x14ac:dyDescent="0.25">
      <c r="A114" s="1"/>
      <c r="B114" s="33"/>
      <c r="C114" s="33"/>
      <c r="O114" s="32"/>
    </row>
    <row r="115" spans="1:15" x14ac:dyDescent="0.25">
      <c r="A115" s="1"/>
      <c r="B115" s="33"/>
      <c r="C115" s="33"/>
      <c r="O115" s="32"/>
    </row>
    <row r="116" spans="1:15" x14ac:dyDescent="0.25">
      <c r="A116" s="1"/>
      <c r="B116" s="33"/>
      <c r="C116" s="33"/>
      <c r="O116" s="32"/>
    </row>
    <row r="117" spans="1:15" x14ac:dyDescent="0.25">
      <c r="A117" s="1"/>
      <c r="B117" s="33"/>
      <c r="C117" s="33"/>
      <c r="O117" s="32"/>
    </row>
    <row r="118" spans="1:15" x14ac:dyDescent="0.25">
      <c r="A118" s="1"/>
      <c r="B118" s="33"/>
      <c r="C118" s="33"/>
      <c r="O118" s="32"/>
    </row>
    <row r="119" spans="1:15" x14ac:dyDescent="0.25">
      <c r="A119" s="1"/>
      <c r="B119" s="33"/>
      <c r="C119" s="33"/>
      <c r="O119" s="32"/>
    </row>
    <row r="120" spans="1:15" x14ac:dyDescent="0.25">
      <c r="A120" s="1"/>
      <c r="B120" s="33"/>
      <c r="C120" s="33"/>
      <c r="O120" s="32"/>
    </row>
    <row r="121" spans="1:15" x14ac:dyDescent="0.25">
      <c r="A121" s="1"/>
      <c r="B121" s="33"/>
      <c r="C121" s="33"/>
      <c r="O121" s="32"/>
    </row>
    <row r="122" spans="1:15" x14ac:dyDescent="0.25">
      <c r="A122" s="1"/>
      <c r="B122" s="33"/>
      <c r="C122" s="33"/>
      <c r="O122" s="32"/>
    </row>
    <row r="123" spans="1:15" x14ac:dyDescent="0.25">
      <c r="A123" s="1"/>
      <c r="B123" s="33"/>
      <c r="C123" s="33"/>
      <c r="O123" s="32"/>
    </row>
    <row r="124" spans="1:15" x14ac:dyDescent="0.25">
      <c r="A124" s="1"/>
      <c r="B124" s="33"/>
      <c r="C124" s="33"/>
      <c r="O124" s="32"/>
    </row>
    <row r="125" spans="1:15" x14ac:dyDescent="0.25">
      <c r="A125" s="1"/>
      <c r="B125" s="33"/>
      <c r="C125" s="33"/>
      <c r="O125" s="32"/>
    </row>
    <row r="126" spans="1:15" x14ac:dyDescent="0.25">
      <c r="A126" s="1"/>
      <c r="B126" s="33"/>
      <c r="C126" s="33"/>
      <c r="O126" s="32"/>
    </row>
    <row r="127" spans="1:15" x14ac:dyDescent="0.25">
      <c r="A127" s="1"/>
      <c r="B127" s="33"/>
      <c r="C127" s="33"/>
      <c r="O127" s="32"/>
    </row>
    <row r="128" spans="1:15" x14ac:dyDescent="0.25">
      <c r="A128" s="1"/>
      <c r="B128" s="33"/>
      <c r="C128" s="33"/>
      <c r="O128" s="32"/>
    </row>
    <row r="129" spans="1:15" x14ac:dyDescent="0.25">
      <c r="A129" s="1"/>
      <c r="B129" s="33"/>
      <c r="C129" s="33"/>
      <c r="O129" s="32"/>
    </row>
    <row r="130" spans="1:15" x14ac:dyDescent="0.25">
      <c r="A130" s="1"/>
      <c r="B130" s="33"/>
      <c r="C130" s="33"/>
      <c r="O130" s="32"/>
    </row>
    <row r="131" spans="1:15" x14ac:dyDescent="0.25">
      <c r="A131" s="1"/>
      <c r="B131" s="33"/>
      <c r="C131" s="33"/>
      <c r="O131" s="32"/>
    </row>
    <row r="132" spans="1:15" x14ac:dyDescent="0.25">
      <c r="A132" s="1"/>
      <c r="B132" s="33"/>
      <c r="C132" s="33"/>
      <c r="O132" s="32"/>
    </row>
    <row r="133" spans="1:15" x14ac:dyDescent="0.25">
      <c r="A133" s="1"/>
      <c r="B133" s="33"/>
      <c r="C133" s="33"/>
    </row>
    <row r="134" spans="1:15" x14ac:dyDescent="0.25">
      <c r="B134" s="33"/>
      <c r="C134" s="33"/>
    </row>
    <row r="135" spans="1:15" x14ac:dyDescent="0.25">
      <c r="C135" s="1"/>
    </row>
    <row r="136" spans="1:15" x14ac:dyDescent="0.25">
      <c r="C136" s="1"/>
    </row>
    <row r="137" spans="1:15" x14ac:dyDescent="0.25">
      <c r="C137" s="1"/>
    </row>
    <row r="138" spans="1:15" x14ac:dyDescent="0.25">
      <c r="C138" s="1"/>
    </row>
    <row r="139" spans="1:15" x14ac:dyDescent="0.25">
      <c r="C139" s="1"/>
    </row>
    <row r="140" spans="1:15" x14ac:dyDescent="0.25">
      <c r="C140" s="1"/>
    </row>
    <row r="141" spans="1:15" x14ac:dyDescent="0.25">
      <c r="C141" s="1"/>
    </row>
    <row r="142" spans="1:15" x14ac:dyDescent="0.25">
      <c r="C142" s="1"/>
    </row>
    <row r="143" spans="1:15" x14ac:dyDescent="0.25">
      <c r="C143" s="1"/>
    </row>
    <row r="144" spans="1:15" x14ac:dyDescent="0.25">
      <c r="C144" s="1"/>
    </row>
    <row r="145" spans="3:3" x14ac:dyDescent="0.25">
      <c r="C145" s="1"/>
    </row>
    <row r="146" spans="3:3" x14ac:dyDescent="0.25">
      <c r="C146" s="1"/>
    </row>
    <row r="147" spans="3:3" x14ac:dyDescent="0.25">
      <c r="C147" s="1"/>
    </row>
    <row r="148" spans="3:3" x14ac:dyDescent="0.25">
      <c r="C148" s="1"/>
    </row>
    <row r="149" spans="3:3" x14ac:dyDescent="0.25">
      <c r="C149" s="1"/>
    </row>
    <row r="150" spans="3:3" x14ac:dyDescent="0.25">
      <c r="C150" s="1"/>
    </row>
    <row r="151" spans="3:3" x14ac:dyDescent="0.25">
      <c r="C151" s="1"/>
    </row>
    <row r="152" spans="3:3" x14ac:dyDescent="0.25">
      <c r="C152" s="1"/>
    </row>
    <row r="153" spans="3:3" x14ac:dyDescent="0.25">
      <c r="C153" s="1"/>
    </row>
    <row r="154" spans="3:3" x14ac:dyDescent="0.25">
      <c r="C154" s="1"/>
    </row>
    <row r="155" spans="3:3" x14ac:dyDescent="0.25">
      <c r="C155" s="1"/>
    </row>
    <row r="156" spans="3:3" x14ac:dyDescent="0.25">
      <c r="C156" s="1"/>
    </row>
    <row r="157" spans="3:3" x14ac:dyDescent="0.25">
      <c r="C157" s="1"/>
    </row>
    <row r="158" spans="3:3" x14ac:dyDescent="0.25">
      <c r="C158" s="1"/>
    </row>
    <row r="159" spans="3:3" x14ac:dyDescent="0.25">
      <c r="C159" s="1"/>
    </row>
    <row r="160" spans="3:3" x14ac:dyDescent="0.25">
      <c r="C160" s="1"/>
    </row>
    <row r="161" spans="3:3" x14ac:dyDescent="0.25">
      <c r="C161" s="1"/>
    </row>
    <row r="162" spans="3:3" x14ac:dyDescent="0.25">
      <c r="C162" s="1"/>
    </row>
    <row r="163" spans="3:3" x14ac:dyDescent="0.25">
      <c r="C163" s="1"/>
    </row>
    <row r="164" spans="3:3" x14ac:dyDescent="0.25">
      <c r="C164" s="1"/>
    </row>
    <row r="165" spans="3:3" x14ac:dyDescent="0.25">
      <c r="C165" s="1"/>
    </row>
    <row r="166" spans="3:3" x14ac:dyDescent="0.25">
      <c r="C166" s="1"/>
    </row>
    <row r="167" spans="3:3" x14ac:dyDescent="0.25">
      <c r="C167" s="1"/>
    </row>
    <row r="168" spans="3:3" x14ac:dyDescent="0.25">
      <c r="C168" s="1"/>
    </row>
    <row r="169" spans="3:3" x14ac:dyDescent="0.25">
      <c r="C169" s="1"/>
    </row>
    <row r="170" spans="3:3" x14ac:dyDescent="0.25">
      <c r="C170" s="1"/>
    </row>
    <row r="171" spans="3:3" x14ac:dyDescent="0.25">
      <c r="C171" s="1"/>
    </row>
    <row r="172" spans="3:3" x14ac:dyDescent="0.25">
      <c r="C172" s="1"/>
    </row>
    <row r="173" spans="3:3" x14ac:dyDescent="0.25">
      <c r="C173" s="1"/>
    </row>
    <row r="174" spans="3:3" x14ac:dyDescent="0.25">
      <c r="C174" s="1"/>
    </row>
    <row r="175" spans="3:3" x14ac:dyDescent="0.25">
      <c r="C175" s="1"/>
    </row>
    <row r="176" spans="3:3" x14ac:dyDescent="0.25">
      <c r="C176" s="1"/>
    </row>
    <row r="177" spans="3:3" x14ac:dyDescent="0.25">
      <c r="C177" s="1"/>
    </row>
    <row r="178" spans="3:3" x14ac:dyDescent="0.25">
      <c r="C178" s="1"/>
    </row>
    <row r="179" spans="3:3" x14ac:dyDescent="0.25">
      <c r="C179" s="1"/>
    </row>
    <row r="180" spans="3:3" x14ac:dyDescent="0.25">
      <c r="C180" s="1"/>
    </row>
    <row r="181" spans="3:3" x14ac:dyDescent="0.25">
      <c r="C181" s="1"/>
    </row>
    <row r="182" spans="3:3" x14ac:dyDescent="0.25">
      <c r="C182" s="1"/>
    </row>
    <row r="183" spans="3:3" x14ac:dyDescent="0.25">
      <c r="C183" s="1"/>
    </row>
    <row r="184" spans="3:3" x14ac:dyDescent="0.25">
      <c r="C184" s="1"/>
    </row>
    <row r="185" spans="3:3" x14ac:dyDescent="0.25">
      <c r="C185" s="1"/>
    </row>
    <row r="186" spans="3:3" x14ac:dyDescent="0.25">
      <c r="C186" s="1"/>
    </row>
    <row r="187" spans="3:3" x14ac:dyDescent="0.25">
      <c r="C187" s="1"/>
    </row>
    <row r="188" spans="3:3" x14ac:dyDescent="0.25">
      <c r="C188" s="1"/>
    </row>
    <row r="189" spans="3:3" x14ac:dyDescent="0.25">
      <c r="C189" s="1"/>
    </row>
    <row r="190" spans="3:3" x14ac:dyDescent="0.25">
      <c r="C190" s="1"/>
    </row>
    <row r="191" spans="3:3" x14ac:dyDescent="0.25">
      <c r="C191" s="1"/>
    </row>
    <row r="192" spans="3:3" x14ac:dyDescent="0.25">
      <c r="C192" s="1"/>
    </row>
    <row r="193" spans="3:3" x14ac:dyDescent="0.25">
      <c r="C193" s="1"/>
    </row>
    <row r="194" spans="3:3" x14ac:dyDescent="0.25">
      <c r="C194" s="1"/>
    </row>
    <row r="195" spans="3:3" x14ac:dyDescent="0.25">
      <c r="C195" s="1"/>
    </row>
    <row r="196" spans="3:3" x14ac:dyDescent="0.25">
      <c r="C196" s="1"/>
    </row>
    <row r="197" spans="3:3" x14ac:dyDescent="0.25">
      <c r="C197" s="1"/>
    </row>
    <row r="198" spans="3:3" x14ac:dyDescent="0.25">
      <c r="C198" s="1"/>
    </row>
    <row r="199" spans="3:3" x14ac:dyDescent="0.25">
      <c r="C199" s="1"/>
    </row>
    <row r="200" spans="3:3" x14ac:dyDescent="0.25">
      <c r="C200" s="1"/>
    </row>
    <row r="201" spans="3:3" x14ac:dyDescent="0.25">
      <c r="C201" s="1"/>
    </row>
    <row r="202" spans="3:3" x14ac:dyDescent="0.25">
      <c r="C202" s="1"/>
    </row>
    <row r="203" spans="3:3" x14ac:dyDescent="0.25">
      <c r="C203" s="1"/>
    </row>
    <row r="204" spans="3:3" x14ac:dyDescent="0.25">
      <c r="C204" s="1"/>
    </row>
    <row r="205" spans="3:3" x14ac:dyDescent="0.25">
      <c r="C205" s="1"/>
    </row>
    <row r="206" spans="3:3" x14ac:dyDescent="0.25">
      <c r="C206" s="1"/>
    </row>
    <row r="207" spans="3:3" x14ac:dyDescent="0.25">
      <c r="C207" s="1"/>
    </row>
    <row r="208" spans="3:3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</sheetData>
  <mergeCells count="2">
    <mergeCell ref="B4:G8"/>
    <mergeCell ref="A10:O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JSONParser">
                <anchor moveWithCells="1" sizeWithCells="1">
                  <from>
                    <xdr:col>8</xdr:col>
                    <xdr:colOff>228600</xdr:colOff>
                    <xdr:row>2</xdr:row>
                    <xdr:rowOff>114300</xdr:rowOff>
                  </from>
                  <to>
                    <xdr:col>11</xdr:col>
                    <xdr:colOff>457200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B41BF-83F5-49C9-AED6-FA71362FCD5F}">
  <sheetPr codeName="Blad4"/>
  <dimension ref="A1:F9041"/>
  <sheetViews>
    <sheetView workbookViewId="0">
      <selection activeCell="B1" sqref="B1"/>
    </sheetView>
  </sheetViews>
  <sheetFormatPr defaultRowHeight="15" x14ac:dyDescent="0.25"/>
  <cols>
    <col min="2" max="2" width="38.42578125" customWidth="1"/>
  </cols>
  <sheetData>
    <row r="1" spans="1:6" x14ac:dyDescent="0.25">
      <c r="A1" t="s">
        <v>3</v>
      </c>
      <c r="B1" t="s">
        <v>4</v>
      </c>
      <c r="C1" t="s">
        <v>0</v>
      </c>
      <c r="D1" t="s">
        <v>5</v>
      </c>
      <c r="E1" t="s">
        <v>6</v>
      </c>
      <c r="F1" t="s">
        <v>7</v>
      </c>
    </row>
    <row r="2" spans="1:6" x14ac:dyDescent="0.25">
      <c r="A2" t="s">
        <v>8</v>
      </c>
      <c r="B2" t="s">
        <v>9</v>
      </c>
      <c r="C2" s="1">
        <v>44083</v>
      </c>
      <c r="D2" t="b">
        <v>1</v>
      </c>
      <c r="E2" t="s">
        <v>10</v>
      </c>
      <c r="F2">
        <v>2</v>
      </c>
    </row>
    <row r="3" spans="1:6" x14ac:dyDescent="0.25">
      <c r="A3" t="s">
        <v>11</v>
      </c>
      <c r="B3" t="s">
        <v>12</v>
      </c>
      <c r="C3" s="1">
        <v>44083</v>
      </c>
      <c r="D3" t="b">
        <v>1</v>
      </c>
      <c r="E3" t="s">
        <v>10</v>
      </c>
      <c r="F3">
        <v>12042</v>
      </c>
    </row>
    <row r="4" spans="1:6" x14ac:dyDescent="0.25">
      <c r="A4" t="s">
        <v>547</v>
      </c>
      <c r="C4" s="1">
        <v>44083</v>
      </c>
      <c r="D4" t="b">
        <v>0</v>
      </c>
      <c r="E4" t="s">
        <v>10</v>
      </c>
      <c r="F4">
        <v>17195</v>
      </c>
    </row>
    <row r="5" spans="1:6" x14ac:dyDescent="0.25">
      <c r="A5" t="s">
        <v>13</v>
      </c>
      <c r="B5" t="s">
        <v>14</v>
      </c>
      <c r="C5" s="1">
        <v>44083</v>
      </c>
      <c r="D5" t="b">
        <v>1</v>
      </c>
      <c r="E5" t="s">
        <v>10</v>
      </c>
      <c r="F5">
        <v>14924</v>
      </c>
    </row>
    <row r="6" spans="1:6" x14ac:dyDescent="0.25">
      <c r="A6" t="s">
        <v>15</v>
      </c>
      <c r="B6" t="s">
        <v>16</v>
      </c>
      <c r="C6" s="1">
        <v>44083</v>
      </c>
      <c r="D6" t="b">
        <v>1</v>
      </c>
      <c r="E6" t="s">
        <v>10</v>
      </c>
      <c r="F6">
        <v>474</v>
      </c>
    </row>
    <row r="7" spans="1:6" x14ac:dyDescent="0.25">
      <c r="A7" t="s">
        <v>17</v>
      </c>
      <c r="B7" t="s">
        <v>18</v>
      </c>
      <c r="C7" s="1">
        <v>44083</v>
      </c>
      <c r="D7" t="b">
        <v>1</v>
      </c>
      <c r="E7" t="s">
        <v>10</v>
      </c>
      <c r="F7">
        <v>17186</v>
      </c>
    </row>
    <row r="8" spans="1:6" x14ac:dyDescent="0.25">
      <c r="A8" t="s">
        <v>19</v>
      </c>
      <c r="B8" t="s">
        <v>20</v>
      </c>
      <c r="C8" s="1">
        <v>44083</v>
      </c>
      <c r="D8" t="b">
        <v>1</v>
      </c>
      <c r="E8" t="s">
        <v>10</v>
      </c>
      <c r="F8">
        <v>16887</v>
      </c>
    </row>
    <row r="9" spans="1:6" x14ac:dyDescent="0.25">
      <c r="A9" t="s">
        <v>21</v>
      </c>
      <c r="C9" s="1">
        <v>44083</v>
      </c>
      <c r="D9" t="b">
        <v>1</v>
      </c>
      <c r="E9" t="s">
        <v>10</v>
      </c>
      <c r="F9">
        <v>17193</v>
      </c>
    </row>
    <row r="10" spans="1:6" x14ac:dyDescent="0.25">
      <c r="A10" t="s">
        <v>22</v>
      </c>
      <c r="B10" t="s">
        <v>23</v>
      </c>
      <c r="C10" s="1">
        <v>44083</v>
      </c>
      <c r="D10" t="b">
        <v>1</v>
      </c>
      <c r="E10" t="s">
        <v>10</v>
      </c>
      <c r="F10">
        <v>5</v>
      </c>
    </row>
    <row r="11" spans="1:6" x14ac:dyDescent="0.25">
      <c r="A11" t="s">
        <v>24</v>
      </c>
      <c r="B11" t="s">
        <v>25</v>
      </c>
      <c r="C11" s="1">
        <v>44083</v>
      </c>
      <c r="D11" t="b">
        <v>1</v>
      </c>
      <c r="E11" t="s">
        <v>10</v>
      </c>
      <c r="F11">
        <v>8148</v>
      </c>
    </row>
    <row r="12" spans="1:6" x14ac:dyDescent="0.25">
      <c r="A12" t="s">
        <v>26</v>
      </c>
      <c r="B12" t="s">
        <v>27</v>
      </c>
      <c r="C12" s="1">
        <v>44083</v>
      </c>
      <c r="D12" t="b">
        <v>1</v>
      </c>
      <c r="E12" t="s">
        <v>10</v>
      </c>
      <c r="F12">
        <v>7760</v>
      </c>
    </row>
    <row r="13" spans="1:6" x14ac:dyDescent="0.25">
      <c r="A13" t="s">
        <v>28</v>
      </c>
      <c r="B13" t="s">
        <v>29</v>
      </c>
      <c r="C13" s="1">
        <v>44083</v>
      </c>
      <c r="D13" t="b">
        <v>1</v>
      </c>
      <c r="E13" t="s">
        <v>10</v>
      </c>
      <c r="F13">
        <v>7</v>
      </c>
    </row>
    <row r="14" spans="1:6" x14ac:dyDescent="0.25">
      <c r="A14" t="s">
        <v>30</v>
      </c>
      <c r="B14" t="s">
        <v>31</v>
      </c>
      <c r="C14" s="1">
        <v>44083</v>
      </c>
      <c r="D14" t="b">
        <v>1</v>
      </c>
      <c r="E14" t="s">
        <v>10</v>
      </c>
      <c r="F14">
        <v>8</v>
      </c>
    </row>
    <row r="15" spans="1:6" x14ac:dyDescent="0.25">
      <c r="A15" t="s">
        <v>32</v>
      </c>
      <c r="B15" t="s">
        <v>33</v>
      </c>
      <c r="C15" s="1">
        <v>44083</v>
      </c>
      <c r="D15" t="b">
        <v>1</v>
      </c>
      <c r="E15" t="s">
        <v>10</v>
      </c>
      <c r="F15">
        <v>7790</v>
      </c>
    </row>
    <row r="16" spans="1:6" x14ac:dyDescent="0.25">
      <c r="A16" t="s">
        <v>34</v>
      </c>
      <c r="B16" t="s">
        <v>35</v>
      </c>
      <c r="C16" s="1">
        <v>44083</v>
      </c>
      <c r="D16" t="b">
        <v>1</v>
      </c>
      <c r="E16" t="s">
        <v>10</v>
      </c>
      <c r="F16">
        <v>9</v>
      </c>
    </row>
    <row r="17" spans="1:6" x14ac:dyDescent="0.25">
      <c r="A17" t="s">
        <v>36</v>
      </c>
      <c r="B17" t="s">
        <v>37</v>
      </c>
      <c r="C17" s="1">
        <v>44083</v>
      </c>
      <c r="D17" t="b">
        <v>1</v>
      </c>
      <c r="E17" t="s">
        <v>10</v>
      </c>
      <c r="F17">
        <v>10</v>
      </c>
    </row>
    <row r="18" spans="1:6" x14ac:dyDescent="0.25">
      <c r="A18" t="s">
        <v>38</v>
      </c>
      <c r="B18" t="s">
        <v>39</v>
      </c>
      <c r="C18" s="1">
        <v>44083</v>
      </c>
      <c r="D18" t="b">
        <v>1</v>
      </c>
      <c r="E18" t="s">
        <v>10</v>
      </c>
      <c r="F18">
        <v>11</v>
      </c>
    </row>
    <row r="19" spans="1:6" x14ac:dyDescent="0.25">
      <c r="A19" t="s">
        <v>40</v>
      </c>
      <c r="B19" t="s">
        <v>41</v>
      </c>
      <c r="C19" s="1">
        <v>44083</v>
      </c>
      <c r="D19" t="b">
        <v>1</v>
      </c>
      <c r="E19" t="s">
        <v>10</v>
      </c>
      <c r="F19">
        <v>12</v>
      </c>
    </row>
    <row r="20" spans="1:6" x14ac:dyDescent="0.25">
      <c r="A20" t="s">
        <v>42</v>
      </c>
      <c r="B20" t="s">
        <v>43</v>
      </c>
      <c r="C20" s="1">
        <v>44083</v>
      </c>
      <c r="D20" t="b">
        <v>1</v>
      </c>
      <c r="E20" t="s">
        <v>10</v>
      </c>
      <c r="F20">
        <v>13</v>
      </c>
    </row>
    <row r="21" spans="1:6" x14ac:dyDescent="0.25">
      <c r="A21" t="s">
        <v>44</v>
      </c>
      <c r="B21" t="s">
        <v>45</v>
      </c>
      <c r="C21" s="1">
        <v>44083</v>
      </c>
      <c r="D21" t="b">
        <v>1</v>
      </c>
      <c r="E21" t="s">
        <v>10</v>
      </c>
      <c r="F21">
        <v>15</v>
      </c>
    </row>
    <row r="22" spans="1:6" x14ac:dyDescent="0.25">
      <c r="A22" t="s">
        <v>46</v>
      </c>
      <c r="B22" t="s">
        <v>47</v>
      </c>
      <c r="C22" s="1">
        <v>44083</v>
      </c>
      <c r="D22" t="b">
        <v>1</v>
      </c>
      <c r="E22" t="s">
        <v>10</v>
      </c>
      <c r="F22">
        <v>16</v>
      </c>
    </row>
    <row r="23" spans="1:6" x14ac:dyDescent="0.25">
      <c r="A23" t="s">
        <v>48</v>
      </c>
      <c r="B23" t="s">
        <v>49</v>
      </c>
      <c r="C23" s="1">
        <v>44083</v>
      </c>
      <c r="D23" t="b">
        <v>1</v>
      </c>
      <c r="E23" t="s">
        <v>10</v>
      </c>
      <c r="F23">
        <v>6667</v>
      </c>
    </row>
    <row r="24" spans="1:6" x14ac:dyDescent="0.25">
      <c r="A24" t="s">
        <v>50</v>
      </c>
      <c r="B24" t="s">
        <v>51</v>
      </c>
      <c r="C24" s="1">
        <v>44083</v>
      </c>
      <c r="D24" t="b">
        <v>1</v>
      </c>
      <c r="E24" t="s">
        <v>10</v>
      </c>
      <c r="F24">
        <v>17</v>
      </c>
    </row>
    <row r="25" spans="1:6" x14ac:dyDescent="0.25">
      <c r="A25" t="s">
        <v>52</v>
      </c>
      <c r="B25" t="s">
        <v>53</v>
      </c>
      <c r="C25" s="1">
        <v>44083</v>
      </c>
      <c r="D25" t="b">
        <v>1</v>
      </c>
      <c r="E25" t="s">
        <v>10</v>
      </c>
      <c r="F25">
        <v>19</v>
      </c>
    </row>
    <row r="26" spans="1:6" x14ac:dyDescent="0.25">
      <c r="A26" t="s">
        <v>54</v>
      </c>
      <c r="B26" t="s">
        <v>55</v>
      </c>
      <c r="C26" s="1">
        <v>44083</v>
      </c>
      <c r="D26" t="b">
        <v>1</v>
      </c>
      <c r="E26" t="s">
        <v>10</v>
      </c>
      <c r="F26">
        <v>20</v>
      </c>
    </row>
    <row r="27" spans="1:6" x14ac:dyDescent="0.25">
      <c r="A27" t="s">
        <v>56</v>
      </c>
      <c r="B27" t="s">
        <v>57</v>
      </c>
      <c r="C27" s="1">
        <v>44083</v>
      </c>
      <c r="D27" t="b">
        <v>1</v>
      </c>
      <c r="E27" t="s">
        <v>10</v>
      </c>
      <c r="F27">
        <v>21</v>
      </c>
    </row>
    <row r="28" spans="1:6" x14ac:dyDescent="0.25">
      <c r="A28" t="s">
        <v>58</v>
      </c>
      <c r="B28" t="s">
        <v>59</v>
      </c>
      <c r="C28" s="1">
        <v>44083</v>
      </c>
      <c r="D28" t="b">
        <v>1</v>
      </c>
      <c r="E28" t="s">
        <v>10</v>
      </c>
      <c r="F28">
        <v>22</v>
      </c>
    </row>
    <row r="29" spans="1:6" x14ac:dyDescent="0.25">
      <c r="A29" t="s">
        <v>60</v>
      </c>
      <c r="B29" t="s">
        <v>61</v>
      </c>
      <c r="C29" s="1">
        <v>44083</v>
      </c>
      <c r="D29" t="b">
        <v>1</v>
      </c>
      <c r="E29" t="s">
        <v>10</v>
      </c>
      <c r="F29">
        <v>9600</v>
      </c>
    </row>
    <row r="30" spans="1:6" x14ac:dyDescent="0.25">
      <c r="A30" t="s">
        <v>62</v>
      </c>
      <c r="B30" t="s">
        <v>63</v>
      </c>
      <c r="C30" s="1">
        <v>44083</v>
      </c>
      <c r="D30" t="b">
        <v>1</v>
      </c>
      <c r="E30" t="s">
        <v>10</v>
      </c>
      <c r="F30">
        <v>16476</v>
      </c>
    </row>
    <row r="31" spans="1:6" x14ac:dyDescent="0.25">
      <c r="A31" t="s">
        <v>64</v>
      </c>
      <c r="B31" t="s">
        <v>65</v>
      </c>
      <c r="C31" s="1">
        <v>44083</v>
      </c>
      <c r="D31" t="b">
        <v>1</v>
      </c>
      <c r="E31" t="s">
        <v>10</v>
      </c>
      <c r="F31">
        <v>36</v>
      </c>
    </row>
    <row r="32" spans="1:6" x14ac:dyDescent="0.25">
      <c r="A32" t="s">
        <v>66</v>
      </c>
      <c r="B32" t="s">
        <v>67</v>
      </c>
      <c r="C32" s="1">
        <v>44083</v>
      </c>
      <c r="D32" t="b">
        <v>1</v>
      </c>
      <c r="E32" t="s">
        <v>10</v>
      </c>
      <c r="F32">
        <v>26</v>
      </c>
    </row>
    <row r="33" spans="1:6" x14ac:dyDescent="0.25">
      <c r="A33" t="s">
        <v>68</v>
      </c>
      <c r="B33" t="s">
        <v>69</v>
      </c>
      <c r="C33" s="1">
        <v>44083</v>
      </c>
      <c r="D33" t="b">
        <v>1</v>
      </c>
      <c r="E33" t="s">
        <v>10</v>
      </c>
      <c r="F33">
        <v>28</v>
      </c>
    </row>
    <row r="34" spans="1:6" x14ac:dyDescent="0.25">
      <c r="A34" t="s">
        <v>70</v>
      </c>
      <c r="B34" t="s">
        <v>71</v>
      </c>
      <c r="C34" s="1">
        <v>44083</v>
      </c>
      <c r="D34" t="b">
        <v>1</v>
      </c>
      <c r="E34" t="s">
        <v>10</v>
      </c>
      <c r="F34">
        <v>29</v>
      </c>
    </row>
    <row r="35" spans="1:6" x14ac:dyDescent="0.25">
      <c r="A35" t="s">
        <v>72</v>
      </c>
      <c r="B35" t="s">
        <v>73</v>
      </c>
      <c r="C35" s="1">
        <v>44083</v>
      </c>
      <c r="D35" t="b">
        <v>1</v>
      </c>
      <c r="E35" t="s">
        <v>10</v>
      </c>
      <c r="F35">
        <v>30</v>
      </c>
    </row>
    <row r="36" spans="1:6" x14ac:dyDescent="0.25">
      <c r="A36" t="s">
        <v>74</v>
      </c>
      <c r="B36" t="s">
        <v>75</v>
      </c>
      <c r="C36" s="1">
        <v>44083</v>
      </c>
      <c r="D36" t="b">
        <v>1</v>
      </c>
      <c r="E36" t="s">
        <v>10</v>
      </c>
      <c r="F36">
        <v>31</v>
      </c>
    </row>
    <row r="37" spans="1:6" x14ac:dyDescent="0.25">
      <c r="A37" t="s">
        <v>76</v>
      </c>
      <c r="C37" s="1">
        <v>44083</v>
      </c>
      <c r="D37" t="b">
        <v>1</v>
      </c>
      <c r="E37" t="s">
        <v>10</v>
      </c>
      <c r="F37">
        <v>32</v>
      </c>
    </row>
    <row r="38" spans="1:6" x14ac:dyDescent="0.25">
      <c r="A38" t="s">
        <v>77</v>
      </c>
      <c r="C38" s="1">
        <v>44083</v>
      </c>
      <c r="D38" t="b">
        <v>1</v>
      </c>
      <c r="E38" t="s">
        <v>10</v>
      </c>
      <c r="F38">
        <v>33</v>
      </c>
    </row>
    <row r="39" spans="1:6" x14ac:dyDescent="0.25">
      <c r="A39" t="s">
        <v>78</v>
      </c>
      <c r="C39" s="1">
        <v>44083</v>
      </c>
      <c r="D39" t="b">
        <v>1</v>
      </c>
      <c r="E39" t="s">
        <v>10</v>
      </c>
      <c r="F39">
        <v>8310</v>
      </c>
    </row>
    <row r="40" spans="1:6" x14ac:dyDescent="0.25">
      <c r="A40" t="s">
        <v>79</v>
      </c>
      <c r="B40" t="s">
        <v>80</v>
      </c>
      <c r="C40" s="1">
        <v>44083</v>
      </c>
      <c r="D40" t="b">
        <v>1</v>
      </c>
      <c r="E40" t="s">
        <v>10</v>
      </c>
      <c r="F40">
        <v>34</v>
      </c>
    </row>
    <row r="41" spans="1:6" x14ac:dyDescent="0.25">
      <c r="A41" t="s">
        <v>81</v>
      </c>
      <c r="B41" t="s">
        <v>82</v>
      </c>
      <c r="C41" s="1">
        <v>44083</v>
      </c>
      <c r="D41" t="b">
        <v>1</v>
      </c>
      <c r="E41" t="s">
        <v>10</v>
      </c>
      <c r="F41">
        <v>10446</v>
      </c>
    </row>
    <row r="42" spans="1:6" x14ac:dyDescent="0.25">
      <c r="A42" t="s">
        <v>83</v>
      </c>
      <c r="B42" t="s">
        <v>84</v>
      </c>
      <c r="C42" s="1">
        <v>44083</v>
      </c>
      <c r="D42" t="b">
        <v>1</v>
      </c>
      <c r="E42" t="s">
        <v>10</v>
      </c>
      <c r="F42">
        <v>6816</v>
      </c>
    </row>
    <row r="43" spans="1:6" x14ac:dyDescent="0.25">
      <c r="A43" t="s">
        <v>85</v>
      </c>
      <c r="B43" t="s">
        <v>86</v>
      </c>
      <c r="C43" s="1">
        <v>44083</v>
      </c>
      <c r="D43" t="b">
        <v>1</v>
      </c>
      <c r="E43" t="s">
        <v>10</v>
      </c>
      <c r="F43">
        <v>10827</v>
      </c>
    </row>
    <row r="44" spans="1:6" x14ac:dyDescent="0.25">
      <c r="A44" t="s">
        <v>87</v>
      </c>
      <c r="B44" t="s">
        <v>88</v>
      </c>
      <c r="C44" s="1">
        <v>44083</v>
      </c>
      <c r="D44" t="b">
        <v>1</v>
      </c>
      <c r="E44" t="s">
        <v>10</v>
      </c>
      <c r="F44">
        <v>15144</v>
      </c>
    </row>
    <row r="45" spans="1:6" x14ac:dyDescent="0.25">
      <c r="A45" t="s">
        <v>89</v>
      </c>
      <c r="B45" t="s">
        <v>90</v>
      </c>
      <c r="C45" s="1">
        <v>44083</v>
      </c>
      <c r="D45" t="b">
        <v>1</v>
      </c>
      <c r="E45" t="s">
        <v>10</v>
      </c>
      <c r="F45">
        <v>41</v>
      </c>
    </row>
    <row r="46" spans="1:6" x14ac:dyDescent="0.25">
      <c r="A46" t="s">
        <v>91</v>
      </c>
      <c r="B46" t="s">
        <v>92</v>
      </c>
      <c r="C46" s="1">
        <v>44083</v>
      </c>
      <c r="D46" t="b">
        <v>1</v>
      </c>
      <c r="E46" t="s">
        <v>10</v>
      </c>
      <c r="F46">
        <v>15619</v>
      </c>
    </row>
    <row r="47" spans="1:6" x14ac:dyDescent="0.25">
      <c r="A47" t="s">
        <v>93</v>
      </c>
      <c r="B47" t="s">
        <v>94</v>
      </c>
      <c r="C47" s="1">
        <v>44083</v>
      </c>
      <c r="D47" t="b">
        <v>1</v>
      </c>
      <c r="E47" t="s">
        <v>10</v>
      </c>
      <c r="F47">
        <v>15369</v>
      </c>
    </row>
    <row r="48" spans="1:6" x14ac:dyDescent="0.25">
      <c r="A48" t="s">
        <v>95</v>
      </c>
      <c r="C48" s="1">
        <v>44083</v>
      </c>
      <c r="D48" t="b">
        <v>1</v>
      </c>
      <c r="E48" t="s">
        <v>10</v>
      </c>
      <c r="F48">
        <v>15629</v>
      </c>
    </row>
    <row r="49" spans="1:6" x14ac:dyDescent="0.25">
      <c r="A49" t="s">
        <v>96</v>
      </c>
      <c r="B49" t="s">
        <v>97</v>
      </c>
      <c r="C49" s="1">
        <v>44083</v>
      </c>
      <c r="D49" t="b">
        <v>1</v>
      </c>
      <c r="E49" t="s">
        <v>10</v>
      </c>
      <c r="F49">
        <v>15169</v>
      </c>
    </row>
    <row r="50" spans="1:6" x14ac:dyDescent="0.25">
      <c r="A50" t="s">
        <v>98</v>
      </c>
      <c r="B50" t="s">
        <v>99</v>
      </c>
      <c r="C50" s="1">
        <v>44083</v>
      </c>
      <c r="D50" t="b">
        <v>1</v>
      </c>
      <c r="E50" t="s">
        <v>10</v>
      </c>
      <c r="F50">
        <v>10459</v>
      </c>
    </row>
    <row r="51" spans="1:6" x14ac:dyDescent="0.25">
      <c r="A51" t="s">
        <v>100</v>
      </c>
      <c r="B51" t="s">
        <v>101</v>
      </c>
      <c r="C51" s="1">
        <v>44083</v>
      </c>
      <c r="D51" t="b">
        <v>1</v>
      </c>
      <c r="E51" t="s">
        <v>10</v>
      </c>
      <c r="F51">
        <v>44</v>
      </c>
    </row>
    <row r="52" spans="1:6" x14ac:dyDescent="0.25">
      <c r="A52" t="s">
        <v>102</v>
      </c>
      <c r="B52" t="s">
        <v>103</v>
      </c>
      <c r="C52" s="1">
        <v>44083</v>
      </c>
      <c r="D52" t="b">
        <v>1</v>
      </c>
      <c r="E52" t="s">
        <v>10</v>
      </c>
      <c r="F52">
        <v>16875</v>
      </c>
    </row>
    <row r="53" spans="1:6" x14ac:dyDescent="0.25">
      <c r="A53" t="s">
        <v>104</v>
      </c>
      <c r="B53" t="s">
        <v>105</v>
      </c>
      <c r="C53" s="1">
        <v>44083</v>
      </c>
      <c r="D53" t="b">
        <v>1</v>
      </c>
      <c r="E53" t="s">
        <v>10</v>
      </c>
      <c r="F53">
        <v>46</v>
      </c>
    </row>
    <row r="54" spans="1:6" x14ac:dyDescent="0.25">
      <c r="A54" t="s">
        <v>106</v>
      </c>
      <c r="B54" t="s">
        <v>107</v>
      </c>
      <c r="C54" s="1">
        <v>44083</v>
      </c>
      <c r="D54" t="b">
        <v>1</v>
      </c>
      <c r="E54" t="s">
        <v>10</v>
      </c>
      <c r="F54">
        <v>13238</v>
      </c>
    </row>
    <row r="55" spans="1:6" x14ac:dyDescent="0.25">
      <c r="A55" t="s">
        <v>108</v>
      </c>
      <c r="B55" t="s">
        <v>109</v>
      </c>
      <c r="C55" s="1">
        <v>44083</v>
      </c>
      <c r="D55" t="b">
        <v>1</v>
      </c>
      <c r="E55" t="s">
        <v>10</v>
      </c>
      <c r="F55">
        <v>5176</v>
      </c>
    </row>
    <row r="56" spans="1:6" x14ac:dyDescent="0.25">
      <c r="A56" t="s">
        <v>110</v>
      </c>
      <c r="B56" t="s">
        <v>111</v>
      </c>
      <c r="C56" s="1">
        <v>44083</v>
      </c>
      <c r="D56" t="b">
        <v>1</v>
      </c>
      <c r="E56" t="s">
        <v>10</v>
      </c>
      <c r="F56">
        <v>14783</v>
      </c>
    </row>
    <row r="57" spans="1:6" x14ac:dyDescent="0.25">
      <c r="A57" t="s">
        <v>112</v>
      </c>
      <c r="B57" t="s">
        <v>113</v>
      </c>
      <c r="C57" s="1">
        <v>44083</v>
      </c>
      <c r="D57" t="b">
        <v>1</v>
      </c>
      <c r="E57" t="s">
        <v>10</v>
      </c>
      <c r="F57">
        <v>16945</v>
      </c>
    </row>
    <row r="58" spans="1:6" x14ac:dyDescent="0.25">
      <c r="A58" t="s">
        <v>114</v>
      </c>
      <c r="B58" t="s">
        <v>115</v>
      </c>
      <c r="C58" s="1">
        <v>44083</v>
      </c>
      <c r="D58" t="b">
        <v>1</v>
      </c>
      <c r="E58" t="s">
        <v>10</v>
      </c>
      <c r="F58">
        <v>53</v>
      </c>
    </row>
    <row r="59" spans="1:6" x14ac:dyDescent="0.25">
      <c r="A59" t="s">
        <v>116</v>
      </c>
      <c r="C59" s="1">
        <v>44083</v>
      </c>
      <c r="D59" t="b">
        <v>1</v>
      </c>
      <c r="E59" t="s">
        <v>10</v>
      </c>
      <c r="F59">
        <v>14574</v>
      </c>
    </row>
    <row r="60" spans="1:6" x14ac:dyDescent="0.25">
      <c r="A60" t="s">
        <v>117</v>
      </c>
      <c r="C60" s="1">
        <v>44083</v>
      </c>
      <c r="D60" t="b">
        <v>1</v>
      </c>
      <c r="E60" t="s">
        <v>10</v>
      </c>
      <c r="F60">
        <v>14575</v>
      </c>
    </row>
    <row r="61" spans="1:6" x14ac:dyDescent="0.25">
      <c r="A61" t="s">
        <v>118</v>
      </c>
      <c r="B61" t="s">
        <v>119</v>
      </c>
      <c r="C61" s="1">
        <v>44083</v>
      </c>
      <c r="D61" t="b">
        <v>1</v>
      </c>
      <c r="E61" t="s">
        <v>10</v>
      </c>
      <c r="F61">
        <v>54</v>
      </c>
    </row>
    <row r="62" spans="1:6" x14ac:dyDescent="0.25">
      <c r="A62" t="s">
        <v>120</v>
      </c>
      <c r="B62" t="s">
        <v>121</v>
      </c>
      <c r="C62" s="1">
        <v>44083</v>
      </c>
      <c r="D62" t="b">
        <v>1</v>
      </c>
      <c r="E62" t="s">
        <v>10</v>
      </c>
      <c r="F62">
        <v>55</v>
      </c>
    </row>
    <row r="63" spans="1:6" x14ac:dyDescent="0.25">
      <c r="A63" t="s">
        <v>122</v>
      </c>
      <c r="B63" t="s">
        <v>123</v>
      </c>
      <c r="C63" s="1">
        <v>44083</v>
      </c>
      <c r="D63" t="b">
        <v>1</v>
      </c>
      <c r="E63" t="s">
        <v>10</v>
      </c>
      <c r="F63">
        <v>5116</v>
      </c>
    </row>
    <row r="64" spans="1:6" x14ac:dyDescent="0.25">
      <c r="A64" t="s">
        <v>124</v>
      </c>
      <c r="B64" t="s">
        <v>125</v>
      </c>
      <c r="C64" s="1">
        <v>44083</v>
      </c>
      <c r="D64" t="b">
        <v>1</v>
      </c>
      <c r="E64" t="s">
        <v>10</v>
      </c>
      <c r="F64">
        <v>10684</v>
      </c>
    </row>
    <row r="65" spans="1:6" x14ac:dyDescent="0.25">
      <c r="A65" t="s">
        <v>126</v>
      </c>
      <c r="B65" t="s">
        <v>127</v>
      </c>
      <c r="C65" s="1">
        <v>44083</v>
      </c>
      <c r="D65" t="b">
        <v>1</v>
      </c>
      <c r="E65" t="s">
        <v>10</v>
      </c>
      <c r="F65">
        <v>10954</v>
      </c>
    </row>
    <row r="66" spans="1:6" x14ac:dyDescent="0.25">
      <c r="A66" t="s">
        <v>128</v>
      </c>
      <c r="B66" t="s">
        <v>129</v>
      </c>
      <c r="C66" s="1">
        <v>44083</v>
      </c>
      <c r="D66" t="b">
        <v>1</v>
      </c>
      <c r="E66" t="s">
        <v>10</v>
      </c>
      <c r="F66">
        <v>15915</v>
      </c>
    </row>
    <row r="67" spans="1:6" x14ac:dyDescent="0.25">
      <c r="A67" t="s">
        <v>130</v>
      </c>
      <c r="B67" t="s">
        <v>131</v>
      </c>
      <c r="C67" s="1">
        <v>44083</v>
      </c>
      <c r="D67" t="b">
        <v>1</v>
      </c>
      <c r="E67" t="s">
        <v>10</v>
      </c>
      <c r="F67">
        <v>11879</v>
      </c>
    </row>
    <row r="68" spans="1:6" x14ac:dyDescent="0.25">
      <c r="A68" t="s">
        <v>132</v>
      </c>
      <c r="B68" t="s">
        <v>133</v>
      </c>
      <c r="C68" s="1">
        <v>44083</v>
      </c>
      <c r="D68" t="b">
        <v>1</v>
      </c>
      <c r="E68" t="s">
        <v>10</v>
      </c>
      <c r="F68">
        <v>59</v>
      </c>
    </row>
    <row r="69" spans="1:6" x14ac:dyDescent="0.25">
      <c r="A69" t="s">
        <v>134</v>
      </c>
      <c r="B69" t="s">
        <v>135</v>
      </c>
      <c r="C69" s="1">
        <v>44083</v>
      </c>
      <c r="D69" t="b">
        <v>1</v>
      </c>
      <c r="E69" t="s">
        <v>10</v>
      </c>
      <c r="F69">
        <v>60</v>
      </c>
    </row>
    <row r="70" spans="1:6" x14ac:dyDescent="0.25">
      <c r="A70" t="s">
        <v>136</v>
      </c>
      <c r="B70" t="s">
        <v>137</v>
      </c>
      <c r="C70" s="1">
        <v>44083</v>
      </c>
      <c r="D70" t="b">
        <v>1</v>
      </c>
      <c r="E70" t="s">
        <v>10</v>
      </c>
      <c r="F70">
        <v>61</v>
      </c>
    </row>
    <row r="71" spans="1:6" x14ac:dyDescent="0.25">
      <c r="A71" t="s">
        <v>138</v>
      </c>
      <c r="B71" t="s">
        <v>139</v>
      </c>
      <c r="C71" s="1">
        <v>44083</v>
      </c>
      <c r="D71" t="b">
        <v>1</v>
      </c>
      <c r="E71" t="s">
        <v>10</v>
      </c>
      <c r="F71">
        <v>13392</v>
      </c>
    </row>
    <row r="72" spans="1:6" x14ac:dyDescent="0.25">
      <c r="A72" t="s">
        <v>140</v>
      </c>
      <c r="B72" t="s">
        <v>141</v>
      </c>
      <c r="C72" s="1">
        <v>44083</v>
      </c>
      <c r="D72" t="b">
        <v>1</v>
      </c>
      <c r="E72" t="s">
        <v>10</v>
      </c>
      <c r="F72">
        <v>63</v>
      </c>
    </row>
    <row r="73" spans="1:6" x14ac:dyDescent="0.25">
      <c r="A73" t="s">
        <v>142</v>
      </c>
      <c r="B73" t="s">
        <v>143</v>
      </c>
      <c r="C73" s="1">
        <v>44083</v>
      </c>
      <c r="D73" t="b">
        <v>1</v>
      </c>
      <c r="E73" t="s">
        <v>10</v>
      </c>
      <c r="F73">
        <v>64</v>
      </c>
    </row>
    <row r="74" spans="1:6" x14ac:dyDescent="0.25">
      <c r="A74" t="s">
        <v>144</v>
      </c>
      <c r="B74" t="s">
        <v>145</v>
      </c>
      <c r="C74" s="1">
        <v>44083</v>
      </c>
      <c r="D74" t="b">
        <v>1</v>
      </c>
      <c r="E74" t="s">
        <v>10</v>
      </c>
      <c r="F74">
        <v>16926</v>
      </c>
    </row>
    <row r="75" spans="1:6" x14ac:dyDescent="0.25">
      <c r="A75" t="s">
        <v>146</v>
      </c>
      <c r="B75" t="s">
        <v>147</v>
      </c>
      <c r="C75" s="1">
        <v>44083</v>
      </c>
      <c r="D75" t="b">
        <v>1</v>
      </c>
      <c r="E75" t="s">
        <v>10</v>
      </c>
      <c r="F75">
        <v>66</v>
      </c>
    </row>
    <row r="76" spans="1:6" x14ac:dyDescent="0.25">
      <c r="A76" t="s">
        <v>148</v>
      </c>
      <c r="B76" t="s">
        <v>149</v>
      </c>
      <c r="C76" s="1">
        <v>44083</v>
      </c>
      <c r="D76" t="b">
        <v>1</v>
      </c>
      <c r="E76" t="s">
        <v>10</v>
      </c>
      <c r="F76">
        <v>67</v>
      </c>
    </row>
    <row r="77" spans="1:6" x14ac:dyDescent="0.25">
      <c r="A77" t="s">
        <v>150</v>
      </c>
      <c r="B77" t="s">
        <v>151</v>
      </c>
      <c r="C77" s="1">
        <v>44083</v>
      </c>
      <c r="D77" t="b">
        <v>1</v>
      </c>
      <c r="E77" t="s">
        <v>10</v>
      </c>
      <c r="F77">
        <v>69</v>
      </c>
    </row>
    <row r="78" spans="1:6" x14ac:dyDescent="0.25">
      <c r="A78" t="s">
        <v>152</v>
      </c>
      <c r="B78" t="s">
        <v>153</v>
      </c>
      <c r="C78" s="1">
        <v>44083</v>
      </c>
      <c r="D78" t="b">
        <v>1</v>
      </c>
      <c r="E78" t="s">
        <v>10</v>
      </c>
      <c r="F78">
        <v>10410</v>
      </c>
    </row>
    <row r="79" spans="1:6" x14ac:dyDescent="0.25">
      <c r="A79" t="s">
        <v>154</v>
      </c>
      <c r="B79" t="s">
        <v>155</v>
      </c>
      <c r="C79" s="1">
        <v>44083</v>
      </c>
      <c r="D79" t="b">
        <v>1</v>
      </c>
      <c r="E79" t="s">
        <v>10</v>
      </c>
      <c r="F79">
        <v>70</v>
      </c>
    </row>
    <row r="80" spans="1:6" x14ac:dyDescent="0.25">
      <c r="A80" t="s">
        <v>156</v>
      </c>
      <c r="B80" t="s">
        <v>157</v>
      </c>
      <c r="C80" s="1">
        <v>44083</v>
      </c>
      <c r="D80" t="b">
        <v>1</v>
      </c>
      <c r="E80" t="s">
        <v>10</v>
      </c>
      <c r="F80">
        <v>15284</v>
      </c>
    </row>
    <row r="81" spans="1:6" x14ac:dyDescent="0.25">
      <c r="A81" t="s">
        <v>158</v>
      </c>
      <c r="B81" t="s">
        <v>159</v>
      </c>
      <c r="C81" s="1">
        <v>44083</v>
      </c>
      <c r="D81" t="b">
        <v>1</v>
      </c>
      <c r="E81" t="s">
        <v>10</v>
      </c>
      <c r="F81">
        <v>12028</v>
      </c>
    </row>
    <row r="82" spans="1:6" x14ac:dyDescent="0.25">
      <c r="A82" t="s">
        <v>160</v>
      </c>
      <c r="B82" t="s">
        <v>161</v>
      </c>
      <c r="C82" s="1">
        <v>44083</v>
      </c>
      <c r="D82" t="b">
        <v>1</v>
      </c>
      <c r="E82" t="s">
        <v>10</v>
      </c>
      <c r="F82">
        <v>71</v>
      </c>
    </row>
    <row r="83" spans="1:6" x14ac:dyDescent="0.25">
      <c r="A83" t="s">
        <v>162</v>
      </c>
      <c r="B83" t="s">
        <v>163</v>
      </c>
      <c r="C83" s="1">
        <v>44083</v>
      </c>
      <c r="D83" t="b">
        <v>1</v>
      </c>
      <c r="E83" t="s">
        <v>10</v>
      </c>
      <c r="F83">
        <v>13895</v>
      </c>
    </row>
    <row r="84" spans="1:6" x14ac:dyDescent="0.25">
      <c r="A84" t="s">
        <v>164</v>
      </c>
      <c r="B84" t="s">
        <v>165</v>
      </c>
      <c r="C84" s="1">
        <v>44083</v>
      </c>
      <c r="D84" t="b">
        <v>1</v>
      </c>
      <c r="E84" t="s">
        <v>10</v>
      </c>
      <c r="F84">
        <v>73</v>
      </c>
    </row>
    <row r="85" spans="1:6" x14ac:dyDescent="0.25">
      <c r="A85" t="s">
        <v>166</v>
      </c>
      <c r="B85" t="s">
        <v>167</v>
      </c>
      <c r="C85" s="1">
        <v>44083</v>
      </c>
      <c r="D85" t="b">
        <v>1</v>
      </c>
      <c r="E85" t="s">
        <v>10</v>
      </c>
      <c r="F85">
        <v>76</v>
      </c>
    </row>
    <row r="86" spans="1:6" x14ac:dyDescent="0.25">
      <c r="A86" t="s">
        <v>168</v>
      </c>
      <c r="B86" t="s">
        <v>169</v>
      </c>
      <c r="C86" s="1">
        <v>44083</v>
      </c>
      <c r="D86" t="b">
        <v>1</v>
      </c>
      <c r="E86" t="s">
        <v>10</v>
      </c>
      <c r="F86">
        <v>10012</v>
      </c>
    </row>
    <row r="87" spans="1:6" x14ac:dyDescent="0.25">
      <c r="A87" t="s">
        <v>170</v>
      </c>
      <c r="B87" t="s">
        <v>171</v>
      </c>
      <c r="C87" s="1">
        <v>44083</v>
      </c>
      <c r="D87" t="b">
        <v>1</v>
      </c>
      <c r="E87" t="s">
        <v>10</v>
      </c>
      <c r="F87">
        <v>9946</v>
      </c>
    </row>
    <row r="88" spans="1:6" x14ac:dyDescent="0.25">
      <c r="A88" t="s">
        <v>172</v>
      </c>
      <c r="B88" t="s">
        <v>173</v>
      </c>
      <c r="C88" s="1">
        <v>44083</v>
      </c>
      <c r="D88" t="b">
        <v>1</v>
      </c>
      <c r="E88" t="s">
        <v>10</v>
      </c>
      <c r="F88">
        <v>79</v>
      </c>
    </row>
    <row r="89" spans="1:6" x14ac:dyDescent="0.25">
      <c r="A89" t="s">
        <v>174</v>
      </c>
      <c r="B89" t="s">
        <v>175</v>
      </c>
      <c r="C89" s="1">
        <v>44083</v>
      </c>
      <c r="D89" t="b">
        <v>1</v>
      </c>
      <c r="E89" t="s">
        <v>10</v>
      </c>
      <c r="F89">
        <v>80</v>
      </c>
    </row>
    <row r="90" spans="1:6" x14ac:dyDescent="0.25">
      <c r="A90" t="s">
        <v>176</v>
      </c>
      <c r="B90" t="s">
        <v>177</v>
      </c>
      <c r="C90" s="1">
        <v>44083</v>
      </c>
      <c r="D90" t="b">
        <v>1</v>
      </c>
      <c r="E90" t="s">
        <v>10</v>
      </c>
      <c r="F90">
        <v>81</v>
      </c>
    </row>
    <row r="91" spans="1:6" x14ac:dyDescent="0.25">
      <c r="A91" t="s">
        <v>178</v>
      </c>
      <c r="B91" t="s">
        <v>179</v>
      </c>
      <c r="C91" s="1">
        <v>44083</v>
      </c>
      <c r="D91" t="b">
        <v>1</v>
      </c>
      <c r="E91" t="s">
        <v>10</v>
      </c>
      <c r="F91">
        <v>83</v>
      </c>
    </row>
    <row r="92" spans="1:6" x14ac:dyDescent="0.25">
      <c r="A92" t="s">
        <v>180</v>
      </c>
      <c r="B92" t="s">
        <v>181</v>
      </c>
      <c r="C92" s="1">
        <v>44083</v>
      </c>
      <c r="D92" t="b">
        <v>1</v>
      </c>
      <c r="E92" t="s">
        <v>10</v>
      </c>
      <c r="F92">
        <v>9962</v>
      </c>
    </row>
    <row r="93" spans="1:6" x14ac:dyDescent="0.25">
      <c r="A93" t="s">
        <v>182</v>
      </c>
      <c r="B93" t="s">
        <v>183</v>
      </c>
      <c r="C93" s="1">
        <v>44083</v>
      </c>
      <c r="D93" t="b">
        <v>1</v>
      </c>
      <c r="E93" t="s">
        <v>10</v>
      </c>
      <c r="F93">
        <v>85</v>
      </c>
    </row>
    <row r="94" spans="1:6" x14ac:dyDescent="0.25">
      <c r="A94" t="s">
        <v>184</v>
      </c>
      <c r="B94" t="s">
        <v>185</v>
      </c>
      <c r="C94" s="1">
        <v>44083</v>
      </c>
      <c r="D94" t="b">
        <v>1</v>
      </c>
      <c r="E94" t="s">
        <v>10</v>
      </c>
      <c r="F94">
        <v>86</v>
      </c>
    </row>
    <row r="95" spans="1:6" x14ac:dyDescent="0.25">
      <c r="A95" t="s">
        <v>186</v>
      </c>
      <c r="B95" t="s">
        <v>187</v>
      </c>
      <c r="C95" s="1">
        <v>44083</v>
      </c>
      <c r="D95" t="b">
        <v>1</v>
      </c>
      <c r="E95" t="s">
        <v>10</v>
      </c>
      <c r="F95">
        <v>16055</v>
      </c>
    </row>
    <row r="96" spans="1:6" x14ac:dyDescent="0.25">
      <c r="A96" t="s">
        <v>188</v>
      </c>
      <c r="B96" t="s">
        <v>189</v>
      </c>
      <c r="C96" s="1">
        <v>44083</v>
      </c>
      <c r="D96" t="b">
        <v>1</v>
      </c>
      <c r="E96" t="s">
        <v>10</v>
      </c>
      <c r="F96">
        <v>89</v>
      </c>
    </row>
    <row r="97" spans="1:6" x14ac:dyDescent="0.25">
      <c r="A97" t="s">
        <v>190</v>
      </c>
      <c r="B97" t="s">
        <v>191</v>
      </c>
      <c r="C97" s="1">
        <v>44083</v>
      </c>
      <c r="D97" t="b">
        <v>0</v>
      </c>
      <c r="E97" t="s">
        <v>10</v>
      </c>
      <c r="F97">
        <v>17100</v>
      </c>
    </row>
    <row r="98" spans="1:6" x14ac:dyDescent="0.25">
      <c r="A98" t="s">
        <v>192</v>
      </c>
      <c r="B98" t="s">
        <v>193</v>
      </c>
      <c r="C98" s="1">
        <v>44083</v>
      </c>
      <c r="D98" t="b">
        <v>1</v>
      </c>
      <c r="E98" t="s">
        <v>10</v>
      </c>
      <c r="F98">
        <v>93</v>
      </c>
    </row>
    <row r="99" spans="1:6" x14ac:dyDescent="0.25">
      <c r="A99" t="s">
        <v>194</v>
      </c>
      <c r="B99" t="s">
        <v>195</v>
      </c>
      <c r="C99" s="1">
        <v>44083</v>
      </c>
      <c r="D99" t="b">
        <v>1</v>
      </c>
      <c r="E99" t="s">
        <v>10</v>
      </c>
      <c r="F99">
        <v>13359</v>
      </c>
    </row>
    <row r="100" spans="1:6" x14ac:dyDescent="0.25">
      <c r="A100" t="s">
        <v>196</v>
      </c>
      <c r="C100" s="1">
        <v>44083</v>
      </c>
      <c r="D100" t="b">
        <v>1</v>
      </c>
      <c r="E100" t="s">
        <v>10</v>
      </c>
      <c r="F100">
        <v>14873</v>
      </c>
    </row>
    <row r="101" spans="1:6" x14ac:dyDescent="0.25">
      <c r="A101" t="s">
        <v>197</v>
      </c>
      <c r="B101" t="s">
        <v>198</v>
      </c>
      <c r="C101" s="1">
        <v>44083</v>
      </c>
      <c r="D101" t="b">
        <v>1</v>
      </c>
      <c r="E101" t="s">
        <v>10</v>
      </c>
      <c r="F101">
        <v>96</v>
      </c>
    </row>
    <row r="102" spans="1:6" x14ac:dyDescent="0.25">
      <c r="A102" t="s">
        <v>199</v>
      </c>
      <c r="B102" t="s">
        <v>200</v>
      </c>
      <c r="C102" s="1">
        <v>44083</v>
      </c>
      <c r="D102" t="b">
        <v>1</v>
      </c>
      <c r="E102" t="s">
        <v>10</v>
      </c>
      <c r="F102">
        <v>9483</v>
      </c>
    </row>
    <row r="103" spans="1:6" x14ac:dyDescent="0.25">
      <c r="A103" t="s">
        <v>201</v>
      </c>
      <c r="B103" t="s">
        <v>202</v>
      </c>
      <c r="C103" s="1">
        <v>44083</v>
      </c>
      <c r="D103" t="b">
        <v>1</v>
      </c>
      <c r="E103" t="s">
        <v>10</v>
      </c>
      <c r="F103">
        <v>11447</v>
      </c>
    </row>
    <row r="104" spans="1:6" x14ac:dyDescent="0.25">
      <c r="A104" t="s">
        <v>203</v>
      </c>
      <c r="B104" t="s">
        <v>204</v>
      </c>
      <c r="C104" s="1">
        <v>44083</v>
      </c>
      <c r="D104" t="b">
        <v>1</v>
      </c>
      <c r="E104" t="s">
        <v>10</v>
      </c>
      <c r="F104">
        <v>8158</v>
      </c>
    </row>
    <row r="105" spans="1:6" x14ac:dyDescent="0.25">
      <c r="A105" t="s">
        <v>205</v>
      </c>
      <c r="B105" t="s">
        <v>206</v>
      </c>
      <c r="C105" s="1">
        <v>44083</v>
      </c>
      <c r="D105" t="b">
        <v>1</v>
      </c>
      <c r="E105" t="s">
        <v>10</v>
      </c>
      <c r="F105">
        <v>8476</v>
      </c>
    </row>
    <row r="106" spans="1:6" x14ac:dyDescent="0.25">
      <c r="A106" t="s">
        <v>207</v>
      </c>
      <c r="B106" t="s">
        <v>208</v>
      </c>
      <c r="C106" s="1">
        <v>44083</v>
      </c>
      <c r="D106" t="b">
        <v>1</v>
      </c>
      <c r="E106" t="s">
        <v>10</v>
      </c>
      <c r="F106">
        <v>11802</v>
      </c>
    </row>
    <row r="107" spans="1:6" x14ac:dyDescent="0.25">
      <c r="A107" t="s">
        <v>209</v>
      </c>
      <c r="B107" t="s">
        <v>210</v>
      </c>
      <c r="C107" s="1">
        <v>44083</v>
      </c>
      <c r="D107" t="b">
        <v>1</v>
      </c>
      <c r="E107" t="s">
        <v>10</v>
      </c>
      <c r="F107">
        <v>98</v>
      </c>
    </row>
    <row r="108" spans="1:6" x14ac:dyDescent="0.25">
      <c r="A108" t="s">
        <v>211</v>
      </c>
      <c r="B108" t="s">
        <v>212</v>
      </c>
      <c r="C108" s="1">
        <v>44083</v>
      </c>
      <c r="D108" t="b">
        <v>1</v>
      </c>
      <c r="E108" t="s">
        <v>10</v>
      </c>
      <c r="F108">
        <v>15801</v>
      </c>
    </row>
    <row r="109" spans="1:6" x14ac:dyDescent="0.25">
      <c r="A109" t="s">
        <v>213</v>
      </c>
      <c r="B109" t="s">
        <v>214</v>
      </c>
      <c r="C109" s="1">
        <v>44083</v>
      </c>
      <c r="D109" t="b">
        <v>1</v>
      </c>
      <c r="E109" t="s">
        <v>10</v>
      </c>
      <c r="F109">
        <v>101</v>
      </c>
    </row>
    <row r="110" spans="1:6" x14ac:dyDescent="0.25">
      <c r="A110" t="s">
        <v>215</v>
      </c>
      <c r="B110" t="s">
        <v>216</v>
      </c>
      <c r="C110" s="1">
        <v>44083</v>
      </c>
      <c r="D110" t="b">
        <v>1</v>
      </c>
      <c r="E110" t="s">
        <v>10</v>
      </c>
      <c r="F110">
        <v>9823</v>
      </c>
    </row>
    <row r="111" spans="1:6" x14ac:dyDescent="0.25">
      <c r="A111" t="s">
        <v>217</v>
      </c>
      <c r="B111" t="s">
        <v>218</v>
      </c>
      <c r="C111" s="1">
        <v>44083</v>
      </c>
      <c r="D111" t="b">
        <v>1</v>
      </c>
      <c r="E111" t="s">
        <v>10</v>
      </c>
      <c r="F111">
        <v>103</v>
      </c>
    </row>
    <row r="112" spans="1:6" x14ac:dyDescent="0.25">
      <c r="A112" t="s">
        <v>219</v>
      </c>
      <c r="B112" t="s">
        <v>220</v>
      </c>
      <c r="C112" s="1">
        <v>44083</v>
      </c>
      <c r="D112" t="b">
        <v>1</v>
      </c>
      <c r="E112" t="s">
        <v>10</v>
      </c>
      <c r="F112">
        <v>104</v>
      </c>
    </row>
    <row r="113" spans="1:6" x14ac:dyDescent="0.25">
      <c r="A113" t="s">
        <v>221</v>
      </c>
      <c r="B113" t="s">
        <v>222</v>
      </c>
      <c r="C113" s="1">
        <v>44083</v>
      </c>
      <c r="D113" t="b">
        <v>1</v>
      </c>
      <c r="E113" t="s">
        <v>10</v>
      </c>
      <c r="F113">
        <v>10650</v>
      </c>
    </row>
    <row r="114" spans="1:6" x14ac:dyDescent="0.25">
      <c r="A114" t="s">
        <v>223</v>
      </c>
      <c r="B114" t="s">
        <v>224</v>
      </c>
      <c r="C114" s="1">
        <v>44083</v>
      </c>
      <c r="D114" t="b">
        <v>1</v>
      </c>
      <c r="E114" t="s">
        <v>10</v>
      </c>
      <c r="F114">
        <v>13952</v>
      </c>
    </row>
    <row r="115" spans="1:6" x14ac:dyDescent="0.25">
      <c r="A115" t="s">
        <v>225</v>
      </c>
      <c r="B115" t="s">
        <v>226</v>
      </c>
      <c r="C115" s="1">
        <v>44083</v>
      </c>
      <c r="D115" t="b">
        <v>1</v>
      </c>
      <c r="E115" t="s">
        <v>10</v>
      </c>
      <c r="F115">
        <v>106</v>
      </c>
    </row>
    <row r="116" spans="1:6" x14ac:dyDescent="0.25">
      <c r="A116" t="s">
        <v>227</v>
      </c>
      <c r="B116" t="s">
        <v>228</v>
      </c>
      <c r="C116" s="1">
        <v>44083</v>
      </c>
      <c r="D116" t="b">
        <v>1</v>
      </c>
      <c r="E116" t="s">
        <v>10</v>
      </c>
      <c r="F116">
        <v>16843</v>
      </c>
    </row>
    <row r="117" spans="1:6" x14ac:dyDescent="0.25">
      <c r="A117" t="s">
        <v>229</v>
      </c>
      <c r="B117" t="s">
        <v>230</v>
      </c>
      <c r="C117" s="1">
        <v>44083</v>
      </c>
      <c r="D117" t="b">
        <v>1</v>
      </c>
      <c r="E117" t="s">
        <v>10</v>
      </c>
      <c r="F117">
        <v>107</v>
      </c>
    </row>
    <row r="118" spans="1:6" x14ac:dyDescent="0.25">
      <c r="A118" t="s">
        <v>231</v>
      </c>
      <c r="B118" t="s">
        <v>232</v>
      </c>
      <c r="C118" s="1">
        <v>44083</v>
      </c>
      <c r="D118" t="b">
        <v>1</v>
      </c>
      <c r="E118" t="s">
        <v>10</v>
      </c>
      <c r="F118">
        <v>8910</v>
      </c>
    </row>
    <row r="119" spans="1:6" x14ac:dyDescent="0.25">
      <c r="A119" t="s">
        <v>233</v>
      </c>
      <c r="B119" t="s">
        <v>234</v>
      </c>
      <c r="C119" s="1">
        <v>44083</v>
      </c>
      <c r="D119" t="b">
        <v>1</v>
      </c>
      <c r="E119" t="s">
        <v>10</v>
      </c>
      <c r="F119">
        <v>109</v>
      </c>
    </row>
    <row r="120" spans="1:6" x14ac:dyDescent="0.25">
      <c r="A120" t="s">
        <v>235</v>
      </c>
      <c r="B120" t="s">
        <v>236</v>
      </c>
      <c r="C120" s="1">
        <v>44083</v>
      </c>
      <c r="D120" t="b">
        <v>1</v>
      </c>
      <c r="E120" t="s">
        <v>10</v>
      </c>
      <c r="F120">
        <v>16389</v>
      </c>
    </row>
    <row r="121" spans="1:6" x14ac:dyDescent="0.25">
      <c r="A121" t="s">
        <v>237</v>
      </c>
      <c r="B121" t="s">
        <v>238</v>
      </c>
      <c r="C121" s="1">
        <v>44083</v>
      </c>
      <c r="D121" t="b">
        <v>1</v>
      </c>
      <c r="E121" t="s">
        <v>10</v>
      </c>
      <c r="F121">
        <v>8016</v>
      </c>
    </row>
    <row r="122" spans="1:6" x14ac:dyDescent="0.25">
      <c r="A122" t="s">
        <v>239</v>
      </c>
      <c r="B122" t="s">
        <v>240</v>
      </c>
      <c r="C122" s="1">
        <v>44083</v>
      </c>
      <c r="D122" t="b">
        <v>1</v>
      </c>
      <c r="E122" t="s">
        <v>10</v>
      </c>
      <c r="F122">
        <v>111</v>
      </c>
    </row>
    <row r="123" spans="1:6" x14ac:dyDescent="0.25">
      <c r="A123" t="s">
        <v>241</v>
      </c>
      <c r="C123" s="1">
        <v>44083</v>
      </c>
      <c r="D123" t="b">
        <v>1</v>
      </c>
      <c r="E123" t="s">
        <v>10</v>
      </c>
      <c r="F123">
        <v>14576</v>
      </c>
    </row>
    <row r="124" spans="1:6" x14ac:dyDescent="0.25">
      <c r="A124" t="s">
        <v>242</v>
      </c>
      <c r="B124" t="s">
        <v>243</v>
      </c>
      <c r="C124" s="1">
        <v>44083</v>
      </c>
      <c r="D124" t="b">
        <v>1</v>
      </c>
      <c r="E124" t="s">
        <v>10</v>
      </c>
      <c r="F124">
        <v>113</v>
      </c>
    </row>
    <row r="125" spans="1:6" x14ac:dyDescent="0.25">
      <c r="A125" t="s">
        <v>244</v>
      </c>
      <c r="B125" t="s">
        <v>245</v>
      </c>
      <c r="C125" s="1">
        <v>44083</v>
      </c>
      <c r="D125" t="b">
        <v>1</v>
      </c>
      <c r="E125" t="s">
        <v>10</v>
      </c>
      <c r="F125">
        <v>1193</v>
      </c>
    </row>
    <row r="126" spans="1:6" x14ac:dyDescent="0.25">
      <c r="A126" t="s">
        <v>246</v>
      </c>
      <c r="C126" s="1">
        <v>44083</v>
      </c>
      <c r="D126" t="b">
        <v>1</v>
      </c>
      <c r="E126" t="s">
        <v>10</v>
      </c>
      <c r="F126">
        <v>16198</v>
      </c>
    </row>
    <row r="127" spans="1:6" x14ac:dyDescent="0.25">
      <c r="A127" t="s">
        <v>247</v>
      </c>
      <c r="B127" t="s">
        <v>248</v>
      </c>
      <c r="C127" s="1">
        <v>44083</v>
      </c>
      <c r="D127" t="b">
        <v>1</v>
      </c>
      <c r="E127" t="s">
        <v>10</v>
      </c>
      <c r="F127">
        <v>114</v>
      </c>
    </row>
    <row r="128" spans="1:6" x14ac:dyDescent="0.25">
      <c r="A128" t="s">
        <v>249</v>
      </c>
      <c r="B128" t="s">
        <v>250</v>
      </c>
      <c r="C128" s="1">
        <v>44083</v>
      </c>
      <c r="D128" t="b">
        <v>1</v>
      </c>
      <c r="E128" t="s">
        <v>10</v>
      </c>
      <c r="F128">
        <v>115</v>
      </c>
    </row>
    <row r="129" spans="1:6" x14ac:dyDescent="0.25">
      <c r="A129" t="s">
        <v>251</v>
      </c>
      <c r="B129" t="s">
        <v>252</v>
      </c>
      <c r="C129" s="1">
        <v>44083</v>
      </c>
      <c r="D129" t="b">
        <v>1</v>
      </c>
      <c r="E129" t="s">
        <v>10</v>
      </c>
      <c r="F129">
        <v>117</v>
      </c>
    </row>
    <row r="130" spans="1:6" x14ac:dyDescent="0.25">
      <c r="A130" t="s">
        <v>253</v>
      </c>
      <c r="B130" t="s">
        <v>254</v>
      </c>
      <c r="C130" s="1">
        <v>44083</v>
      </c>
      <c r="D130" t="b">
        <v>1</v>
      </c>
      <c r="E130" t="s">
        <v>10</v>
      </c>
      <c r="F130">
        <v>118</v>
      </c>
    </row>
    <row r="131" spans="1:6" x14ac:dyDescent="0.25">
      <c r="A131" t="s">
        <v>255</v>
      </c>
      <c r="B131" t="s">
        <v>256</v>
      </c>
      <c r="C131" s="1">
        <v>44083</v>
      </c>
      <c r="D131" t="b">
        <v>1</v>
      </c>
      <c r="E131" t="s">
        <v>10</v>
      </c>
      <c r="F131">
        <v>119</v>
      </c>
    </row>
    <row r="132" spans="1:6" x14ac:dyDescent="0.25">
      <c r="A132" t="s">
        <v>257</v>
      </c>
      <c r="C132" s="1">
        <v>44083</v>
      </c>
      <c r="D132" t="b">
        <v>1</v>
      </c>
      <c r="E132" t="s">
        <v>10</v>
      </c>
      <c r="F132">
        <v>16327</v>
      </c>
    </row>
    <row r="133" spans="1:6" x14ac:dyDescent="0.25">
      <c r="A133" t="s">
        <v>258</v>
      </c>
      <c r="C133" s="1">
        <v>44083</v>
      </c>
      <c r="D133" t="b">
        <v>1</v>
      </c>
      <c r="E133" t="s">
        <v>10</v>
      </c>
      <c r="F133">
        <v>16865</v>
      </c>
    </row>
    <row r="134" spans="1:6" x14ac:dyDescent="0.25">
      <c r="A134" t="s">
        <v>259</v>
      </c>
      <c r="B134" t="s">
        <v>260</v>
      </c>
      <c r="C134" s="1">
        <v>44083</v>
      </c>
      <c r="D134" t="b">
        <v>1</v>
      </c>
      <c r="E134" t="s">
        <v>10</v>
      </c>
      <c r="F134">
        <v>120</v>
      </c>
    </row>
    <row r="135" spans="1:6" x14ac:dyDescent="0.25">
      <c r="A135" t="s">
        <v>261</v>
      </c>
      <c r="B135" t="s">
        <v>262</v>
      </c>
      <c r="C135" s="1">
        <v>44083</v>
      </c>
      <c r="D135" t="b">
        <v>1</v>
      </c>
      <c r="E135" t="s">
        <v>10</v>
      </c>
      <c r="F135">
        <v>10300</v>
      </c>
    </row>
    <row r="136" spans="1:6" x14ac:dyDescent="0.25">
      <c r="A136" t="s">
        <v>263</v>
      </c>
      <c r="B136" t="s">
        <v>264</v>
      </c>
      <c r="C136" s="1">
        <v>44083</v>
      </c>
      <c r="D136" t="b">
        <v>1</v>
      </c>
      <c r="E136" t="s">
        <v>10</v>
      </c>
      <c r="F136">
        <v>121</v>
      </c>
    </row>
    <row r="137" spans="1:6" x14ac:dyDescent="0.25">
      <c r="A137" t="s">
        <v>265</v>
      </c>
      <c r="B137" t="s">
        <v>266</v>
      </c>
      <c r="C137" s="1">
        <v>44083</v>
      </c>
      <c r="D137" t="b">
        <v>1</v>
      </c>
      <c r="E137" t="s">
        <v>10</v>
      </c>
      <c r="F137">
        <v>122</v>
      </c>
    </row>
    <row r="138" spans="1:6" x14ac:dyDescent="0.25">
      <c r="A138" t="s">
        <v>267</v>
      </c>
      <c r="C138" s="1">
        <v>44083</v>
      </c>
      <c r="D138" t="b">
        <v>1</v>
      </c>
      <c r="E138" t="s">
        <v>10</v>
      </c>
      <c r="F138">
        <v>15553</v>
      </c>
    </row>
    <row r="139" spans="1:6" x14ac:dyDescent="0.25">
      <c r="A139" t="s">
        <v>268</v>
      </c>
      <c r="C139" s="1">
        <v>44083</v>
      </c>
      <c r="D139" t="b">
        <v>1</v>
      </c>
      <c r="E139" t="s">
        <v>10</v>
      </c>
      <c r="F139">
        <v>17113</v>
      </c>
    </row>
    <row r="140" spans="1:6" x14ac:dyDescent="0.25">
      <c r="A140" t="s">
        <v>269</v>
      </c>
      <c r="B140" t="s">
        <v>270</v>
      </c>
      <c r="C140" s="1">
        <v>44083</v>
      </c>
      <c r="D140" t="b">
        <v>1</v>
      </c>
      <c r="E140" t="s">
        <v>10</v>
      </c>
      <c r="F140">
        <v>124</v>
      </c>
    </row>
    <row r="141" spans="1:6" x14ac:dyDescent="0.25">
      <c r="A141" t="s">
        <v>271</v>
      </c>
      <c r="B141" t="s">
        <v>272</v>
      </c>
      <c r="C141" s="1">
        <v>44083</v>
      </c>
      <c r="D141" t="b">
        <v>1</v>
      </c>
      <c r="E141" t="s">
        <v>10</v>
      </c>
      <c r="F141">
        <v>8039</v>
      </c>
    </row>
    <row r="142" spans="1:6" x14ac:dyDescent="0.25">
      <c r="A142" t="s">
        <v>273</v>
      </c>
      <c r="B142" t="s">
        <v>274</v>
      </c>
      <c r="C142" s="1">
        <v>44083</v>
      </c>
      <c r="D142" t="b">
        <v>1</v>
      </c>
      <c r="E142" t="s">
        <v>10</v>
      </c>
      <c r="F142">
        <v>126</v>
      </c>
    </row>
    <row r="143" spans="1:6" x14ac:dyDescent="0.25">
      <c r="A143" t="s">
        <v>275</v>
      </c>
      <c r="B143" t="s">
        <v>276</v>
      </c>
      <c r="C143" s="1">
        <v>44083</v>
      </c>
      <c r="D143" t="b">
        <v>1</v>
      </c>
      <c r="E143" t="s">
        <v>10</v>
      </c>
      <c r="F143">
        <v>13630</v>
      </c>
    </row>
    <row r="144" spans="1:6" x14ac:dyDescent="0.25">
      <c r="A144" t="s">
        <v>277</v>
      </c>
      <c r="B144" t="s">
        <v>278</v>
      </c>
      <c r="C144" s="1">
        <v>44083</v>
      </c>
      <c r="D144" t="b">
        <v>1</v>
      </c>
      <c r="E144" t="s">
        <v>10</v>
      </c>
      <c r="F144">
        <v>16384</v>
      </c>
    </row>
    <row r="145" spans="1:6" x14ac:dyDescent="0.25">
      <c r="A145" t="s">
        <v>279</v>
      </c>
      <c r="B145" t="s">
        <v>280</v>
      </c>
      <c r="C145" s="1">
        <v>44083</v>
      </c>
      <c r="D145" t="b">
        <v>1</v>
      </c>
      <c r="E145" t="s">
        <v>10</v>
      </c>
      <c r="F145">
        <v>130</v>
      </c>
    </row>
    <row r="146" spans="1:6" x14ac:dyDescent="0.25">
      <c r="A146" t="s">
        <v>281</v>
      </c>
      <c r="B146" t="s">
        <v>282</v>
      </c>
      <c r="C146" s="1">
        <v>44083</v>
      </c>
      <c r="D146" t="b">
        <v>1</v>
      </c>
      <c r="E146" t="s">
        <v>10</v>
      </c>
      <c r="F146">
        <v>14982</v>
      </c>
    </row>
    <row r="147" spans="1:6" x14ac:dyDescent="0.25">
      <c r="A147" t="s">
        <v>283</v>
      </c>
      <c r="B147" t="s">
        <v>284</v>
      </c>
      <c r="C147" s="1">
        <v>44083</v>
      </c>
      <c r="D147" t="b">
        <v>1</v>
      </c>
      <c r="E147" t="s">
        <v>10</v>
      </c>
      <c r="F147">
        <v>131</v>
      </c>
    </row>
    <row r="148" spans="1:6" x14ac:dyDescent="0.25">
      <c r="A148" t="s">
        <v>285</v>
      </c>
      <c r="B148" t="s">
        <v>286</v>
      </c>
      <c r="C148" s="1">
        <v>44083</v>
      </c>
      <c r="D148" t="b">
        <v>1</v>
      </c>
      <c r="E148" t="s">
        <v>10</v>
      </c>
      <c r="F148">
        <v>136</v>
      </c>
    </row>
    <row r="149" spans="1:6" x14ac:dyDescent="0.25">
      <c r="A149" t="s">
        <v>287</v>
      </c>
      <c r="C149" s="1">
        <v>44083</v>
      </c>
      <c r="D149" t="b">
        <v>1</v>
      </c>
      <c r="E149" t="s">
        <v>10</v>
      </c>
      <c r="F149">
        <v>137</v>
      </c>
    </row>
    <row r="150" spans="1:6" x14ac:dyDescent="0.25">
      <c r="A150" t="s">
        <v>288</v>
      </c>
      <c r="B150" t="s">
        <v>289</v>
      </c>
      <c r="C150" s="1">
        <v>44083</v>
      </c>
      <c r="D150" t="b">
        <v>1</v>
      </c>
      <c r="E150" t="s">
        <v>10</v>
      </c>
      <c r="F150">
        <v>141</v>
      </c>
    </row>
    <row r="151" spans="1:6" x14ac:dyDescent="0.25">
      <c r="A151" t="s">
        <v>290</v>
      </c>
      <c r="C151" s="1">
        <v>44083</v>
      </c>
      <c r="D151" t="b">
        <v>1</v>
      </c>
      <c r="E151" t="s">
        <v>10</v>
      </c>
      <c r="F151">
        <v>15537</v>
      </c>
    </row>
    <row r="152" spans="1:6" x14ac:dyDescent="0.25">
      <c r="A152" t="s">
        <v>291</v>
      </c>
      <c r="C152" s="1">
        <v>44083</v>
      </c>
      <c r="D152" t="b">
        <v>1</v>
      </c>
      <c r="E152" t="s">
        <v>10</v>
      </c>
      <c r="F152">
        <v>16353</v>
      </c>
    </row>
    <row r="153" spans="1:6" x14ac:dyDescent="0.25">
      <c r="A153" t="s">
        <v>292</v>
      </c>
      <c r="C153" s="1">
        <v>44083</v>
      </c>
      <c r="D153" t="b">
        <v>1</v>
      </c>
      <c r="E153" t="s">
        <v>10</v>
      </c>
      <c r="F153">
        <v>16763</v>
      </c>
    </row>
    <row r="154" spans="1:6" x14ac:dyDescent="0.25">
      <c r="A154" t="s">
        <v>293</v>
      </c>
      <c r="C154" s="1">
        <v>44083</v>
      </c>
      <c r="D154" t="b">
        <v>1</v>
      </c>
      <c r="E154" t="s">
        <v>10</v>
      </c>
      <c r="F154">
        <v>10869</v>
      </c>
    </row>
    <row r="155" spans="1:6" x14ac:dyDescent="0.25">
      <c r="A155" t="s">
        <v>294</v>
      </c>
      <c r="B155" t="s">
        <v>295</v>
      </c>
      <c r="C155" s="1">
        <v>44083</v>
      </c>
      <c r="D155" t="b">
        <v>1</v>
      </c>
      <c r="E155" t="s">
        <v>10</v>
      </c>
      <c r="F155">
        <v>11150</v>
      </c>
    </row>
    <row r="156" spans="1:6" x14ac:dyDescent="0.25">
      <c r="A156" t="s">
        <v>296</v>
      </c>
      <c r="B156" t="s">
        <v>297</v>
      </c>
      <c r="C156" s="1">
        <v>44083</v>
      </c>
      <c r="D156" t="b">
        <v>1</v>
      </c>
      <c r="E156" t="s">
        <v>10</v>
      </c>
      <c r="F156">
        <v>16980</v>
      </c>
    </row>
    <row r="157" spans="1:6" x14ac:dyDescent="0.25">
      <c r="A157" t="s">
        <v>298</v>
      </c>
      <c r="B157" t="s">
        <v>299</v>
      </c>
      <c r="C157" s="1">
        <v>44083</v>
      </c>
      <c r="D157" t="b">
        <v>1</v>
      </c>
      <c r="E157" t="s">
        <v>10</v>
      </c>
      <c r="F157">
        <v>15025</v>
      </c>
    </row>
    <row r="158" spans="1:6" x14ac:dyDescent="0.25">
      <c r="A158" t="s">
        <v>300</v>
      </c>
      <c r="B158" t="s">
        <v>301</v>
      </c>
      <c r="C158" s="1">
        <v>44083</v>
      </c>
      <c r="D158" t="b">
        <v>1</v>
      </c>
      <c r="E158" t="s">
        <v>10</v>
      </c>
      <c r="F158">
        <v>14844</v>
      </c>
    </row>
    <row r="159" spans="1:6" x14ac:dyDescent="0.25">
      <c r="A159" t="s">
        <v>302</v>
      </c>
      <c r="C159" s="1">
        <v>44083</v>
      </c>
      <c r="D159" t="b">
        <v>1</v>
      </c>
      <c r="E159" t="s">
        <v>10</v>
      </c>
      <c r="F159">
        <v>15563</v>
      </c>
    </row>
    <row r="160" spans="1:6" x14ac:dyDescent="0.25">
      <c r="A160" t="s">
        <v>303</v>
      </c>
      <c r="B160" t="s">
        <v>304</v>
      </c>
      <c r="C160" s="1">
        <v>44083</v>
      </c>
      <c r="D160" t="b">
        <v>1</v>
      </c>
      <c r="E160" t="s">
        <v>10</v>
      </c>
      <c r="F160">
        <v>143</v>
      </c>
    </row>
    <row r="161" spans="1:6" x14ac:dyDescent="0.25">
      <c r="A161" t="s">
        <v>305</v>
      </c>
      <c r="B161" t="s">
        <v>306</v>
      </c>
      <c r="C161" s="1">
        <v>44083</v>
      </c>
      <c r="D161" t="b">
        <v>1</v>
      </c>
      <c r="E161" t="s">
        <v>10</v>
      </c>
      <c r="F161">
        <v>144</v>
      </c>
    </row>
    <row r="162" spans="1:6" x14ac:dyDescent="0.25">
      <c r="A162" t="s">
        <v>307</v>
      </c>
      <c r="B162" t="s">
        <v>308</v>
      </c>
      <c r="C162" s="1">
        <v>44083</v>
      </c>
      <c r="D162" t="b">
        <v>1</v>
      </c>
      <c r="E162" t="s">
        <v>10</v>
      </c>
      <c r="F162">
        <v>16345</v>
      </c>
    </row>
    <row r="163" spans="1:6" x14ac:dyDescent="0.25">
      <c r="A163" t="s">
        <v>309</v>
      </c>
      <c r="B163" t="s">
        <v>310</v>
      </c>
      <c r="C163" s="1">
        <v>44083</v>
      </c>
      <c r="D163" t="b">
        <v>1</v>
      </c>
      <c r="E163" t="s">
        <v>10</v>
      </c>
      <c r="F163">
        <v>16346</v>
      </c>
    </row>
    <row r="164" spans="1:6" x14ac:dyDescent="0.25">
      <c r="A164" t="s">
        <v>311</v>
      </c>
      <c r="B164" t="s">
        <v>312</v>
      </c>
      <c r="C164" s="1">
        <v>44083</v>
      </c>
      <c r="D164" t="b">
        <v>1</v>
      </c>
      <c r="E164" t="s">
        <v>10</v>
      </c>
      <c r="F164">
        <v>8902</v>
      </c>
    </row>
    <row r="165" spans="1:6" x14ac:dyDescent="0.25">
      <c r="A165" t="s">
        <v>313</v>
      </c>
      <c r="B165" t="s">
        <v>314</v>
      </c>
      <c r="C165" s="1">
        <v>44083</v>
      </c>
      <c r="D165" t="b">
        <v>1</v>
      </c>
      <c r="E165" t="s">
        <v>10</v>
      </c>
      <c r="F165">
        <v>16347</v>
      </c>
    </row>
    <row r="166" spans="1:6" x14ac:dyDescent="0.25">
      <c r="A166" t="s">
        <v>315</v>
      </c>
      <c r="B166" t="s">
        <v>316</v>
      </c>
      <c r="C166" s="1">
        <v>44083</v>
      </c>
      <c r="D166" t="b">
        <v>1</v>
      </c>
      <c r="E166" t="s">
        <v>10</v>
      </c>
      <c r="F166">
        <v>152</v>
      </c>
    </row>
    <row r="167" spans="1:6" x14ac:dyDescent="0.25">
      <c r="A167" t="s">
        <v>317</v>
      </c>
      <c r="B167" t="s">
        <v>318</v>
      </c>
      <c r="C167" s="1">
        <v>44083</v>
      </c>
      <c r="D167" t="b">
        <v>1</v>
      </c>
      <c r="E167" t="s">
        <v>10</v>
      </c>
      <c r="F167">
        <v>9810</v>
      </c>
    </row>
    <row r="168" spans="1:6" x14ac:dyDescent="0.25">
      <c r="A168" t="s">
        <v>319</v>
      </c>
      <c r="B168" t="s">
        <v>320</v>
      </c>
      <c r="C168" s="1">
        <v>44083</v>
      </c>
      <c r="D168" t="b">
        <v>1</v>
      </c>
      <c r="E168" t="s">
        <v>10</v>
      </c>
      <c r="F168">
        <v>15869</v>
      </c>
    </row>
    <row r="169" spans="1:6" x14ac:dyDescent="0.25">
      <c r="A169" t="s">
        <v>321</v>
      </c>
      <c r="B169" t="s">
        <v>322</v>
      </c>
      <c r="C169" s="1">
        <v>44083</v>
      </c>
      <c r="D169" t="b">
        <v>1</v>
      </c>
      <c r="E169" t="s">
        <v>10</v>
      </c>
      <c r="F169">
        <v>154</v>
      </c>
    </row>
    <row r="170" spans="1:6" x14ac:dyDescent="0.25">
      <c r="A170" t="s">
        <v>323</v>
      </c>
      <c r="B170" t="s">
        <v>324</v>
      </c>
      <c r="C170" s="1">
        <v>44083</v>
      </c>
      <c r="D170" t="b">
        <v>1</v>
      </c>
      <c r="E170" t="s">
        <v>10</v>
      </c>
      <c r="F170">
        <v>15924</v>
      </c>
    </row>
    <row r="171" spans="1:6" x14ac:dyDescent="0.25">
      <c r="A171" t="s">
        <v>325</v>
      </c>
      <c r="B171" t="s">
        <v>326</v>
      </c>
      <c r="C171" s="1">
        <v>44083</v>
      </c>
      <c r="D171" t="b">
        <v>1</v>
      </c>
      <c r="E171" t="s">
        <v>10</v>
      </c>
      <c r="F171">
        <v>15925</v>
      </c>
    </row>
    <row r="172" spans="1:6" x14ac:dyDescent="0.25">
      <c r="A172" t="s">
        <v>327</v>
      </c>
      <c r="B172" t="s">
        <v>324</v>
      </c>
      <c r="C172" s="1">
        <v>44083</v>
      </c>
      <c r="D172" t="b">
        <v>1</v>
      </c>
      <c r="E172" t="s">
        <v>10</v>
      </c>
      <c r="F172">
        <v>15616</v>
      </c>
    </row>
    <row r="173" spans="1:6" x14ac:dyDescent="0.25">
      <c r="A173" t="s">
        <v>328</v>
      </c>
      <c r="C173" s="1">
        <v>44083</v>
      </c>
      <c r="D173" t="b">
        <v>1</v>
      </c>
      <c r="E173" t="s">
        <v>10</v>
      </c>
      <c r="F173">
        <v>15931</v>
      </c>
    </row>
    <row r="174" spans="1:6" x14ac:dyDescent="0.25">
      <c r="A174" t="s">
        <v>329</v>
      </c>
      <c r="B174" t="s">
        <v>330</v>
      </c>
      <c r="C174" s="1">
        <v>44083</v>
      </c>
      <c r="D174" t="b">
        <v>1</v>
      </c>
      <c r="E174" t="s">
        <v>10</v>
      </c>
      <c r="F174">
        <v>157</v>
      </c>
    </row>
    <row r="175" spans="1:6" x14ac:dyDescent="0.25">
      <c r="A175" t="s">
        <v>331</v>
      </c>
      <c r="B175" t="s">
        <v>332</v>
      </c>
      <c r="C175" s="1">
        <v>44083</v>
      </c>
      <c r="D175" t="b">
        <v>1</v>
      </c>
      <c r="E175" t="s">
        <v>10</v>
      </c>
      <c r="F175">
        <v>158</v>
      </c>
    </row>
    <row r="176" spans="1:6" x14ac:dyDescent="0.25">
      <c r="A176" t="s">
        <v>333</v>
      </c>
      <c r="B176" t="s">
        <v>334</v>
      </c>
      <c r="C176" s="1">
        <v>44083</v>
      </c>
      <c r="D176" t="b">
        <v>1</v>
      </c>
      <c r="E176" t="s">
        <v>10</v>
      </c>
      <c r="F176">
        <v>15189</v>
      </c>
    </row>
    <row r="177" spans="1:6" x14ac:dyDescent="0.25">
      <c r="A177" t="s">
        <v>335</v>
      </c>
      <c r="B177" t="s">
        <v>336</v>
      </c>
      <c r="C177" s="1">
        <v>44083</v>
      </c>
      <c r="D177" t="b">
        <v>1</v>
      </c>
      <c r="E177" t="s">
        <v>10</v>
      </c>
      <c r="F177">
        <v>160</v>
      </c>
    </row>
    <row r="178" spans="1:6" x14ac:dyDescent="0.25">
      <c r="A178" t="s">
        <v>337</v>
      </c>
      <c r="B178" t="s">
        <v>338</v>
      </c>
      <c r="C178" s="1">
        <v>44083</v>
      </c>
      <c r="D178" t="b">
        <v>1</v>
      </c>
      <c r="E178" t="s">
        <v>10</v>
      </c>
      <c r="F178">
        <v>8522</v>
      </c>
    </row>
    <row r="179" spans="1:6" x14ac:dyDescent="0.25">
      <c r="A179" t="s">
        <v>339</v>
      </c>
      <c r="B179" t="s">
        <v>340</v>
      </c>
      <c r="C179" s="1">
        <v>44083</v>
      </c>
      <c r="D179" t="b">
        <v>1</v>
      </c>
      <c r="E179" t="s">
        <v>10</v>
      </c>
      <c r="F179">
        <v>162</v>
      </c>
    </row>
    <row r="180" spans="1:6" x14ac:dyDescent="0.25">
      <c r="A180" t="s">
        <v>341</v>
      </c>
      <c r="B180" t="s">
        <v>342</v>
      </c>
      <c r="C180" s="1">
        <v>44083</v>
      </c>
      <c r="D180" t="b">
        <v>1</v>
      </c>
      <c r="E180" t="s">
        <v>10</v>
      </c>
      <c r="F180">
        <v>11328</v>
      </c>
    </row>
    <row r="181" spans="1:6" x14ac:dyDescent="0.25">
      <c r="A181" t="s">
        <v>343</v>
      </c>
      <c r="B181" t="s">
        <v>344</v>
      </c>
      <c r="C181" s="1">
        <v>44083</v>
      </c>
      <c r="D181" t="b">
        <v>1</v>
      </c>
      <c r="E181" t="s">
        <v>10</v>
      </c>
      <c r="F181">
        <v>10278</v>
      </c>
    </row>
    <row r="182" spans="1:6" x14ac:dyDescent="0.25">
      <c r="A182" t="s">
        <v>345</v>
      </c>
      <c r="B182" t="s">
        <v>346</v>
      </c>
      <c r="C182" s="1">
        <v>44083</v>
      </c>
      <c r="D182" t="b">
        <v>1</v>
      </c>
      <c r="E182" t="s">
        <v>10</v>
      </c>
      <c r="F182">
        <v>10266</v>
      </c>
    </row>
    <row r="183" spans="1:6" x14ac:dyDescent="0.25">
      <c r="A183" t="s">
        <v>347</v>
      </c>
      <c r="B183" t="s">
        <v>348</v>
      </c>
      <c r="C183" s="1">
        <v>44083</v>
      </c>
      <c r="D183" t="b">
        <v>1</v>
      </c>
      <c r="E183" t="s">
        <v>10</v>
      </c>
      <c r="F183">
        <v>166</v>
      </c>
    </row>
    <row r="184" spans="1:6" x14ac:dyDescent="0.25">
      <c r="A184" t="s">
        <v>349</v>
      </c>
      <c r="B184" t="s">
        <v>350</v>
      </c>
      <c r="C184" s="1">
        <v>44083</v>
      </c>
      <c r="D184" t="b">
        <v>1</v>
      </c>
      <c r="E184" t="s">
        <v>10</v>
      </c>
      <c r="F184">
        <v>11213</v>
      </c>
    </row>
    <row r="185" spans="1:6" x14ac:dyDescent="0.25">
      <c r="A185" t="s">
        <v>351</v>
      </c>
      <c r="B185" t="s">
        <v>352</v>
      </c>
      <c r="C185" s="1">
        <v>44083</v>
      </c>
      <c r="D185" t="b">
        <v>1</v>
      </c>
      <c r="E185" t="s">
        <v>10</v>
      </c>
      <c r="F185">
        <v>168</v>
      </c>
    </row>
    <row r="186" spans="1:6" x14ac:dyDescent="0.25">
      <c r="A186" t="s">
        <v>353</v>
      </c>
      <c r="C186" s="1">
        <v>44083</v>
      </c>
      <c r="D186" t="b">
        <v>1</v>
      </c>
      <c r="E186" t="s">
        <v>10</v>
      </c>
      <c r="F186">
        <v>169</v>
      </c>
    </row>
    <row r="187" spans="1:6" x14ac:dyDescent="0.25">
      <c r="A187" t="s">
        <v>354</v>
      </c>
      <c r="C187" s="1">
        <v>44083</v>
      </c>
      <c r="D187" t="b">
        <v>1</v>
      </c>
      <c r="E187" t="s">
        <v>10</v>
      </c>
      <c r="F187">
        <v>8903</v>
      </c>
    </row>
    <row r="188" spans="1:6" x14ac:dyDescent="0.25">
      <c r="A188" t="s">
        <v>355</v>
      </c>
      <c r="C188" s="1">
        <v>44083</v>
      </c>
      <c r="D188" t="b">
        <v>1</v>
      </c>
      <c r="E188" t="s">
        <v>10</v>
      </c>
      <c r="F188">
        <v>15738</v>
      </c>
    </row>
    <row r="189" spans="1:6" x14ac:dyDescent="0.25">
      <c r="A189" t="s">
        <v>356</v>
      </c>
      <c r="C189" s="1">
        <v>44083</v>
      </c>
      <c r="D189" t="b">
        <v>1</v>
      </c>
      <c r="E189" t="s">
        <v>10</v>
      </c>
      <c r="F189">
        <v>16755</v>
      </c>
    </row>
    <row r="190" spans="1:6" x14ac:dyDescent="0.25">
      <c r="A190" t="s">
        <v>357</v>
      </c>
      <c r="C190" s="1">
        <v>44083</v>
      </c>
      <c r="D190" t="b">
        <v>1</v>
      </c>
      <c r="E190" t="s">
        <v>10</v>
      </c>
      <c r="F190">
        <v>17143</v>
      </c>
    </row>
    <row r="191" spans="1:6" x14ac:dyDescent="0.25">
      <c r="A191" t="s">
        <v>358</v>
      </c>
      <c r="B191" t="s">
        <v>359</v>
      </c>
      <c r="C191" s="1">
        <v>44083</v>
      </c>
      <c r="D191" t="b">
        <v>1</v>
      </c>
      <c r="E191" t="s">
        <v>10</v>
      </c>
      <c r="F191">
        <v>170</v>
      </c>
    </row>
    <row r="192" spans="1:6" x14ac:dyDescent="0.25">
      <c r="A192" t="s">
        <v>360</v>
      </c>
      <c r="B192" t="s">
        <v>361</v>
      </c>
      <c r="C192" s="1">
        <v>44083</v>
      </c>
      <c r="D192" t="b">
        <v>1</v>
      </c>
      <c r="E192" t="s">
        <v>10</v>
      </c>
      <c r="F192">
        <v>12923</v>
      </c>
    </row>
    <row r="193" spans="1:6" x14ac:dyDescent="0.25">
      <c r="A193" t="s">
        <v>362</v>
      </c>
      <c r="B193" t="s">
        <v>363</v>
      </c>
      <c r="C193" s="1">
        <v>44083</v>
      </c>
      <c r="D193" t="b">
        <v>1</v>
      </c>
      <c r="E193" t="s">
        <v>10</v>
      </c>
      <c r="F193">
        <v>172</v>
      </c>
    </row>
    <row r="194" spans="1:6" x14ac:dyDescent="0.25">
      <c r="A194" t="s">
        <v>364</v>
      </c>
      <c r="C194" s="1">
        <v>44083</v>
      </c>
      <c r="D194" t="b">
        <v>1</v>
      </c>
      <c r="E194" t="s">
        <v>10</v>
      </c>
      <c r="F194">
        <v>15490</v>
      </c>
    </row>
    <row r="195" spans="1:6" x14ac:dyDescent="0.25">
      <c r="A195" t="s">
        <v>365</v>
      </c>
      <c r="C195" s="1">
        <v>44083</v>
      </c>
      <c r="D195" t="b">
        <v>1</v>
      </c>
      <c r="E195" t="s">
        <v>10</v>
      </c>
      <c r="F195">
        <v>13319</v>
      </c>
    </row>
    <row r="196" spans="1:6" x14ac:dyDescent="0.25">
      <c r="A196" t="s">
        <v>366</v>
      </c>
      <c r="C196" s="1">
        <v>44083</v>
      </c>
      <c r="D196" t="b">
        <v>1</v>
      </c>
      <c r="E196" t="s">
        <v>10</v>
      </c>
      <c r="F196">
        <v>16159</v>
      </c>
    </row>
    <row r="197" spans="1:6" x14ac:dyDescent="0.25">
      <c r="A197" t="s">
        <v>367</v>
      </c>
      <c r="C197" s="1">
        <v>44083</v>
      </c>
      <c r="D197" t="b">
        <v>1</v>
      </c>
      <c r="E197" t="s">
        <v>10</v>
      </c>
      <c r="F197">
        <v>16518</v>
      </c>
    </row>
    <row r="198" spans="1:6" x14ac:dyDescent="0.25">
      <c r="A198" t="s">
        <v>368</v>
      </c>
      <c r="B198" t="s">
        <v>369</v>
      </c>
      <c r="C198" s="1">
        <v>44083</v>
      </c>
      <c r="D198" t="b">
        <v>1</v>
      </c>
      <c r="E198" t="s">
        <v>10</v>
      </c>
      <c r="F198">
        <v>174</v>
      </c>
    </row>
    <row r="199" spans="1:6" x14ac:dyDescent="0.25">
      <c r="A199" t="s">
        <v>370</v>
      </c>
      <c r="C199" s="1">
        <v>44083</v>
      </c>
      <c r="D199" t="b">
        <v>1</v>
      </c>
      <c r="E199" t="s">
        <v>10</v>
      </c>
      <c r="F199">
        <v>175</v>
      </c>
    </row>
    <row r="200" spans="1:6" x14ac:dyDescent="0.25">
      <c r="A200" t="s">
        <v>371</v>
      </c>
      <c r="C200" s="1">
        <v>44083</v>
      </c>
      <c r="D200" t="b">
        <v>1</v>
      </c>
      <c r="E200" t="s">
        <v>10</v>
      </c>
      <c r="F200">
        <v>176</v>
      </c>
    </row>
    <row r="201" spans="1:6" x14ac:dyDescent="0.25">
      <c r="A201" t="s">
        <v>372</v>
      </c>
      <c r="C201" s="1">
        <v>44083</v>
      </c>
      <c r="D201" t="b">
        <v>1</v>
      </c>
      <c r="E201" t="s">
        <v>10</v>
      </c>
      <c r="F201">
        <v>177</v>
      </c>
    </row>
    <row r="202" spans="1:6" x14ac:dyDescent="0.25">
      <c r="A202" t="s">
        <v>373</v>
      </c>
      <c r="B202" t="s">
        <v>374</v>
      </c>
      <c r="C202" s="1">
        <v>44083</v>
      </c>
      <c r="D202" t="b">
        <v>1</v>
      </c>
      <c r="E202" t="s">
        <v>10</v>
      </c>
      <c r="F202">
        <v>179</v>
      </c>
    </row>
    <row r="203" spans="1:6" x14ac:dyDescent="0.25">
      <c r="A203" t="s">
        <v>375</v>
      </c>
      <c r="B203" t="s">
        <v>376</v>
      </c>
      <c r="C203" s="1">
        <v>44083</v>
      </c>
      <c r="D203" t="b">
        <v>1</v>
      </c>
      <c r="E203" t="s">
        <v>10</v>
      </c>
      <c r="F203">
        <v>10927</v>
      </c>
    </row>
    <row r="204" spans="1:6" x14ac:dyDescent="0.25">
      <c r="A204" t="s">
        <v>377</v>
      </c>
      <c r="B204" t="s">
        <v>378</v>
      </c>
      <c r="C204" s="1">
        <v>44083</v>
      </c>
      <c r="D204" t="b">
        <v>1</v>
      </c>
      <c r="E204" t="s">
        <v>10</v>
      </c>
      <c r="F204">
        <v>180</v>
      </c>
    </row>
    <row r="205" spans="1:6" x14ac:dyDescent="0.25">
      <c r="A205" t="s">
        <v>379</v>
      </c>
      <c r="B205" t="s">
        <v>380</v>
      </c>
      <c r="C205" s="1">
        <v>44083</v>
      </c>
      <c r="D205" t="b">
        <v>1</v>
      </c>
      <c r="E205" t="s">
        <v>10</v>
      </c>
      <c r="F205">
        <v>8646</v>
      </c>
    </row>
    <row r="206" spans="1:6" x14ac:dyDescent="0.25">
      <c r="A206" t="s">
        <v>381</v>
      </c>
      <c r="B206" t="s">
        <v>382</v>
      </c>
      <c r="C206" s="1">
        <v>44083</v>
      </c>
      <c r="D206" t="b">
        <v>1</v>
      </c>
      <c r="E206" t="s">
        <v>10</v>
      </c>
      <c r="F206">
        <v>13933</v>
      </c>
    </row>
    <row r="207" spans="1:6" x14ac:dyDescent="0.25">
      <c r="A207" t="s">
        <v>383</v>
      </c>
      <c r="B207" t="s">
        <v>384</v>
      </c>
      <c r="C207" s="1">
        <v>44083</v>
      </c>
      <c r="D207" t="b">
        <v>1</v>
      </c>
      <c r="E207" t="s">
        <v>10</v>
      </c>
      <c r="F207">
        <v>12812</v>
      </c>
    </row>
    <row r="208" spans="1:6" x14ac:dyDescent="0.25">
      <c r="A208" t="s">
        <v>385</v>
      </c>
      <c r="B208" t="s">
        <v>386</v>
      </c>
      <c r="C208" s="1">
        <v>44083</v>
      </c>
      <c r="D208" t="b">
        <v>1</v>
      </c>
      <c r="E208" t="s">
        <v>10</v>
      </c>
      <c r="F208">
        <v>8331</v>
      </c>
    </row>
    <row r="209" spans="1:6" x14ac:dyDescent="0.25">
      <c r="A209" t="s">
        <v>387</v>
      </c>
      <c r="B209" t="s">
        <v>388</v>
      </c>
      <c r="C209" s="1">
        <v>44083</v>
      </c>
      <c r="D209" t="b">
        <v>1</v>
      </c>
      <c r="E209" t="s">
        <v>10</v>
      </c>
      <c r="F209">
        <v>182</v>
      </c>
    </row>
    <row r="210" spans="1:6" x14ac:dyDescent="0.25">
      <c r="A210" t="s">
        <v>389</v>
      </c>
      <c r="B210" t="s">
        <v>390</v>
      </c>
      <c r="C210" s="1">
        <v>44083</v>
      </c>
      <c r="D210" t="b">
        <v>1</v>
      </c>
      <c r="E210" t="s">
        <v>10</v>
      </c>
      <c r="F210">
        <v>183</v>
      </c>
    </row>
    <row r="211" spans="1:6" x14ac:dyDescent="0.25">
      <c r="A211" t="s">
        <v>391</v>
      </c>
      <c r="B211" t="s">
        <v>392</v>
      </c>
      <c r="C211" s="1">
        <v>44083</v>
      </c>
      <c r="D211" t="b">
        <v>1</v>
      </c>
      <c r="E211" t="s">
        <v>10</v>
      </c>
      <c r="F211">
        <v>184</v>
      </c>
    </row>
    <row r="212" spans="1:6" x14ac:dyDescent="0.25">
      <c r="A212" t="s">
        <v>393</v>
      </c>
      <c r="B212" t="s">
        <v>394</v>
      </c>
      <c r="C212" s="1">
        <v>44083</v>
      </c>
      <c r="D212" t="b">
        <v>1</v>
      </c>
      <c r="E212" t="s">
        <v>10</v>
      </c>
      <c r="F212">
        <v>8170</v>
      </c>
    </row>
    <row r="213" spans="1:6" x14ac:dyDescent="0.25">
      <c r="A213" t="s">
        <v>395</v>
      </c>
      <c r="B213" t="s">
        <v>396</v>
      </c>
      <c r="C213" s="1">
        <v>44083</v>
      </c>
      <c r="D213" t="b">
        <v>1</v>
      </c>
      <c r="E213" t="s">
        <v>10</v>
      </c>
      <c r="F213">
        <v>187</v>
      </c>
    </row>
    <row r="214" spans="1:6" x14ac:dyDescent="0.25">
      <c r="A214" t="s">
        <v>397</v>
      </c>
      <c r="B214" t="s">
        <v>398</v>
      </c>
      <c r="C214" s="1">
        <v>44083</v>
      </c>
      <c r="D214" t="b">
        <v>1</v>
      </c>
      <c r="E214" t="s">
        <v>10</v>
      </c>
      <c r="F214">
        <v>14439</v>
      </c>
    </row>
    <row r="215" spans="1:6" x14ac:dyDescent="0.25">
      <c r="A215" t="s">
        <v>399</v>
      </c>
      <c r="B215" t="s">
        <v>400</v>
      </c>
      <c r="C215" s="1">
        <v>44083</v>
      </c>
      <c r="D215" t="b">
        <v>1</v>
      </c>
      <c r="E215" t="s">
        <v>10</v>
      </c>
      <c r="F215">
        <v>189</v>
      </c>
    </row>
    <row r="216" spans="1:6" x14ac:dyDescent="0.25">
      <c r="A216" t="s">
        <v>401</v>
      </c>
      <c r="C216" s="1">
        <v>44083</v>
      </c>
      <c r="D216" t="b">
        <v>1</v>
      </c>
      <c r="E216" t="s">
        <v>10</v>
      </c>
      <c r="F216">
        <v>15853</v>
      </c>
    </row>
    <row r="217" spans="1:6" x14ac:dyDescent="0.25">
      <c r="A217" t="s">
        <v>402</v>
      </c>
      <c r="C217" s="1">
        <v>44083</v>
      </c>
      <c r="D217" t="b">
        <v>1</v>
      </c>
      <c r="E217" t="s">
        <v>10</v>
      </c>
      <c r="F217">
        <v>14580</v>
      </c>
    </row>
    <row r="218" spans="1:6" x14ac:dyDescent="0.25">
      <c r="A218" t="s">
        <v>403</v>
      </c>
      <c r="C218" s="1">
        <v>44083</v>
      </c>
      <c r="D218" t="b">
        <v>1</v>
      </c>
      <c r="E218" t="s">
        <v>10</v>
      </c>
      <c r="F218">
        <v>14581</v>
      </c>
    </row>
    <row r="219" spans="1:6" x14ac:dyDescent="0.25">
      <c r="A219" t="s">
        <v>404</v>
      </c>
      <c r="C219" s="1">
        <v>44083</v>
      </c>
      <c r="D219" t="b">
        <v>1</v>
      </c>
      <c r="E219" t="s">
        <v>10</v>
      </c>
      <c r="F219">
        <v>16002</v>
      </c>
    </row>
    <row r="220" spans="1:6" x14ac:dyDescent="0.25">
      <c r="A220" t="s">
        <v>405</v>
      </c>
      <c r="B220" t="s">
        <v>406</v>
      </c>
      <c r="C220" s="1">
        <v>44083</v>
      </c>
      <c r="D220" t="b">
        <v>1</v>
      </c>
      <c r="E220" t="s">
        <v>10</v>
      </c>
      <c r="F220">
        <v>191</v>
      </c>
    </row>
    <row r="221" spans="1:6" x14ac:dyDescent="0.25">
      <c r="A221" t="s">
        <v>407</v>
      </c>
      <c r="B221" t="s">
        <v>408</v>
      </c>
      <c r="C221" s="1">
        <v>44083</v>
      </c>
      <c r="D221" t="b">
        <v>1</v>
      </c>
      <c r="E221" t="s">
        <v>10</v>
      </c>
      <c r="F221">
        <v>193</v>
      </c>
    </row>
    <row r="222" spans="1:6" x14ac:dyDescent="0.25">
      <c r="A222" t="s">
        <v>409</v>
      </c>
      <c r="C222" s="1">
        <v>44083</v>
      </c>
      <c r="D222" t="b">
        <v>1</v>
      </c>
      <c r="E222" t="s">
        <v>10</v>
      </c>
      <c r="F222">
        <v>195</v>
      </c>
    </row>
    <row r="223" spans="1:6" x14ac:dyDescent="0.25">
      <c r="A223" t="s">
        <v>410</v>
      </c>
      <c r="C223" s="1">
        <v>44083</v>
      </c>
      <c r="D223" t="b">
        <v>1</v>
      </c>
      <c r="E223" t="s">
        <v>10</v>
      </c>
      <c r="F223">
        <v>11628</v>
      </c>
    </row>
    <row r="224" spans="1:6" x14ac:dyDescent="0.25">
      <c r="A224" t="s">
        <v>411</v>
      </c>
      <c r="C224" s="1">
        <v>44083</v>
      </c>
      <c r="D224" t="b">
        <v>1</v>
      </c>
      <c r="E224" t="s">
        <v>10</v>
      </c>
      <c r="F224">
        <v>12003</v>
      </c>
    </row>
    <row r="225" spans="1:6" x14ac:dyDescent="0.25">
      <c r="A225" t="s">
        <v>412</v>
      </c>
      <c r="C225" s="1">
        <v>44083</v>
      </c>
      <c r="D225" t="b">
        <v>1</v>
      </c>
      <c r="E225" t="s">
        <v>10</v>
      </c>
      <c r="F225">
        <v>13325</v>
      </c>
    </row>
    <row r="226" spans="1:6" x14ac:dyDescent="0.25">
      <c r="A226" t="s">
        <v>413</v>
      </c>
      <c r="C226" s="1">
        <v>44083</v>
      </c>
      <c r="D226" t="b">
        <v>1</v>
      </c>
      <c r="E226" t="s">
        <v>10</v>
      </c>
      <c r="F226">
        <v>13823</v>
      </c>
    </row>
    <row r="227" spans="1:6" x14ac:dyDescent="0.25">
      <c r="A227" t="s">
        <v>414</v>
      </c>
      <c r="B227" t="s">
        <v>415</v>
      </c>
      <c r="C227" s="1">
        <v>44083</v>
      </c>
      <c r="D227" t="b">
        <v>1</v>
      </c>
      <c r="E227" t="s">
        <v>10</v>
      </c>
      <c r="F227">
        <v>198</v>
      </c>
    </row>
    <row r="228" spans="1:6" x14ac:dyDescent="0.25">
      <c r="A228" t="s">
        <v>416</v>
      </c>
      <c r="C228" s="1">
        <v>44083</v>
      </c>
      <c r="D228" t="b">
        <v>1</v>
      </c>
      <c r="E228" t="s">
        <v>10</v>
      </c>
      <c r="F228">
        <v>12907</v>
      </c>
    </row>
    <row r="229" spans="1:6" x14ac:dyDescent="0.25">
      <c r="A229" t="s">
        <v>417</v>
      </c>
      <c r="C229" s="1">
        <v>44083</v>
      </c>
      <c r="D229" t="b">
        <v>1</v>
      </c>
      <c r="E229" t="s">
        <v>10</v>
      </c>
      <c r="F229">
        <v>15520</v>
      </c>
    </row>
    <row r="230" spans="1:6" x14ac:dyDescent="0.25">
      <c r="A230" t="s">
        <v>418</v>
      </c>
      <c r="B230" t="s">
        <v>419</v>
      </c>
      <c r="C230" s="1">
        <v>44083</v>
      </c>
      <c r="D230" t="b">
        <v>1</v>
      </c>
      <c r="E230" t="s">
        <v>10</v>
      </c>
      <c r="F230">
        <v>199</v>
      </c>
    </row>
    <row r="231" spans="1:6" x14ac:dyDescent="0.25">
      <c r="A231" t="s">
        <v>420</v>
      </c>
      <c r="C231" s="1">
        <v>44083</v>
      </c>
      <c r="D231" t="b">
        <v>1</v>
      </c>
      <c r="E231" t="s">
        <v>10</v>
      </c>
      <c r="F231">
        <v>9861</v>
      </c>
    </row>
    <row r="232" spans="1:6" x14ac:dyDescent="0.25">
      <c r="A232" t="s">
        <v>421</v>
      </c>
      <c r="B232" t="s">
        <v>422</v>
      </c>
      <c r="C232" s="1">
        <v>44083</v>
      </c>
      <c r="D232" t="b">
        <v>1</v>
      </c>
      <c r="E232" t="s">
        <v>10</v>
      </c>
      <c r="F232">
        <v>13582</v>
      </c>
    </row>
    <row r="233" spans="1:6" x14ac:dyDescent="0.25">
      <c r="A233" t="s">
        <v>423</v>
      </c>
      <c r="B233" t="s">
        <v>424</v>
      </c>
      <c r="C233" s="1">
        <v>44083</v>
      </c>
      <c r="D233" t="b">
        <v>1</v>
      </c>
      <c r="E233" t="s">
        <v>10</v>
      </c>
      <c r="F233">
        <v>201</v>
      </c>
    </row>
    <row r="234" spans="1:6" x14ac:dyDescent="0.25">
      <c r="A234" t="s">
        <v>425</v>
      </c>
      <c r="B234" t="s">
        <v>426</v>
      </c>
      <c r="C234" s="1">
        <v>44083</v>
      </c>
      <c r="D234" t="b">
        <v>1</v>
      </c>
      <c r="E234" t="s">
        <v>10</v>
      </c>
      <c r="F234">
        <v>202</v>
      </c>
    </row>
    <row r="235" spans="1:6" x14ac:dyDescent="0.25">
      <c r="A235" t="s">
        <v>427</v>
      </c>
      <c r="C235" s="1">
        <v>44083</v>
      </c>
      <c r="D235" t="b">
        <v>1</v>
      </c>
      <c r="E235" t="s">
        <v>10</v>
      </c>
      <c r="F235">
        <v>7912</v>
      </c>
    </row>
    <row r="236" spans="1:6" x14ac:dyDescent="0.25">
      <c r="A236" t="s">
        <v>428</v>
      </c>
      <c r="C236" s="1">
        <v>44083</v>
      </c>
      <c r="D236" t="b">
        <v>1</v>
      </c>
      <c r="E236" t="s">
        <v>10</v>
      </c>
      <c r="F236">
        <v>15524</v>
      </c>
    </row>
    <row r="237" spans="1:6" x14ac:dyDescent="0.25">
      <c r="A237" t="s">
        <v>429</v>
      </c>
      <c r="B237" t="s">
        <v>430</v>
      </c>
      <c r="C237" s="1">
        <v>44083</v>
      </c>
      <c r="D237" t="b">
        <v>1</v>
      </c>
      <c r="E237" t="s">
        <v>10</v>
      </c>
      <c r="F237">
        <v>16149</v>
      </c>
    </row>
    <row r="238" spans="1:6" x14ac:dyDescent="0.25">
      <c r="A238" t="s">
        <v>431</v>
      </c>
      <c r="B238" t="s">
        <v>432</v>
      </c>
      <c r="C238" s="1">
        <v>44083</v>
      </c>
      <c r="D238" t="b">
        <v>1</v>
      </c>
      <c r="E238" t="s">
        <v>10</v>
      </c>
      <c r="F238">
        <v>13684</v>
      </c>
    </row>
    <row r="239" spans="1:6" x14ac:dyDescent="0.25">
      <c r="A239" t="s">
        <v>433</v>
      </c>
      <c r="B239" t="s">
        <v>434</v>
      </c>
      <c r="C239" s="1">
        <v>44083</v>
      </c>
      <c r="D239" t="b">
        <v>1</v>
      </c>
      <c r="E239" t="s">
        <v>10</v>
      </c>
      <c r="F239">
        <v>14714</v>
      </c>
    </row>
    <row r="240" spans="1:6" x14ac:dyDescent="0.25">
      <c r="A240" t="s">
        <v>435</v>
      </c>
      <c r="B240" t="s">
        <v>436</v>
      </c>
      <c r="C240" s="1">
        <v>44083</v>
      </c>
      <c r="D240" t="b">
        <v>1</v>
      </c>
      <c r="E240" t="s">
        <v>10</v>
      </c>
      <c r="F240">
        <v>6435</v>
      </c>
    </row>
    <row r="241" spans="1:6" x14ac:dyDescent="0.25">
      <c r="A241" t="s">
        <v>437</v>
      </c>
      <c r="B241" t="s">
        <v>438</v>
      </c>
      <c r="C241" s="1">
        <v>44083</v>
      </c>
      <c r="D241" t="b">
        <v>1</v>
      </c>
      <c r="E241" t="s">
        <v>10</v>
      </c>
      <c r="F241">
        <v>3156</v>
      </c>
    </row>
    <row r="242" spans="1:6" x14ac:dyDescent="0.25">
      <c r="A242" t="s">
        <v>439</v>
      </c>
      <c r="B242" t="s">
        <v>440</v>
      </c>
      <c r="C242" s="1">
        <v>44083</v>
      </c>
      <c r="D242" t="b">
        <v>1</v>
      </c>
      <c r="E242" t="s">
        <v>10</v>
      </c>
      <c r="F242">
        <v>203</v>
      </c>
    </row>
    <row r="243" spans="1:6" x14ac:dyDescent="0.25">
      <c r="A243" t="s">
        <v>441</v>
      </c>
      <c r="B243" t="s">
        <v>442</v>
      </c>
      <c r="C243" s="1">
        <v>44083</v>
      </c>
      <c r="D243" t="b">
        <v>1</v>
      </c>
      <c r="E243" t="s">
        <v>10</v>
      </c>
      <c r="F243">
        <v>10269</v>
      </c>
    </row>
    <row r="244" spans="1:6" x14ac:dyDescent="0.25">
      <c r="A244" t="s">
        <v>443</v>
      </c>
      <c r="B244" t="s">
        <v>444</v>
      </c>
      <c r="C244" s="1">
        <v>44083</v>
      </c>
      <c r="D244" t="b">
        <v>1</v>
      </c>
      <c r="E244" t="s">
        <v>10</v>
      </c>
      <c r="F244">
        <v>204</v>
      </c>
    </row>
    <row r="245" spans="1:6" x14ac:dyDescent="0.25">
      <c r="A245" t="s">
        <v>445</v>
      </c>
      <c r="B245" t="s">
        <v>446</v>
      </c>
      <c r="C245" s="1">
        <v>44083</v>
      </c>
      <c r="D245" t="b">
        <v>1</v>
      </c>
      <c r="E245" t="s">
        <v>10</v>
      </c>
      <c r="F245">
        <v>9471</v>
      </c>
    </row>
    <row r="246" spans="1:6" x14ac:dyDescent="0.25">
      <c r="A246" t="s">
        <v>447</v>
      </c>
      <c r="B246" t="s">
        <v>448</v>
      </c>
      <c r="C246" s="1">
        <v>44083</v>
      </c>
      <c r="D246" t="b">
        <v>1</v>
      </c>
      <c r="E246" t="s">
        <v>10</v>
      </c>
      <c r="F246">
        <v>205</v>
      </c>
    </row>
    <row r="247" spans="1:6" x14ac:dyDescent="0.25">
      <c r="A247" t="s">
        <v>449</v>
      </c>
      <c r="B247" t="s">
        <v>450</v>
      </c>
      <c r="C247" s="1">
        <v>44083</v>
      </c>
      <c r="D247" t="b">
        <v>1</v>
      </c>
      <c r="E247" t="s">
        <v>10</v>
      </c>
      <c r="F247">
        <v>16067</v>
      </c>
    </row>
    <row r="248" spans="1:6" x14ac:dyDescent="0.25">
      <c r="A248" t="s">
        <v>451</v>
      </c>
      <c r="B248" t="s">
        <v>452</v>
      </c>
      <c r="C248" s="1">
        <v>44083</v>
      </c>
      <c r="D248" t="b">
        <v>1</v>
      </c>
      <c r="E248" t="s">
        <v>10</v>
      </c>
      <c r="F248">
        <v>14539</v>
      </c>
    </row>
    <row r="249" spans="1:6" x14ac:dyDescent="0.25">
      <c r="A249" t="s">
        <v>453</v>
      </c>
      <c r="B249" t="s">
        <v>454</v>
      </c>
      <c r="C249" s="1">
        <v>44083</v>
      </c>
      <c r="D249" t="b">
        <v>1</v>
      </c>
      <c r="E249" t="s">
        <v>10</v>
      </c>
      <c r="F249">
        <v>207</v>
      </c>
    </row>
    <row r="250" spans="1:6" x14ac:dyDescent="0.25">
      <c r="A250" t="s">
        <v>455</v>
      </c>
      <c r="B250" t="s">
        <v>456</v>
      </c>
      <c r="C250" s="1">
        <v>44083</v>
      </c>
      <c r="D250" t="b">
        <v>1</v>
      </c>
      <c r="E250" t="s">
        <v>10</v>
      </c>
      <c r="F250">
        <v>11671</v>
      </c>
    </row>
    <row r="251" spans="1:6" x14ac:dyDescent="0.25">
      <c r="A251" t="s">
        <v>457</v>
      </c>
      <c r="B251" t="s">
        <v>458</v>
      </c>
      <c r="C251" s="1">
        <v>44083</v>
      </c>
      <c r="D251" t="b">
        <v>1</v>
      </c>
      <c r="E251" t="s">
        <v>10</v>
      </c>
      <c r="F251">
        <v>208</v>
      </c>
    </row>
    <row r="252" spans="1:6" x14ac:dyDescent="0.25">
      <c r="A252" t="s">
        <v>459</v>
      </c>
      <c r="B252" t="s">
        <v>460</v>
      </c>
      <c r="C252" s="1">
        <v>44083</v>
      </c>
      <c r="D252" t="b">
        <v>1</v>
      </c>
      <c r="E252" t="s">
        <v>10</v>
      </c>
      <c r="F252">
        <v>8334</v>
      </c>
    </row>
    <row r="253" spans="1:6" x14ac:dyDescent="0.25">
      <c r="A253" t="s">
        <v>461</v>
      </c>
      <c r="B253" t="s">
        <v>462</v>
      </c>
      <c r="C253" s="1">
        <v>44083</v>
      </c>
      <c r="D253" t="b">
        <v>1</v>
      </c>
      <c r="E253" t="s">
        <v>10</v>
      </c>
      <c r="F253">
        <v>210</v>
      </c>
    </row>
    <row r="254" spans="1:6" x14ac:dyDescent="0.25">
      <c r="A254" t="s">
        <v>463</v>
      </c>
      <c r="C254" s="1">
        <v>44083</v>
      </c>
      <c r="D254" t="b">
        <v>1</v>
      </c>
      <c r="E254" t="s">
        <v>10</v>
      </c>
      <c r="F254">
        <v>15827</v>
      </c>
    </row>
    <row r="255" spans="1:6" x14ac:dyDescent="0.25">
      <c r="A255" t="s">
        <v>464</v>
      </c>
      <c r="C255" s="1">
        <v>44083</v>
      </c>
      <c r="D255" t="b">
        <v>1</v>
      </c>
      <c r="E255" t="s">
        <v>10</v>
      </c>
      <c r="F255">
        <v>15828</v>
      </c>
    </row>
    <row r="256" spans="1:6" x14ac:dyDescent="0.25">
      <c r="A256" t="s">
        <v>465</v>
      </c>
      <c r="B256" t="s">
        <v>466</v>
      </c>
      <c r="C256" s="1">
        <v>44083</v>
      </c>
      <c r="D256" t="b">
        <v>1</v>
      </c>
      <c r="E256" t="s">
        <v>10</v>
      </c>
      <c r="F256">
        <v>211</v>
      </c>
    </row>
    <row r="257" spans="1:6" x14ac:dyDescent="0.25">
      <c r="A257" t="s">
        <v>467</v>
      </c>
      <c r="B257" t="s">
        <v>468</v>
      </c>
      <c r="C257" s="1">
        <v>44083</v>
      </c>
      <c r="D257" t="b">
        <v>1</v>
      </c>
      <c r="E257" t="s">
        <v>10</v>
      </c>
      <c r="F257">
        <v>212</v>
      </c>
    </row>
    <row r="258" spans="1:6" x14ac:dyDescent="0.25">
      <c r="A258" t="s">
        <v>469</v>
      </c>
      <c r="C258" s="1">
        <v>44083</v>
      </c>
      <c r="D258" t="b">
        <v>1</v>
      </c>
      <c r="E258" t="s">
        <v>10</v>
      </c>
      <c r="F258">
        <v>214</v>
      </c>
    </row>
    <row r="259" spans="1:6" x14ac:dyDescent="0.25">
      <c r="A259" t="s">
        <v>470</v>
      </c>
      <c r="B259" t="s">
        <v>471</v>
      </c>
      <c r="C259" s="1">
        <v>44083</v>
      </c>
      <c r="D259" t="b">
        <v>1</v>
      </c>
      <c r="E259" t="s">
        <v>10</v>
      </c>
      <c r="F259">
        <v>217</v>
      </c>
    </row>
    <row r="260" spans="1:6" x14ac:dyDescent="0.25">
      <c r="A260" t="s">
        <v>472</v>
      </c>
      <c r="C260" s="1">
        <v>44083</v>
      </c>
      <c r="D260" t="b">
        <v>1</v>
      </c>
      <c r="E260" t="s">
        <v>10</v>
      </c>
      <c r="F260">
        <v>14256</v>
      </c>
    </row>
    <row r="261" spans="1:6" x14ac:dyDescent="0.25">
      <c r="A261" t="s">
        <v>473</v>
      </c>
      <c r="B261" t="s">
        <v>474</v>
      </c>
      <c r="C261" s="1">
        <v>44083</v>
      </c>
      <c r="D261" t="b">
        <v>1</v>
      </c>
      <c r="E261" t="s">
        <v>10</v>
      </c>
      <c r="F261">
        <v>219</v>
      </c>
    </row>
    <row r="262" spans="1:6" x14ac:dyDescent="0.25">
      <c r="A262" t="s">
        <v>475</v>
      </c>
      <c r="B262" t="s">
        <v>476</v>
      </c>
      <c r="C262" s="1">
        <v>44083</v>
      </c>
      <c r="D262" t="b">
        <v>1</v>
      </c>
      <c r="E262" t="s">
        <v>10</v>
      </c>
      <c r="F262">
        <v>3085</v>
      </c>
    </row>
    <row r="263" spans="1:6" x14ac:dyDescent="0.25">
      <c r="A263" t="s">
        <v>477</v>
      </c>
      <c r="B263" t="s">
        <v>478</v>
      </c>
      <c r="C263" s="1">
        <v>44083</v>
      </c>
      <c r="D263" t="b">
        <v>1</v>
      </c>
      <c r="E263" t="s">
        <v>10</v>
      </c>
      <c r="F263">
        <v>9721</v>
      </c>
    </row>
    <row r="264" spans="1:6" x14ac:dyDescent="0.25">
      <c r="A264" t="s">
        <v>479</v>
      </c>
      <c r="C264" s="1">
        <v>44083</v>
      </c>
      <c r="D264" t="b">
        <v>1</v>
      </c>
      <c r="E264" t="s">
        <v>10</v>
      </c>
      <c r="F264">
        <v>12830</v>
      </c>
    </row>
    <row r="265" spans="1:6" x14ac:dyDescent="0.25">
      <c r="A265" t="s">
        <v>480</v>
      </c>
      <c r="B265" t="s">
        <v>481</v>
      </c>
      <c r="C265" s="1">
        <v>44083</v>
      </c>
      <c r="D265" t="b">
        <v>1</v>
      </c>
      <c r="E265" t="s">
        <v>10</v>
      </c>
      <c r="F265">
        <v>220</v>
      </c>
    </row>
    <row r="266" spans="1:6" x14ac:dyDescent="0.25">
      <c r="A266" t="s">
        <v>482</v>
      </c>
      <c r="B266" t="s">
        <v>483</v>
      </c>
      <c r="C266" s="1">
        <v>44083</v>
      </c>
      <c r="D266" t="b">
        <v>1</v>
      </c>
      <c r="E266" t="s">
        <v>10</v>
      </c>
      <c r="F266">
        <v>8337</v>
      </c>
    </row>
    <row r="267" spans="1:6" x14ac:dyDescent="0.25">
      <c r="A267" t="s">
        <v>484</v>
      </c>
      <c r="B267" t="s">
        <v>485</v>
      </c>
      <c r="C267" s="1">
        <v>44083</v>
      </c>
      <c r="D267" t="b">
        <v>1</v>
      </c>
      <c r="E267" t="s">
        <v>10</v>
      </c>
      <c r="F267">
        <v>13082</v>
      </c>
    </row>
    <row r="268" spans="1:6" x14ac:dyDescent="0.25">
      <c r="A268" t="s">
        <v>486</v>
      </c>
      <c r="B268" t="s">
        <v>487</v>
      </c>
      <c r="C268" s="1">
        <v>44083</v>
      </c>
      <c r="D268" t="b">
        <v>1</v>
      </c>
      <c r="E268" t="s">
        <v>10</v>
      </c>
      <c r="F268">
        <v>8225</v>
      </c>
    </row>
    <row r="269" spans="1:6" x14ac:dyDescent="0.25">
      <c r="A269" t="s">
        <v>488</v>
      </c>
      <c r="B269" t="s">
        <v>489</v>
      </c>
      <c r="C269" s="1">
        <v>44083</v>
      </c>
      <c r="D269" t="b">
        <v>1</v>
      </c>
      <c r="E269" t="s">
        <v>10</v>
      </c>
      <c r="F269">
        <v>222</v>
      </c>
    </row>
    <row r="270" spans="1:6" x14ac:dyDescent="0.25">
      <c r="A270" t="s">
        <v>490</v>
      </c>
      <c r="B270" t="s">
        <v>491</v>
      </c>
      <c r="C270" s="1">
        <v>44083</v>
      </c>
      <c r="D270" t="b">
        <v>1</v>
      </c>
      <c r="E270" t="s">
        <v>10</v>
      </c>
      <c r="F270">
        <v>223</v>
      </c>
    </row>
    <row r="271" spans="1:6" x14ac:dyDescent="0.25">
      <c r="A271" t="s">
        <v>492</v>
      </c>
      <c r="B271" t="s">
        <v>493</v>
      </c>
      <c r="C271" s="1">
        <v>44083</v>
      </c>
      <c r="D271" t="b">
        <v>1</v>
      </c>
      <c r="E271" t="s">
        <v>10</v>
      </c>
      <c r="F271">
        <v>225</v>
      </c>
    </row>
    <row r="272" spans="1:6" x14ac:dyDescent="0.25">
      <c r="A272" t="s">
        <v>494</v>
      </c>
      <c r="B272" t="s">
        <v>495</v>
      </c>
      <c r="C272" s="1">
        <v>44083</v>
      </c>
      <c r="D272" t="b">
        <v>1</v>
      </c>
      <c r="E272" t="s">
        <v>10</v>
      </c>
      <c r="F272">
        <v>15829</v>
      </c>
    </row>
    <row r="273" spans="1:6" x14ac:dyDescent="0.25">
      <c r="A273" t="s">
        <v>496</v>
      </c>
      <c r="B273" t="s">
        <v>497</v>
      </c>
      <c r="C273" s="1">
        <v>44083</v>
      </c>
      <c r="D273" t="b">
        <v>1</v>
      </c>
      <c r="E273" t="s">
        <v>10</v>
      </c>
      <c r="F273">
        <v>12461</v>
      </c>
    </row>
    <row r="274" spans="1:6" x14ac:dyDescent="0.25">
      <c r="A274" t="s">
        <v>498</v>
      </c>
      <c r="B274" t="s">
        <v>499</v>
      </c>
      <c r="C274" s="1">
        <v>44083</v>
      </c>
      <c r="D274" t="b">
        <v>1</v>
      </c>
      <c r="E274" t="s">
        <v>10</v>
      </c>
      <c r="F274">
        <v>8249</v>
      </c>
    </row>
    <row r="275" spans="1:6" x14ac:dyDescent="0.25">
      <c r="A275" t="s">
        <v>500</v>
      </c>
      <c r="B275" t="s">
        <v>501</v>
      </c>
      <c r="C275" s="1">
        <v>44083</v>
      </c>
      <c r="D275" t="b">
        <v>1</v>
      </c>
      <c r="E275" t="s">
        <v>10</v>
      </c>
      <c r="F275">
        <v>17178</v>
      </c>
    </row>
    <row r="276" spans="1:6" x14ac:dyDescent="0.25">
      <c r="A276" t="s">
        <v>502</v>
      </c>
      <c r="B276" t="s">
        <v>503</v>
      </c>
      <c r="C276" s="1">
        <v>44083</v>
      </c>
      <c r="D276" t="b">
        <v>1</v>
      </c>
      <c r="E276" t="s">
        <v>10</v>
      </c>
      <c r="F276">
        <v>16792</v>
      </c>
    </row>
    <row r="277" spans="1:6" x14ac:dyDescent="0.25">
      <c r="A277" t="s">
        <v>504</v>
      </c>
      <c r="B277" t="s">
        <v>505</v>
      </c>
      <c r="C277" s="1">
        <v>44083</v>
      </c>
      <c r="D277" t="b">
        <v>1</v>
      </c>
      <c r="E277" t="s">
        <v>10</v>
      </c>
      <c r="F277">
        <v>228</v>
      </c>
    </row>
    <row r="278" spans="1:6" x14ac:dyDescent="0.25">
      <c r="A278" t="s">
        <v>506</v>
      </c>
      <c r="C278" s="1">
        <v>44083</v>
      </c>
      <c r="D278" t="b">
        <v>1</v>
      </c>
      <c r="E278" t="s">
        <v>10</v>
      </c>
      <c r="F278">
        <v>15495</v>
      </c>
    </row>
    <row r="279" spans="1:6" x14ac:dyDescent="0.25">
      <c r="A279" t="s">
        <v>507</v>
      </c>
      <c r="B279" t="s">
        <v>508</v>
      </c>
      <c r="C279" s="1">
        <v>44083</v>
      </c>
      <c r="D279" t="b">
        <v>1</v>
      </c>
      <c r="E279" t="s">
        <v>10</v>
      </c>
      <c r="F279">
        <v>15243</v>
      </c>
    </row>
    <row r="280" spans="1:6" x14ac:dyDescent="0.25">
      <c r="A280" t="s">
        <v>509</v>
      </c>
      <c r="B280" t="s">
        <v>510</v>
      </c>
      <c r="C280" s="1">
        <v>44083</v>
      </c>
      <c r="D280" t="b">
        <v>1</v>
      </c>
      <c r="E280" t="s">
        <v>10</v>
      </c>
      <c r="F280">
        <v>15244</v>
      </c>
    </row>
    <row r="281" spans="1:6" x14ac:dyDescent="0.25">
      <c r="A281" t="s">
        <v>511</v>
      </c>
      <c r="B281" t="s">
        <v>508</v>
      </c>
      <c r="C281" s="1">
        <v>44083</v>
      </c>
      <c r="D281" t="b">
        <v>1</v>
      </c>
      <c r="E281" t="s">
        <v>10</v>
      </c>
      <c r="F281">
        <v>15155</v>
      </c>
    </row>
    <row r="282" spans="1:6" x14ac:dyDescent="0.25">
      <c r="A282" t="s">
        <v>512</v>
      </c>
      <c r="C282" s="1">
        <v>44083</v>
      </c>
      <c r="D282" t="b">
        <v>1</v>
      </c>
      <c r="E282" t="s">
        <v>10</v>
      </c>
      <c r="F282">
        <v>15252</v>
      </c>
    </row>
    <row r="283" spans="1:6" x14ac:dyDescent="0.25">
      <c r="A283" t="s">
        <v>513</v>
      </c>
      <c r="B283" t="s">
        <v>514</v>
      </c>
      <c r="C283" s="1">
        <v>44083</v>
      </c>
      <c r="D283" t="b">
        <v>1</v>
      </c>
      <c r="E283" t="s">
        <v>10</v>
      </c>
      <c r="F283">
        <v>229</v>
      </c>
    </row>
    <row r="284" spans="1:6" x14ac:dyDescent="0.25">
      <c r="A284" t="s">
        <v>515</v>
      </c>
      <c r="B284" t="s">
        <v>516</v>
      </c>
      <c r="C284" s="1">
        <v>44083</v>
      </c>
      <c r="D284" t="b">
        <v>1</v>
      </c>
      <c r="E284" t="s">
        <v>10</v>
      </c>
      <c r="F284">
        <v>752</v>
      </c>
    </row>
    <row r="285" spans="1:6" x14ac:dyDescent="0.25">
      <c r="A285" t="s">
        <v>517</v>
      </c>
      <c r="B285" t="s">
        <v>518</v>
      </c>
      <c r="C285" s="1">
        <v>44083</v>
      </c>
      <c r="D285" t="b">
        <v>1</v>
      </c>
      <c r="E285" t="s">
        <v>10</v>
      </c>
      <c r="F285">
        <v>15550</v>
      </c>
    </row>
    <row r="286" spans="1:6" x14ac:dyDescent="0.25">
      <c r="A286" t="s">
        <v>519</v>
      </c>
      <c r="B286" t="s">
        <v>520</v>
      </c>
      <c r="C286" s="1">
        <v>44083</v>
      </c>
      <c r="D286" t="b">
        <v>1</v>
      </c>
      <c r="E286" t="s">
        <v>10</v>
      </c>
      <c r="F286">
        <v>230</v>
      </c>
    </row>
    <row r="287" spans="1:6" x14ac:dyDescent="0.25">
      <c r="A287" t="s">
        <v>521</v>
      </c>
      <c r="B287" t="s">
        <v>522</v>
      </c>
      <c r="C287" s="1">
        <v>44083</v>
      </c>
      <c r="D287" t="b">
        <v>1</v>
      </c>
      <c r="E287" t="s">
        <v>10</v>
      </c>
      <c r="F287">
        <v>8338</v>
      </c>
    </row>
    <row r="288" spans="1:6" x14ac:dyDescent="0.25">
      <c r="A288" t="s">
        <v>523</v>
      </c>
      <c r="B288" t="s">
        <v>524</v>
      </c>
      <c r="C288" s="1">
        <v>44083</v>
      </c>
      <c r="D288" t="b">
        <v>1</v>
      </c>
      <c r="E288" t="s">
        <v>10</v>
      </c>
      <c r="F288">
        <v>234</v>
      </c>
    </row>
    <row r="289" spans="1:6" x14ac:dyDescent="0.25">
      <c r="A289" t="s">
        <v>525</v>
      </c>
      <c r="B289" t="s">
        <v>526</v>
      </c>
      <c r="C289" s="1">
        <v>44083</v>
      </c>
      <c r="D289" t="b">
        <v>1</v>
      </c>
      <c r="E289" t="s">
        <v>10</v>
      </c>
      <c r="F289">
        <v>15365</v>
      </c>
    </row>
    <row r="290" spans="1:6" x14ac:dyDescent="0.25">
      <c r="A290" t="s">
        <v>527</v>
      </c>
      <c r="B290" t="s">
        <v>528</v>
      </c>
      <c r="C290" s="1">
        <v>44083</v>
      </c>
      <c r="D290" t="b">
        <v>1</v>
      </c>
      <c r="E290" t="s">
        <v>10</v>
      </c>
      <c r="F290">
        <v>13761</v>
      </c>
    </row>
    <row r="291" spans="1:6" x14ac:dyDescent="0.25">
      <c r="A291" t="s">
        <v>529</v>
      </c>
      <c r="B291" t="s">
        <v>530</v>
      </c>
      <c r="C291" s="1">
        <v>44083</v>
      </c>
      <c r="D291" t="b">
        <v>1</v>
      </c>
      <c r="E291" t="s">
        <v>10</v>
      </c>
      <c r="F291">
        <v>236</v>
      </c>
    </row>
    <row r="292" spans="1:6" x14ac:dyDescent="0.25">
      <c r="A292" t="s">
        <v>531</v>
      </c>
      <c r="B292" t="s">
        <v>532</v>
      </c>
      <c r="C292" s="1">
        <v>44083</v>
      </c>
      <c r="D292" t="b">
        <v>1</v>
      </c>
      <c r="E292" t="s">
        <v>10</v>
      </c>
      <c r="F292">
        <v>237</v>
      </c>
    </row>
    <row r="293" spans="1:6" x14ac:dyDescent="0.25">
      <c r="A293" t="s">
        <v>533</v>
      </c>
      <c r="B293" t="s">
        <v>534</v>
      </c>
      <c r="C293" s="1">
        <v>44083</v>
      </c>
      <c r="D293" t="b">
        <v>1</v>
      </c>
      <c r="E293" t="s">
        <v>10</v>
      </c>
      <c r="F293">
        <v>238</v>
      </c>
    </row>
    <row r="294" spans="1:6" x14ac:dyDescent="0.25">
      <c r="A294" t="s">
        <v>535</v>
      </c>
      <c r="B294" t="s">
        <v>536</v>
      </c>
      <c r="C294" s="1">
        <v>44083</v>
      </c>
      <c r="D294" t="b">
        <v>1</v>
      </c>
      <c r="E294" t="s">
        <v>10</v>
      </c>
      <c r="F294">
        <v>239</v>
      </c>
    </row>
    <row r="295" spans="1:6" x14ac:dyDescent="0.25">
      <c r="A295" t="s">
        <v>537</v>
      </c>
      <c r="B295" t="s">
        <v>538</v>
      </c>
      <c r="C295" s="1">
        <v>44083</v>
      </c>
      <c r="D295" t="b">
        <v>1</v>
      </c>
      <c r="E295" t="s">
        <v>10</v>
      </c>
      <c r="F295">
        <v>240</v>
      </c>
    </row>
    <row r="296" spans="1:6" x14ac:dyDescent="0.25">
      <c r="A296" t="s">
        <v>539</v>
      </c>
      <c r="C296" s="1">
        <v>44083</v>
      </c>
      <c r="D296" t="b">
        <v>1</v>
      </c>
      <c r="E296" t="s">
        <v>10</v>
      </c>
      <c r="F296">
        <v>14643</v>
      </c>
    </row>
    <row r="297" spans="1:6" x14ac:dyDescent="0.25">
      <c r="A297" t="s">
        <v>540</v>
      </c>
      <c r="C297" s="1">
        <v>44083</v>
      </c>
      <c r="D297" t="b">
        <v>1</v>
      </c>
      <c r="E297" t="s">
        <v>10</v>
      </c>
      <c r="F297">
        <v>14644</v>
      </c>
    </row>
    <row r="298" spans="1:6" x14ac:dyDescent="0.25">
      <c r="A298" t="s">
        <v>541</v>
      </c>
      <c r="C298" s="1">
        <v>44083</v>
      </c>
      <c r="D298" t="b">
        <v>1</v>
      </c>
      <c r="E298" t="s">
        <v>10</v>
      </c>
      <c r="F298">
        <v>14645</v>
      </c>
    </row>
    <row r="299" spans="1:6" x14ac:dyDescent="0.25">
      <c r="A299" t="s">
        <v>542</v>
      </c>
      <c r="B299" t="s">
        <v>543</v>
      </c>
      <c r="C299" s="1">
        <v>44083</v>
      </c>
      <c r="D299" t="b">
        <v>1</v>
      </c>
      <c r="E299" t="s">
        <v>10</v>
      </c>
      <c r="F299">
        <v>11361</v>
      </c>
    </row>
    <row r="300" spans="1:6" x14ac:dyDescent="0.25">
      <c r="A300" t="s">
        <v>544</v>
      </c>
      <c r="B300" t="s">
        <v>545</v>
      </c>
      <c r="C300" s="1">
        <v>44083</v>
      </c>
      <c r="D300" t="b">
        <v>1</v>
      </c>
      <c r="E300" t="s">
        <v>10</v>
      </c>
      <c r="F300">
        <v>242</v>
      </c>
    </row>
    <row r="301" spans="1:6" x14ac:dyDescent="0.25">
      <c r="A301" t="s">
        <v>546</v>
      </c>
      <c r="B301" t="s">
        <v>548</v>
      </c>
      <c r="C301" s="1">
        <v>44083</v>
      </c>
      <c r="D301" t="b">
        <v>1</v>
      </c>
      <c r="E301" t="s">
        <v>10</v>
      </c>
      <c r="F301">
        <v>243</v>
      </c>
    </row>
    <row r="302" spans="1:6" x14ac:dyDescent="0.25">
      <c r="A302" t="s">
        <v>549</v>
      </c>
      <c r="B302" t="s">
        <v>550</v>
      </c>
      <c r="C302" s="1">
        <v>44083</v>
      </c>
      <c r="D302" t="b">
        <v>1</v>
      </c>
      <c r="E302" t="s">
        <v>10</v>
      </c>
      <c r="F302">
        <v>244</v>
      </c>
    </row>
    <row r="303" spans="1:6" x14ac:dyDescent="0.25">
      <c r="A303" t="s">
        <v>551</v>
      </c>
      <c r="C303" s="1">
        <v>44083</v>
      </c>
      <c r="D303" t="b">
        <v>1</v>
      </c>
      <c r="E303" t="s">
        <v>10</v>
      </c>
      <c r="F303">
        <v>246</v>
      </c>
    </row>
    <row r="304" spans="1:6" x14ac:dyDescent="0.25">
      <c r="A304" t="s">
        <v>552</v>
      </c>
      <c r="C304" s="1">
        <v>44083</v>
      </c>
      <c r="D304" t="b">
        <v>1</v>
      </c>
      <c r="E304" t="s">
        <v>10</v>
      </c>
      <c r="F304">
        <v>14338</v>
      </c>
    </row>
    <row r="305" spans="1:6" x14ac:dyDescent="0.25">
      <c r="A305" t="s">
        <v>553</v>
      </c>
      <c r="C305" s="1">
        <v>44083</v>
      </c>
      <c r="D305" t="b">
        <v>1</v>
      </c>
      <c r="E305" t="s">
        <v>10</v>
      </c>
      <c r="F305">
        <v>15996</v>
      </c>
    </row>
    <row r="306" spans="1:6" x14ac:dyDescent="0.25">
      <c r="A306" t="s">
        <v>554</v>
      </c>
      <c r="C306" s="1">
        <v>44083</v>
      </c>
      <c r="D306" t="b">
        <v>1</v>
      </c>
      <c r="E306" t="s">
        <v>10</v>
      </c>
      <c r="F306">
        <v>16293</v>
      </c>
    </row>
    <row r="307" spans="1:6" x14ac:dyDescent="0.25">
      <c r="A307" t="s">
        <v>555</v>
      </c>
      <c r="B307" t="s">
        <v>556</v>
      </c>
      <c r="C307" s="1">
        <v>44083</v>
      </c>
      <c r="D307" t="b">
        <v>1</v>
      </c>
      <c r="E307" t="s">
        <v>10</v>
      </c>
      <c r="F307">
        <v>8103</v>
      </c>
    </row>
    <row r="308" spans="1:6" x14ac:dyDescent="0.25">
      <c r="A308" t="s">
        <v>557</v>
      </c>
      <c r="B308" t="s">
        <v>558</v>
      </c>
      <c r="C308" s="1">
        <v>44083</v>
      </c>
      <c r="D308" t="b">
        <v>1</v>
      </c>
      <c r="E308" t="s">
        <v>10</v>
      </c>
      <c r="F308">
        <v>14771</v>
      </c>
    </row>
    <row r="309" spans="1:6" x14ac:dyDescent="0.25">
      <c r="A309" t="s">
        <v>559</v>
      </c>
      <c r="B309" t="s">
        <v>560</v>
      </c>
      <c r="C309" s="1">
        <v>44083</v>
      </c>
      <c r="D309" t="b">
        <v>1</v>
      </c>
      <c r="E309" t="s">
        <v>10</v>
      </c>
      <c r="F309">
        <v>15031</v>
      </c>
    </row>
    <row r="310" spans="1:6" x14ac:dyDescent="0.25">
      <c r="A310" t="s">
        <v>561</v>
      </c>
      <c r="B310" t="s">
        <v>562</v>
      </c>
      <c r="C310" s="1">
        <v>44083</v>
      </c>
      <c r="D310" t="b">
        <v>1</v>
      </c>
      <c r="E310" t="s">
        <v>10</v>
      </c>
      <c r="F310">
        <v>248</v>
      </c>
    </row>
    <row r="311" spans="1:6" x14ac:dyDescent="0.25">
      <c r="A311" t="s">
        <v>563</v>
      </c>
      <c r="B311" t="s">
        <v>564</v>
      </c>
      <c r="C311" s="1">
        <v>44083</v>
      </c>
      <c r="D311" t="b">
        <v>1</v>
      </c>
      <c r="E311" t="s">
        <v>10</v>
      </c>
      <c r="F311">
        <v>249</v>
      </c>
    </row>
    <row r="312" spans="1:6" x14ac:dyDescent="0.25">
      <c r="A312" t="s">
        <v>565</v>
      </c>
      <c r="C312" s="1">
        <v>44083</v>
      </c>
      <c r="D312" t="b">
        <v>1</v>
      </c>
      <c r="E312" t="s">
        <v>10</v>
      </c>
      <c r="F312">
        <v>250</v>
      </c>
    </row>
    <row r="313" spans="1:6" x14ac:dyDescent="0.25">
      <c r="A313" t="s">
        <v>566</v>
      </c>
      <c r="B313" t="s">
        <v>567</v>
      </c>
      <c r="C313" s="1">
        <v>44083</v>
      </c>
      <c r="D313" t="b">
        <v>1</v>
      </c>
      <c r="E313" t="s">
        <v>10</v>
      </c>
      <c r="F313">
        <v>13516</v>
      </c>
    </row>
    <row r="314" spans="1:6" x14ac:dyDescent="0.25">
      <c r="A314" t="s">
        <v>568</v>
      </c>
      <c r="B314" t="s">
        <v>569</v>
      </c>
      <c r="C314" s="1">
        <v>44083</v>
      </c>
      <c r="D314" t="b">
        <v>1</v>
      </c>
      <c r="E314" t="s">
        <v>10</v>
      </c>
      <c r="F314">
        <v>253</v>
      </c>
    </row>
    <row r="315" spans="1:6" x14ac:dyDescent="0.25">
      <c r="A315" t="s">
        <v>570</v>
      </c>
      <c r="B315" t="s">
        <v>571</v>
      </c>
      <c r="C315" s="1">
        <v>44083</v>
      </c>
      <c r="D315" t="b">
        <v>1</v>
      </c>
      <c r="E315" t="s">
        <v>10</v>
      </c>
      <c r="F315">
        <v>255</v>
      </c>
    </row>
    <row r="316" spans="1:6" x14ac:dyDescent="0.25">
      <c r="A316" t="s">
        <v>572</v>
      </c>
      <c r="C316" s="1">
        <v>44083</v>
      </c>
      <c r="D316" t="b">
        <v>1</v>
      </c>
      <c r="E316" t="s">
        <v>10</v>
      </c>
      <c r="F316">
        <v>13373</v>
      </c>
    </row>
    <row r="317" spans="1:6" x14ac:dyDescent="0.25">
      <c r="A317" t="s">
        <v>573</v>
      </c>
      <c r="B317" t="s">
        <v>574</v>
      </c>
      <c r="C317" s="1">
        <v>44083</v>
      </c>
      <c r="D317" t="b">
        <v>1</v>
      </c>
      <c r="E317" t="s">
        <v>10</v>
      </c>
      <c r="F317">
        <v>9991</v>
      </c>
    </row>
    <row r="318" spans="1:6" x14ac:dyDescent="0.25">
      <c r="A318" t="s">
        <v>575</v>
      </c>
      <c r="B318" t="s">
        <v>576</v>
      </c>
      <c r="C318" s="1">
        <v>44083</v>
      </c>
      <c r="D318" t="b">
        <v>1</v>
      </c>
      <c r="E318" t="s">
        <v>10</v>
      </c>
      <c r="F318">
        <v>10122</v>
      </c>
    </row>
    <row r="319" spans="1:6" x14ac:dyDescent="0.25">
      <c r="A319" t="s">
        <v>577</v>
      </c>
      <c r="B319" t="s">
        <v>578</v>
      </c>
      <c r="C319" s="1">
        <v>44083</v>
      </c>
      <c r="D319" t="b">
        <v>1</v>
      </c>
      <c r="E319" t="s">
        <v>10</v>
      </c>
      <c r="F319">
        <v>13041</v>
      </c>
    </row>
    <row r="320" spans="1:6" x14ac:dyDescent="0.25">
      <c r="A320" t="s">
        <v>579</v>
      </c>
      <c r="B320" t="s">
        <v>580</v>
      </c>
      <c r="C320" s="1">
        <v>44083</v>
      </c>
      <c r="D320" t="b">
        <v>1</v>
      </c>
      <c r="E320" t="s">
        <v>10</v>
      </c>
      <c r="F320">
        <v>16072</v>
      </c>
    </row>
    <row r="321" spans="1:6" x14ac:dyDescent="0.25">
      <c r="A321" t="s">
        <v>581</v>
      </c>
      <c r="B321" t="s">
        <v>582</v>
      </c>
      <c r="C321" s="1">
        <v>44083</v>
      </c>
      <c r="D321" t="b">
        <v>1</v>
      </c>
      <c r="E321" t="s">
        <v>10</v>
      </c>
      <c r="F321">
        <v>261</v>
      </c>
    </row>
    <row r="322" spans="1:6" x14ac:dyDescent="0.25">
      <c r="A322" t="s">
        <v>583</v>
      </c>
      <c r="B322" t="s">
        <v>584</v>
      </c>
      <c r="C322" s="1">
        <v>44083</v>
      </c>
      <c r="D322" t="b">
        <v>1</v>
      </c>
      <c r="E322" t="s">
        <v>10</v>
      </c>
      <c r="F322">
        <v>262</v>
      </c>
    </row>
    <row r="323" spans="1:6" x14ac:dyDescent="0.25">
      <c r="A323" t="s">
        <v>585</v>
      </c>
      <c r="B323" t="s">
        <v>586</v>
      </c>
      <c r="C323" s="1">
        <v>44083</v>
      </c>
      <c r="D323" t="b">
        <v>1</v>
      </c>
      <c r="E323" t="s">
        <v>10</v>
      </c>
      <c r="F323">
        <v>5433</v>
      </c>
    </row>
    <row r="324" spans="1:6" x14ac:dyDescent="0.25">
      <c r="A324" t="s">
        <v>587</v>
      </c>
      <c r="B324" t="s">
        <v>588</v>
      </c>
      <c r="C324" s="1">
        <v>44083</v>
      </c>
      <c r="D324" t="b">
        <v>1</v>
      </c>
      <c r="E324" t="s">
        <v>10</v>
      </c>
      <c r="F324">
        <v>9932</v>
      </c>
    </row>
    <row r="325" spans="1:6" x14ac:dyDescent="0.25">
      <c r="A325" t="s">
        <v>589</v>
      </c>
      <c r="B325" t="s">
        <v>590</v>
      </c>
      <c r="C325" s="1">
        <v>44083</v>
      </c>
      <c r="D325" t="b">
        <v>1</v>
      </c>
      <c r="E325" t="s">
        <v>10</v>
      </c>
      <c r="F325">
        <v>15656</v>
      </c>
    </row>
    <row r="326" spans="1:6" x14ac:dyDescent="0.25">
      <c r="A326" t="s">
        <v>591</v>
      </c>
      <c r="C326" s="1">
        <v>44083</v>
      </c>
      <c r="D326" t="b">
        <v>1</v>
      </c>
      <c r="E326" t="s">
        <v>10</v>
      </c>
      <c r="F326">
        <v>15666</v>
      </c>
    </row>
    <row r="327" spans="1:6" x14ac:dyDescent="0.25">
      <c r="A327" t="s">
        <v>592</v>
      </c>
      <c r="B327" t="s">
        <v>593</v>
      </c>
      <c r="C327" s="1">
        <v>44083</v>
      </c>
      <c r="D327" t="b">
        <v>1</v>
      </c>
      <c r="E327" t="s">
        <v>10</v>
      </c>
      <c r="F327">
        <v>16876</v>
      </c>
    </row>
    <row r="328" spans="1:6" x14ac:dyDescent="0.25">
      <c r="A328" t="s">
        <v>594</v>
      </c>
      <c r="B328" t="s">
        <v>595</v>
      </c>
      <c r="C328" s="1">
        <v>44083</v>
      </c>
      <c r="D328" t="b">
        <v>1</v>
      </c>
      <c r="E328" t="s">
        <v>10</v>
      </c>
      <c r="F328">
        <v>12823</v>
      </c>
    </row>
    <row r="329" spans="1:6" x14ac:dyDescent="0.25">
      <c r="A329" t="s">
        <v>596</v>
      </c>
      <c r="B329" t="s">
        <v>597</v>
      </c>
      <c r="C329" s="1">
        <v>44083</v>
      </c>
      <c r="D329" t="b">
        <v>1</v>
      </c>
      <c r="E329" t="s">
        <v>10</v>
      </c>
      <c r="F329">
        <v>13622</v>
      </c>
    </row>
    <row r="330" spans="1:6" x14ac:dyDescent="0.25">
      <c r="A330" t="s">
        <v>598</v>
      </c>
      <c r="B330" t="s">
        <v>599</v>
      </c>
      <c r="C330" s="1">
        <v>44083</v>
      </c>
      <c r="D330" t="b">
        <v>1</v>
      </c>
      <c r="E330" t="s">
        <v>10</v>
      </c>
      <c r="F330">
        <v>9353</v>
      </c>
    </row>
    <row r="331" spans="1:6" x14ac:dyDescent="0.25">
      <c r="A331" t="s">
        <v>600</v>
      </c>
      <c r="B331" t="s">
        <v>601</v>
      </c>
      <c r="C331" s="1">
        <v>44083</v>
      </c>
      <c r="D331" t="b">
        <v>1</v>
      </c>
      <c r="E331" t="s">
        <v>10</v>
      </c>
      <c r="F331">
        <v>10294</v>
      </c>
    </row>
    <row r="332" spans="1:6" x14ac:dyDescent="0.25">
      <c r="A332" t="s">
        <v>602</v>
      </c>
      <c r="B332" t="s">
        <v>603</v>
      </c>
      <c r="C332" s="1">
        <v>44083</v>
      </c>
      <c r="D332" t="b">
        <v>1</v>
      </c>
      <c r="E332" t="s">
        <v>10</v>
      </c>
      <c r="F332">
        <v>16443</v>
      </c>
    </row>
    <row r="333" spans="1:6" x14ac:dyDescent="0.25">
      <c r="A333" t="s">
        <v>604</v>
      </c>
      <c r="C333" s="1">
        <v>44083</v>
      </c>
      <c r="D333" t="b">
        <v>1</v>
      </c>
      <c r="E333" t="s">
        <v>10</v>
      </c>
      <c r="F333">
        <v>16451</v>
      </c>
    </row>
    <row r="334" spans="1:6" x14ac:dyDescent="0.25">
      <c r="A334" t="s">
        <v>605</v>
      </c>
      <c r="B334" t="s">
        <v>606</v>
      </c>
      <c r="C334" s="1">
        <v>44083</v>
      </c>
      <c r="D334" t="b">
        <v>1</v>
      </c>
      <c r="E334" t="s">
        <v>10</v>
      </c>
      <c r="F334">
        <v>16255</v>
      </c>
    </row>
    <row r="335" spans="1:6" x14ac:dyDescent="0.25">
      <c r="A335" t="s">
        <v>607</v>
      </c>
      <c r="B335" t="s">
        <v>608</v>
      </c>
      <c r="C335" s="1">
        <v>44083</v>
      </c>
      <c r="D335" t="b">
        <v>1</v>
      </c>
      <c r="E335" t="s">
        <v>10</v>
      </c>
      <c r="F335">
        <v>268</v>
      </c>
    </row>
    <row r="336" spans="1:6" x14ac:dyDescent="0.25">
      <c r="A336" t="s">
        <v>609</v>
      </c>
      <c r="B336" t="s">
        <v>610</v>
      </c>
      <c r="C336" s="1">
        <v>44083</v>
      </c>
      <c r="D336" t="b">
        <v>1</v>
      </c>
      <c r="E336" t="s">
        <v>10</v>
      </c>
      <c r="F336">
        <v>16942</v>
      </c>
    </row>
    <row r="337" spans="1:6" x14ac:dyDescent="0.25">
      <c r="A337" t="s">
        <v>611</v>
      </c>
      <c r="B337" t="s">
        <v>612</v>
      </c>
      <c r="C337" s="1">
        <v>44083</v>
      </c>
      <c r="D337" t="b">
        <v>1</v>
      </c>
      <c r="E337" t="s">
        <v>10</v>
      </c>
      <c r="F337">
        <v>270</v>
      </c>
    </row>
    <row r="338" spans="1:6" x14ac:dyDescent="0.25">
      <c r="A338" t="s">
        <v>613</v>
      </c>
      <c r="B338" t="s">
        <v>614</v>
      </c>
      <c r="C338" s="1">
        <v>44083</v>
      </c>
      <c r="D338" t="b">
        <v>1</v>
      </c>
      <c r="E338" t="s">
        <v>10</v>
      </c>
      <c r="F338">
        <v>272</v>
      </c>
    </row>
    <row r="339" spans="1:6" x14ac:dyDescent="0.25">
      <c r="A339" t="s">
        <v>615</v>
      </c>
      <c r="B339" t="s">
        <v>616</v>
      </c>
      <c r="C339" s="1">
        <v>44083</v>
      </c>
      <c r="D339" t="b">
        <v>1</v>
      </c>
      <c r="E339" t="s">
        <v>10</v>
      </c>
      <c r="F339">
        <v>16892</v>
      </c>
    </row>
    <row r="340" spans="1:6" x14ac:dyDescent="0.25">
      <c r="A340" t="s">
        <v>617</v>
      </c>
      <c r="B340" t="s">
        <v>618</v>
      </c>
      <c r="C340" s="1">
        <v>44083</v>
      </c>
      <c r="D340" t="b">
        <v>1</v>
      </c>
      <c r="E340" t="s">
        <v>10</v>
      </c>
      <c r="F340">
        <v>15197</v>
      </c>
    </row>
    <row r="341" spans="1:6" x14ac:dyDescent="0.25">
      <c r="A341" t="s">
        <v>619</v>
      </c>
      <c r="B341" t="s">
        <v>620</v>
      </c>
      <c r="C341" s="1">
        <v>44083</v>
      </c>
      <c r="D341" t="b">
        <v>1</v>
      </c>
      <c r="E341" t="s">
        <v>10</v>
      </c>
      <c r="F341">
        <v>12806</v>
      </c>
    </row>
    <row r="342" spans="1:6" x14ac:dyDescent="0.25">
      <c r="A342" t="s">
        <v>621</v>
      </c>
      <c r="B342" t="s">
        <v>622</v>
      </c>
      <c r="C342" s="1">
        <v>44083</v>
      </c>
      <c r="D342" t="b">
        <v>1</v>
      </c>
      <c r="E342" t="s">
        <v>10</v>
      </c>
      <c r="F342">
        <v>274</v>
      </c>
    </row>
    <row r="343" spans="1:6" x14ac:dyDescent="0.25">
      <c r="A343" t="s">
        <v>623</v>
      </c>
      <c r="B343" t="s">
        <v>624</v>
      </c>
      <c r="C343" s="1">
        <v>44083</v>
      </c>
      <c r="D343" t="b">
        <v>1</v>
      </c>
      <c r="E343" t="s">
        <v>10</v>
      </c>
      <c r="F343">
        <v>14911</v>
      </c>
    </row>
    <row r="344" spans="1:6" x14ac:dyDescent="0.25">
      <c r="A344" t="s">
        <v>625</v>
      </c>
      <c r="B344" t="s">
        <v>626</v>
      </c>
      <c r="C344" s="1">
        <v>44083</v>
      </c>
      <c r="D344" t="b">
        <v>1</v>
      </c>
      <c r="E344" t="s">
        <v>10</v>
      </c>
      <c r="F344">
        <v>276</v>
      </c>
    </row>
    <row r="345" spans="1:6" x14ac:dyDescent="0.25">
      <c r="A345" t="s">
        <v>627</v>
      </c>
      <c r="B345" t="s">
        <v>628</v>
      </c>
      <c r="C345" s="1">
        <v>44083</v>
      </c>
      <c r="D345" t="b">
        <v>1</v>
      </c>
      <c r="E345" t="s">
        <v>10</v>
      </c>
      <c r="F345">
        <v>277</v>
      </c>
    </row>
    <row r="346" spans="1:6" x14ac:dyDescent="0.25">
      <c r="A346" t="s">
        <v>629</v>
      </c>
      <c r="B346" t="s">
        <v>630</v>
      </c>
      <c r="C346" s="1">
        <v>44083</v>
      </c>
      <c r="D346" t="b">
        <v>1</v>
      </c>
      <c r="E346" t="s">
        <v>10</v>
      </c>
      <c r="F346">
        <v>278</v>
      </c>
    </row>
    <row r="347" spans="1:6" x14ac:dyDescent="0.25">
      <c r="A347" t="s">
        <v>631</v>
      </c>
      <c r="C347" s="1">
        <v>44083</v>
      </c>
      <c r="D347" t="b">
        <v>1</v>
      </c>
      <c r="E347" t="s">
        <v>10</v>
      </c>
      <c r="F347">
        <v>7913</v>
      </c>
    </row>
    <row r="348" spans="1:6" x14ac:dyDescent="0.25">
      <c r="A348" t="s">
        <v>632</v>
      </c>
      <c r="B348" t="s">
        <v>633</v>
      </c>
      <c r="C348" s="1">
        <v>44083</v>
      </c>
      <c r="D348" t="b">
        <v>1</v>
      </c>
      <c r="E348" t="s">
        <v>10</v>
      </c>
      <c r="F348">
        <v>280</v>
      </c>
    </row>
    <row r="349" spans="1:6" x14ac:dyDescent="0.25">
      <c r="A349" t="s">
        <v>634</v>
      </c>
      <c r="B349" t="s">
        <v>635</v>
      </c>
      <c r="C349" s="1">
        <v>44083</v>
      </c>
      <c r="D349" t="b">
        <v>1</v>
      </c>
      <c r="E349" t="s">
        <v>10</v>
      </c>
      <c r="F349">
        <v>7817</v>
      </c>
    </row>
    <row r="350" spans="1:6" x14ac:dyDescent="0.25">
      <c r="A350" t="s">
        <v>636</v>
      </c>
      <c r="B350" t="s">
        <v>637</v>
      </c>
      <c r="C350" s="1">
        <v>44083</v>
      </c>
      <c r="D350" t="b">
        <v>1</v>
      </c>
      <c r="E350" t="s">
        <v>10</v>
      </c>
      <c r="F350">
        <v>13234</v>
      </c>
    </row>
    <row r="351" spans="1:6" x14ac:dyDescent="0.25">
      <c r="A351" t="s">
        <v>638</v>
      </c>
      <c r="B351" t="s">
        <v>639</v>
      </c>
      <c r="C351" s="1">
        <v>44083</v>
      </c>
      <c r="D351" t="b">
        <v>1</v>
      </c>
      <c r="E351" t="s">
        <v>10</v>
      </c>
      <c r="F351">
        <v>15181</v>
      </c>
    </row>
    <row r="352" spans="1:6" x14ac:dyDescent="0.25">
      <c r="A352" t="s">
        <v>640</v>
      </c>
      <c r="B352" t="s">
        <v>641</v>
      </c>
      <c r="C352" s="1">
        <v>44083</v>
      </c>
      <c r="D352" t="b">
        <v>1</v>
      </c>
      <c r="E352" t="s">
        <v>10</v>
      </c>
      <c r="F352">
        <v>15176</v>
      </c>
    </row>
    <row r="353" spans="1:6" x14ac:dyDescent="0.25">
      <c r="A353" t="s">
        <v>642</v>
      </c>
      <c r="C353" s="1">
        <v>44083</v>
      </c>
      <c r="D353" t="b">
        <v>1</v>
      </c>
      <c r="E353" t="s">
        <v>10</v>
      </c>
      <c r="F353">
        <v>15337</v>
      </c>
    </row>
    <row r="354" spans="1:6" x14ac:dyDescent="0.25">
      <c r="A354" t="s">
        <v>643</v>
      </c>
      <c r="B354" t="s">
        <v>644</v>
      </c>
      <c r="C354" s="1">
        <v>44083</v>
      </c>
      <c r="D354" t="b">
        <v>1</v>
      </c>
      <c r="E354" t="s">
        <v>10</v>
      </c>
      <c r="F354">
        <v>15685</v>
      </c>
    </row>
    <row r="355" spans="1:6" x14ac:dyDescent="0.25">
      <c r="A355" t="s">
        <v>645</v>
      </c>
      <c r="B355" t="s">
        <v>646</v>
      </c>
      <c r="C355" s="1">
        <v>44083</v>
      </c>
      <c r="D355" t="b">
        <v>1</v>
      </c>
      <c r="E355" t="s">
        <v>10</v>
      </c>
      <c r="F355">
        <v>286</v>
      </c>
    </row>
    <row r="356" spans="1:6" x14ac:dyDescent="0.25">
      <c r="A356" t="s">
        <v>647</v>
      </c>
      <c r="B356" t="s">
        <v>648</v>
      </c>
      <c r="C356" s="1">
        <v>44083</v>
      </c>
      <c r="D356" t="b">
        <v>1</v>
      </c>
      <c r="E356" t="s">
        <v>10</v>
      </c>
      <c r="F356">
        <v>287</v>
      </c>
    </row>
    <row r="357" spans="1:6" x14ac:dyDescent="0.25">
      <c r="A357" t="s">
        <v>649</v>
      </c>
      <c r="B357" t="s">
        <v>650</v>
      </c>
      <c r="C357" s="1">
        <v>44083</v>
      </c>
      <c r="D357" t="b">
        <v>1</v>
      </c>
      <c r="E357" t="s">
        <v>10</v>
      </c>
      <c r="F357">
        <v>288</v>
      </c>
    </row>
    <row r="358" spans="1:6" x14ac:dyDescent="0.25">
      <c r="A358" t="s">
        <v>651</v>
      </c>
      <c r="B358" t="s">
        <v>652</v>
      </c>
      <c r="C358" s="1">
        <v>44083</v>
      </c>
      <c r="D358" t="b">
        <v>1</v>
      </c>
      <c r="E358" t="s">
        <v>10</v>
      </c>
      <c r="F358">
        <v>289</v>
      </c>
    </row>
    <row r="359" spans="1:6" x14ac:dyDescent="0.25">
      <c r="A359" t="s">
        <v>653</v>
      </c>
      <c r="B359" t="s">
        <v>654</v>
      </c>
      <c r="C359" s="1">
        <v>44083</v>
      </c>
      <c r="D359" t="b">
        <v>1</v>
      </c>
      <c r="E359" t="s">
        <v>10</v>
      </c>
      <c r="F359">
        <v>10065</v>
      </c>
    </row>
    <row r="360" spans="1:6" x14ac:dyDescent="0.25">
      <c r="A360" t="s">
        <v>655</v>
      </c>
      <c r="B360" t="s">
        <v>656</v>
      </c>
      <c r="C360" s="1">
        <v>44083</v>
      </c>
      <c r="D360" t="b">
        <v>1</v>
      </c>
      <c r="E360" t="s">
        <v>10</v>
      </c>
      <c r="F360">
        <v>290</v>
      </c>
    </row>
    <row r="361" spans="1:6" x14ac:dyDescent="0.25">
      <c r="A361" t="s">
        <v>657</v>
      </c>
      <c r="B361" t="s">
        <v>658</v>
      </c>
      <c r="C361" s="1">
        <v>44083</v>
      </c>
      <c r="D361" t="b">
        <v>1</v>
      </c>
      <c r="E361" t="s">
        <v>10</v>
      </c>
      <c r="F361">
        <v>291</v>
      </c>
    </row>
    <row r="362" spans="1:6" x14ac:dyDescent="0.25">
      <c r="A362" t="s">
        <v>659</v>
      </c>
      <c r="B362" t="s">
        <v>660</v>
      </c>
      <c r="C362" s="1">
        <v>44083</v>
      </c>
      <c r="D362" t="b">
        <v>1</v>
      </c>
      <c r="E362" t="s">
        <v>10</v>
      </c>
      <c r="F362">
        <v>292</v>
      </c>
    </row>
    <row r="363" spans="1:6" x14ac:dyDescent="0.25">
      <c r="A363" t="s">
        <v>661</v>
      </c>
      <c r="C363" s="1">
        <v>44083</v>
      </c>
      <c r="D363" t="b">
        <v>1</v>
      </c>
      <c r="E363" t="s">
        <v>10</v>
      </c>
      <c r="F363">
        <v>11410</v>
      </c>
    </row>
    <row r="364" spans="1:6" x14ac:dyDescent="0.25">
      <c r="A364" t="s">
        <v>662</v>
      </c>
      <c r="C364" s="1">
        <v>44083</v>
      </c>
      <c r="D364" t="b">
        <v>1</v>
      </c>
      <c r="E364" t="s">
        <v>10</v>
      </c>
      <c r="F364">
        <v>11558</v>
      </c>
    </row>
    <row r="365" spans="1:6" x14ac:dyDescent="0.25">
      <c r="A365" t="s">
        <v>663</v>
      </c>
      <c r="C365" s="1">
        <v>44083</v>
      </c>
      <c r="D365" t="b">
        <v>1</v>
      </c>
      <c r="E365" t="s">
        <v>10</v>
      </c>
      <c r="F365">
        <v>12831</v>
      </c>
    </row>
    <row r="366" spans="1:6" x14ac:dyDescent="0.25">
      <c r="A366" t="s">
        <v>664</v>
      </c>
      <c r="C366" s="1">
        <v>44083</v>
      </c>
      <c r="D366" t="b">
        <v>1</v>
      </c>
      <c r="E366" t="s">
        <v>10</v>
      </c>
      <c r="F366">
        <v>13160</v>
      </c>
    </row>
    <row r="367" spans="1:6" x14ac:dyDescent="0.25">
      <c r="A367" t="s">
        <v>665</v>
      </c>
      <c r="C367" s="1">
        <v>44083</v>
      </c>
      <c r="D367" t="b">
        <v>1</v>
      </c>
      <c r="E367" t="s">
        <v>10</v>
      </c>
      <c r="F367">
        <v>15069</v>
      </c>
    </row>
    <row r="368" spans="1:6" x14ac:dyDescent="0.25">
      <c r="A368" t="s">
        <v>666</v>
      </c>
      <c r="B368" t="s">
        <v>667</v>
      </c>
      <c r="C368" s="1">
        <v>44083</v>
      </c>
      <c r="D368" t="b">
        <v>1</v>
      </c>
      <c r="E368" t="s">
        <v>10</v>
      </c>
      <c r="F368">
        <v>16445</v>
      </c>
    </row>
    <row r="369" spans="1:6" x14ac:dyDescent="0.25">
      <c r="A369" t="s">
        <v>668</v>
      </c>
      <c r="B369" t="s">
        <v>669</v>
      </c>
      <c r="C369" s="1">
        <v>44083</v>
      </c>
      <c r="D369" t="b">
        <v>1</v>
      </c>
      <c r="E369" t="s">
        <v>10</v>
      </c>
      <c r="F369">
        <v>16227</v>
      </c>
    </row>
    <row r="370" spans="1:6" x14ac:dyDescent="0.25">
      <c r="A370" t="s">
        <v>670</v>
      </c>
      <c r="C370" s="1">
        <v>44083</v>
      </c>
      <c r="D370" t="b">
        <v>1</v>
      </c>
      <c r="E370" t="s">
        <v>10</v>
      </c>
      <c r="F370">
        <v>16452</v>
      </c>
    </row>
    <row r="371" spans="1:6" x14ac:dyDescent="0.25">
      <c r="A371" t="s">
        <v>671</v>
      </c>
      <c r="B371" t="s">
        <v>672</v>
      </c>
      <c r="C371" s="1">
        <v>44083</v>
      </c>
      <c r="D371" t="b">
        <v>1</v>
      </c>
      <c r="E371" t="s">
        <v>10</v>
      </c>
      <c r="F371">
        <v>295</v>
      </c>
    </row>
    <row r="372" spans="1:6" x14ac:dyDescent="0.25">
      <c r="A372" t="s">
        <v>673</v>
      </c>
      <c r="B372" t="s">
        <v>674</v>
      </c>
      <c r="C372" s="1">
        <v>44083</v>
      </c>
      <c r="D372" t="b">
        <v>1</v>
      </c>
      <c r="E372" t="s">
        <v>10</v>
      </c>
      <c r="F372">
        <v>15870</v>
      </c>
    </row>
    <row r="373" spans="1:6" x14ac:dyDescent="0.25">
      <c r="A373" t="s">
        <v>675</v>
      </c>
      <c r="B373" t="s">
        <v>676</v>
      </c>
      <c r="C373" s="1">
        <v>44083</v>
      </c>
      <c r="D373" t="b">
        <v>1</v>
      </c>
      <c r="E373" t="s">
        <v>10</v>
      </c>
      <c r="F373">
        <v>296</v>
      </c>
    </row>
    <row r="374" spans="1:6" x14ac:dyDescent="0.25">
      <c r="A374" t="s">
        <v>677</v>
      </c>
      <c r="B374" t="s">
        <v>678</v>
      </c>
      <c r="C374" s="1">
        <v>44083</v>
      </c>
      <c r="D374" t="b">
        <v>1</v>
      </c>
      <c r="E374" t="s">
        <v>10</v>
      </c>
      <c r="F374">
        <v>297</v>
      </c>
    </row>
    <row r="375" spans="1:6" x14ac:dyDescent="0.25">
      <c r="A375" t="s">
        <v>679</v>
      </c>
      <c r="B375" t="s">
        <v>680</v>
      </c>
      <c r="C375" s="1">
        <v>44083</v>
      </c>
      <c r="D375" t="b">
        <v>1</v>
      </c>
      <c r="E375" t="s">
        <v>10</v>
      </c>
      <c r="F375">
        <v>192</v>
      </c>
    </row>
    <row r="376" spans="1:6" x14ac:dyDescent="0.25">
      <c r="A376" t="s">
        <v>681</v>
      </c>
      <c r="B376" t="s">
        <v>682</v>
      </c>
      <c r="C376" s="1">
        <v>44083</v>
      </c>
      <c r="D376" t="b">
        <v>1</v>
      </c>
      <c r="E376" t="s">
        <v>10</v>
      </c>
      <c r="F376">
        <v>16860</v>
      </c>
    </row>
    <row r="377" spans="1:6" x14ac:dyDescent="0.25">
      <c r="A377" t="s">
        <v>683</v>
      </c>
      <c r="B377" t="s">
        <v>684</v>
      </c>
      <c r="C377" s="1">
        <v>44083</v>
      </c>
      <c r="D377" t="b">
        <v>1</v>
      </c>
      <c r="E377" t="s">
        <v>10</v>
      </c>
      <c r="F377">
        <v>298</v>
      </c>
    </row>
    <row r="378" spans="1:6" x14ac:dyDescent="0.25">
      <c r="A378" t="s">
        <v>685</v>
      </c>
      <c r="B378" t="s">
        <v>686</v>
      </c>
      <c r="C378" s="1">
        <v>44083</v>
      </c>
      <c r="D378" t="b">
        <v>0</v>
      </c>
      <c r="E378" t="s">
        <v>10</v>
      </c>
      <c r="F378">
        <v>16950</v>
      </c>
    </row>
    <row r="379" spans="1:6" x14ac:dyDescent="0.25">
      <c r="A379" t="s">
        <v>687</v>
      </c>
      <c r="B379" t="s">
        <v>688</v>
      </c>
      <c r="C379" s="1">
        <v>44083</v>
      </c>
      <c r="D379" t="b">
        <v>1</v>
      </c>
      <c r="E379" t="s">
        <v>10</v>
      </c>
      <c r="F379">
        <v>15741</v>
      </c>
    </row>
    <row r="380" spans="1:6" x14ac:dyDescent="0.25">
      <c r="A380" t="s">
        <v>689</v>
      </c>
      <c r="B380" t="s">
        <v>690</v>
      </c>
      <c r="C380" s="1">
        <v>44083</v>
      </c>
      <c r="D380" t="b">
        <v>1</v>
      </c>
      <c r="E380" t="s">
        <v>10</v>
      </c>
      <c r="F380">
        <v>299</v>
      </c>
    </row>
    <row r="381" spans="1:6" x14ac:dyDescent="0.25">
      <c r="A381" t="s">
        <v>691</v>
      </c>
      <c r="B381" t="s">
        <v>692</v>
      </c>
      <c r="C381" s="1">
        <v>44083</v>
      </c>
      <c r="D381" t="b">
        <v>1</v>
      </c>
      <c r="E381" t="s">
        <v>10</v>
      </c>
      <c r="F381">
        <v>300</v>
      </c>
    </row>
    <row r="382" spans="1:6" x14ac:dyDescent="0.25">
      <c r="A382" t="s">
        <v>693</v>
      </c>
      <c r="B382" t="s">
        <v>694</v>
      </c>
      <c r="C382" s="1">
        <v>44083</v>
      </c>
      <c r="D382" t="b">
        <v>1</v>
      </c>
      <c r="E382" t="s">
        <v>10</v>
      </c>
      <c r="F382">
        <v>301</v>
      </c>
    </row>
    <row r="383" spans="1:6" x14ac:dyDescent="0.25">
      <c r="A383" t="s">
        <v>695</v>
      </c>
      <c r="B383" t="s">
        <v>696</v>
      </c>
      <c r="C383" s="1">
        <v>44083</v>
      </c>
      <c r="D383" t="b">
        <v>1</v>
      </c>
      <c r="E383" t="s">
        <v>10</v>
      </c>
      <c r="F383">
        <v>303</v>
      </c>
    </row>
    <row r="384" spans="1:6" x14ac:dyDescent="0.25">
      <c r="A384" t="s">
        <v>697</v>
      </c>
      <c r="B384" t="s">
        <v>698</v>
      </c>
      <c r="C384" s="1">
        <v>44083</v>
      </c>
      <c r="D384" t="b">
        <v>1</v>
      </c>
      <c r="E384" t="s">
        <v>10</v>
      </c>
      <c r="F384">
        <v>8866</v>
      </c>
    </row>
    <row r="385" spans="1:6" x14ac:dyDescent="0.25">
      <c r="A385" t="s">
        <v>699</v>
      </c>
      <c r="B385" t="s">
        <v>700</v>
      </c>
      <c r="C385" s="1">
        <v>44083</v>
      </c>
      <c r="D385" t="b">
        <v>1</v>
      </c>
      <c r="E385" t="s">
        <v>10</v>
      </c>
      <c r="F385">
        <v>11997</v>
      </c>
    </row>
    <row r="386" spans="1:6" x14ac:dyDescent="0.25">
      <c r="A386" t="s">
        <v>701</v>
      </c>
      <c r="B386" t="s">
        <v>702</v>
      </c>
      <c r="C386" s="1">
        <v>44083</v>
      </c>
      <c r="D386" t="b">
        <v>1</v>
      </c>
      <c r="E386" t="s">
        <v>10</v>
      </c>
      <c r="F386">
        <v>305</v>
      </c>
    </row>
    <row r="387" spans="1:6" x14ac:dyDescent="0.25">
      <c r="A387" t="s">
        <v>703</v>
      </c>
      <c r="B387" t="s">
        <v>704</v>
      </c>
      <c r="C387" s="1">
        <v>44083</v>
      </c>
      <c r="D387" t="b">
        <v>1</v>
      </c>
      <c r="E387" t="s">
        <v>10</v>
      </c>
      <c r="F387">
        <v>306</v>
      </c>
    </row>
    <row r="388" spans="1:6" x14ac:dyDescent="0.25">
      <c r="A388" t="s">
        <v>705</v>
      </c>
      <c r="B388" t="s">
        <v>706</v>
      </c>
      <c r="C388" s="1">
        <v>44083</v>
      </c>
      <c r="D388" t="b">
        <v>1</v>
      </c>
      <c r="E388" t="s">
        <v>10</v>
      </c>
      <c r="F388">
        <v>13805</v>
      </c>
    </row>
    <row r="389" spans="1:6" x14ac:dyDescent="0.25">
      <c r="A389" t="s">
        <v>707</v>
      </c>
      <c r="C389" s="1">
        <v>44083</v>
      </c>
      <c r="D389" t="b">
        <v>1</v>
      </c>
      <c r="E389" t="s">
        <v>10</v>
      </c>
      <c r="F389">
        <v>13762</v>
      </c>
    </row>
    <row r="390" spans="1:6" x14ac:dyDescent="0.25">
      <c r="A390" t="s">
        <v>708</v>
      </c>
      <c r="B390" t="s">
        <v>709</v>
      </c>
      <c r="C390" s="1">
        <v>44083</v>
      </c>
      <c r="D390" t="b">
        <v>1</v>
      </c>
      <c r="E390" t="s">
        <v>10</v>
      </c>
      <c r="F390">
        <v>8339</v>
      </c>
    </row>
    <row r="391" spans="1:6" x14ac:dyDescent="0.25">
      <c r="A391" t="s">
        <v>710</v>
      </c>
      <c r="B391" t="s">
        <v>711</v>
      </c>
      <c r="C391" s="1">
        <v>44083</v>
      </c>
      <c r="D391" t="b">
        <v>1</v>
      </c>
      <c r="E391" t="s">
        <v>10</v>
      </c>
      <c r="F391">
        <v>309</v>
      </c>
    </row>
    <row r="392" spans="1:6" x14ac:dyDescent="0.25">
      <c r="A392" t="s">
        <v>712</v>
      </c>
      <c r="B392" t="s">
        <v>713</v>
      </c>
      <c r="C392" s="1">
        <v>44083</v>
      </c>
      <c r="D392" t="b">
        <v>1</v>
      </c>
      <c r="E392" t="s">
        <v>10</v>
      </c>
      <c r="F392">
        <v>310</v>
      </c>
    </row>
    <row r="393" spans="1:6" x14ac:dyDescent="0.25">
      <c r="A393" t="s">
        <v>714</v>
      </c>
      <c r="B393" t="s">
        <v>715</v>
      </c>
      <c r="C393" s="1">
        <v>44083</v>
      </c>
      <c r="D393" t="b">
        <v>1</v>
      </c>
      <c r="E393" t="s">
        <v>10</v>
      </c>
      <c r="F393">
        <v>13988</v>
      </c>
    </row>
    <row r="394" spans="1:6" x14ac:dyDescent="0.25">
      <c r="A394" t="s">
        <v>716</v>
      </c>
      <c r="B394" t="s">
        <v>717</v>
      </c>
      <c r="C394" s="1">
        <v>44083</v>
      </c>
      <c r="D394" t="b">
        <v>1</v>
      </c>
      <c r="E394" t="s">
        <v>10</v>
      </c>
      <c r="F394">
        <v>311</v>
      </c>
    </row>
    <row r="395" spans="1:6" x14ac:dyDescent="0.25">
      <c r="A395" t="s">
        <v>718</v>
      </c>
      <c r="B395" t="s">
        <v>719</v>
      </c>
      <c r="C395" s="1">
        <v>44083</v>
      </c>
      <c r="D395" t="b">
        <v>1</v>
      </c>
      <c r="E395" t="s">
        <v>10</v>
      </c>
      <c r="F395">
        <v>312</v>
      </c>
    </row>
    <row r="396" spans="1:6" x14ac:dyDescent="0.25">
      <c r="A396" t="s">
        <v>720</v>
      </c>
      <c r="B396" t="s">
        <v>721</v>
      </c>
      <c r="C396" s="1">
        <v>44083</v>
      </c>
      <c r="D396" t="b">
        <v>1</v>
      </c>
      <c r="E396" t="s">
        <v>10</v>
      </c>
      <c r="F396">
        <v>313</v>
      </c>
    </row>
    <row r="397" spans="1:6" x14ac:dyDescent="0.25">
      <c r="A397" t="s">
        <v>722</v>
      </c>
      <c r="B397" t="s">
        <v>723</v>
      </c>
      <c r="C397" s="1">
        <v>44083</v>
      </c>
      <c r="D397" t="b">
        <v>1</v>
      </c>
      <c r="E397" t="s">
        <v>10</v>
      </c>
      <c r="F397">
        <v>315</v>
      </c>
    </row>
    <row r="398" spans="1:6" x14ac:dyDescent="0.25">
      <c r="A398" t="s">
        <v>724</v>
      </c>
      <c r="B398" t="s">
        <v>725</v>
      </c>
      <c r="C398" s="1">
        <v>44083</v>
      </c>
      <c r="D398" t="b">
        <v>1</v>
      </c>
      <c r="E398" t="s">
        <v>10</v>
      </c>
      <c r="F398">
        <v>316</v>
      </c>
    </row>
    <row r="399" spans="1:6" x14ac:dyDescent="0.25">
      <c r="A399" t="s">
        <v>726</v>
      </c>
      <c r="B399" t="s">
        <v>727</v>
      </c>
      <c r="C399" s="1">
        <v>44083</v>
      </c>
      <c r="D399" t="b">
        <v>1</v>
      </c>
      <c r="E399" t="s">
        <v>10</v>
      </c>
      <c r="F399">
        <v>14919</v>
      </c>
    </row>
    <row r="400" spans="1:6" x14ac:dyDescent="0.25">
      <c r="A400" t="s">
        <v>728</v>
      </c>
      <c r="B400" t="s">
        <v>729</v>
      </c>
      <c r="C400" s="1">
        <v>44083</v>
      </c>
      <c r="D400" t="b">
        <v>1</v>
      </c>
      <c r="E400" t="s">
        <v>10</v>
      </c>
      <c r="F400">
        <v>14920</v>
      </c>
    </row>
    <row r="401" spans="1:6" x14ac:dyDescent="0.25">
      <c r="A401" t="s">
        <v>730</v>
      </c>
      <c r="B401" t="s">
        <v>731</v>
      </c>
      <c r="C401" s="1">
        <v>44083</v>
      </c>
      <c r="D401" t="b">
        <v>1</v>
      </c>
      <c r="E401" t="s">
        <v>10</v>
      </c>
      <c r="F401">
        <v>317</v>
      </c>
    </row>
    <row r="402" spans="1:6" x14ac:dyDescent="0.25">
      <c r="A402" t="s">
        <v>732</v>
      </c>
      <c r="B402" t="s">
        <v>733</v>
      </c>
      <c r="C402" s="1">
        <v>44083</v>
      </c>
      <c r="D402" t="b">
        <v>1</v>
      </c>
      <c r="E402" t="s">
        <v>10</v>
      </c>
      <c r="F402">
        <v>16770</v>
      </c>
    </row>
    <row r="403" spans="1:6" x14ac:dyDescent="0.25">
      <c r="A403" t="s">
        <v>734</v>
      </c>
      <c r="B403" t="s">
        <v>735</v>
      </c>
      <c r="C403" s="1">
        <v>44083</v>
      </c>
      <c r="D403" t="b">
        <v>1</v>
      </c>
      <c r="E403" t="s">
        <v>10</v>
      </c>
      <c r="F403">
        <v>8700</v>
      </c>
    </row>
    <row r="404" spans="1:6" x14ac:dyDescent="0.25">
      <c r="A404" t="s">
        <v>736</v>
      </c>
      <c r="B404" t="s">
        <v>737</v>
      </c>
      <c r="C404" s="1">
        <v>44083</v>
      </c>
      <c r="D404" t="b">
        <v>1</v>
      </c>
      <c r="E404" t="s">
        <v>10</v>
      </c>
      <c r="F404">
        <v>320</v>
      </c>
    </row>
    <row r="405" spans="1:6" x14ac:dyDescent="0.25">
      <c r="A405" t="s">
        <v>738</v>
      </c>
      <c r="B405" t="s">
        <v>739</v>
      </c>
      <c r="C405" s="1">
        <v>44083</v>
      </c>
      <c r="D405" t="b">
        <v>1</v>
      </c>
      <c r="E405" t="s">
        <v>10</v>
      </c>
      <c r="F405">
        <v>10675</v>
      </c>
    </row>
    <row r="406" spans="1:6" x14ac:dyDescent="0.25">
      <c r="A406" t="s">
        <v>740</v>
      </c>
      <c r="B406" t="s">
        <v>741</v>
      </c>
      <c r="C406" s="1">
        <v>44083</v>
      </c>
      <c r="D406" t="b">
        <v>1</v>
      </c>
      <c r="E406" t="s">
        <v>10</v>
      </c>
      <c r="F406">
        <v>321</v>
      </c>
    </row>
    <row r="407" spans="1:6" x14ac:dyDescent="0.25">
      <c r="A407" t="s">
        <v>742</v>
      </c>
      <c r="B407" t="s">
        <v>743</v>
      </c>
      <c r="C407" s="1">
        <v>44083</v>
      </c>
      <c r="D407" t="b">
        <v>1</v>
      </c>
      <c r="E407" t="s">
        <v>10</v>
      </c>
      <c r="F407">
        <v>322</v>
      </c>
    </row>
    <row r="408" spans="1:6" x14ac:dyDescent="0.25">
      <c r="A408" t="s">
        <v>744</v>
      </c>
      <c r="B408" t="s">
        <v>745</v>
      </c>
      <c r="C408" s="1">
        <v>44083</v>
      </c>
      <c r="D408" t="b">
        <v>1</v>
      </c>
      <c r="E408" t="s">
        <v>10</v>
      </c>
      <c r="F408">
        <v>16949</v>
      </c>
    </row>
    <row r="409" spans="1:6" x14ac:dyDescent="0.25">
      <c r="A409" t="s">
        <v>746</v>
      </c>
      <c r="B409" t="s">
        <v>747</v>
      </c>
      <c r="C409" s="1">
        <v>44083</v>
      </c>
      <c r="D409" t="b">
        <v>1</v>
      </c>
      <c r="E409" t="s">
        <v>10</v>
      </c>
      <c r="F409">
        <v>9338</v>
      </c>
    </row>
    <row r="410" spans="1:6" x14ac:dyDescent="0.25">
      <c r="A410" t="s">
        <v>748</v>
      </c>
      <c r="B410" t="s">
        <v>749</v>
      </c>
      <c r="C410" s="1">
        <v>44083</v>
      </c>
      <c r="D410" t="b">
        <v>1</v>
      </c>
      <c r="E410" t="s">
        <v>10</v>
      </c>
      <c r="F410">
        <v>323</v>
      </c>
    </row>
    <row r="411" spans="1:6" x14ac:dyDescent="0.25">
      <c r="A411" t="s">
        <v>750</v>
      </c>
      <c r="B411" t="s">
        <v>751</v>
      </c>
      <c r="C411" s="1">
        <v>44083</v>
      </c>
      <c r="D411" t="b">
        <v>1</v>
      </c>
      <c r="E411" t="s">
        <v>10</v>
      </c>
      <c r="F411">
        <v>324</v>
      </c>
    </row>
    <row r="412" spans="1:6" x14ac:dyDescent="0.25">
      <c r="A412" t="s">
        <v>752</v>
      </c>
      <c r="B412" t="s">
        <v>753</v>
      </c>
      <c r="C412" s="1">
        <v>44083</v>
      </c>
      <c r="D412" t="b">
        <v>1</v>
      </c>
      <c r="E412" t="s">
        <v>10</v>
      </c>
      <c r="F412">
        <v>10495</v>
      </c>
    </row>
    <row r="413" spans="1:6" x14ac:dyDescent="0.25">
      <c r="A413" t="s">
        <v>754</v>
      </c>
      <c r="B413" t="s">
        <v>755</v>
      </c>
      <c r="C413" s="1">
        <v>44083</v>
      </c>
      <c r="D413" t="b">
        <v>1</v>
      </c>
      <c r="E413" t="s">
        <v>10</v>
      </c>
      <c r="F413">
        <v>16927</v>
      </c>
    </row>
    <row r="414" spans="1:6" x14ac:dyDescent="0.25">
      <c r="A414" t="s">
        <v>756</v>
      </c>
      <c r="B414" t="s">
        <v>757</v>
      </c>
      <c r="C414" s="1">
        <v>44083</v>
      </c>
      <c r="D414" t="b">
        <v>1</v>
      </c>
      <c r="E414" t="s">
        <v>10</v>
      </c>
      <c r="F414">
        <v>15366</v>
      </c>
    </row>
    <row r="415" spans="1:6" x14ac:dyDescent="0.25">
      <c r="A415" t="s">
        <v>758</v>
      </c>
      <c r="B415" t="s">
        <v>759</v>
      </c>
      <c r="C415" s="1">
        <v>44083</v>
      </c>
      <c r="D415" t="b">
        <v>1</v>
      </c>
      <c r="E415" t="s">
        <v>10</v>
      </c>
      <c r="F415">
        <v>15257</v>
      </c>
    </row>
    <row r="416" spans="1:6" x14ac:dyDescent="0.25">
      <c r="A416" t="s">
        <v>760</v>
      </c>
      <c r="B416" t="s">
        <v>761</v>
      </c>
      <c r="C416" s="1">
        <v>44083</v>
      </c>
      <c r="D416" t="b">
        <v>1</v>
      </c>
      <c r="E416" t="s">
        <v>10</v>
      </c>
      <c r="F416">
        <v>15477</v>
      </c>
    </row>
    <row r="417" spans="1:6" x14ac:dyDescent="0.25">
      <c r="A417" t="s">
        <v>762</v>
      </c>
      <c r="B417" t="s">
        <v>759</v>
      </c>
      <c r="C417" s="1">
        <v>44083</v>
      </c>
      <c r="D417" t="b">
        <v>1</v>
      </c>
      <c r="E417" t="s">
        <v>10</v>
      </c>
      <c r="F417">
        <v>15258</v>
      </c>
    </row>
    <row r="418" spans="1:6" x14ac:dyDescent="0.25">
      <c r="A418" t="s">
        <v>763</v>
      </c>
      <c r="C418" s="1">
        <v>44083</v>
      </c>
      <c r="D418" t="b">
        <v>1</v>
      </c>
      <c r="E418" t="s">
        <v>10</v>
      </c>
      <c r="F418">
        <v>15485</v>
      </c>
    </row>
    <row r="419" spans="1:6" x14ac:dyDescent="0.25">
      <c r="A419" t="s">
        <v>764</v>
      </c>
      <c r="B419" t="s">
        <v>765</v>
      </c>
      <c r="C419" s="1">
        <v>44083</v>
      </c>
      <c r="D419" t="b">
        <v>1</v>
      </c>
      <c r="E419" t="s">
        <v>10</v>
      </c>
      <c r="F419">
        <v>334</v>
      </c>
    </row>
    <row r="420" spans="1:6" x14ac:dyDescent="0.25">
      <c r="A420" t="s">
        <v>766</v>
      </c>
      <c r="B420" t="s">
        <v>767</v>
      </c>
      <c r="C420" s="1">
        <v>44083</v>
      </c>
      <c r="D420" t="b">
        <v>1</v>
      </c>
      <c r="E420" t="s">
        <v>10</v>
      </c>
      <c r="F420">
        <v>8509</v>
      </c>
    </row>
    <row r="421" spans="1:6" x14ac:dyDescent="0.25">
      <c r="A421" t="s">
        <v>768</v>
      </c>
      <c r="B421" t="s">
        <v>769</v>
      </c>
      <c r="C421" s="1">
        <v>44083</v>
      </c>
      <c r="D421" t="b">
        <v>1</v>
      </c>
      <c r="E421" t="s">
        <v>10</v>
      </c>
      <c r="F421">
        <v>336</v>
      </c>
    </row>
    <row r="422" spans="1:6" x14ac:dyDescent="0.25">
      <c r="A422" t="s">
        <v>770</v>
      </c>
      <c r="B422" t="s">
        <v>771</v>
      </c>
      <c r="C422" s="1">
        <v>44083</v>
      </c>
      <c r="D422" t="b">
        <v>1</v>
      </c>
      <c r="E422" t="s">
        <v>10</v>
      </c>
      <c r="F422">
        <v>13484</v>
      </c>
    </row>
    <row r="423" spans="1:6" x14ac:dyDescent="0.25">
      <c r="A423" t="s">
        <v>772</v>
      </c>
      <c r="B423" t="s">
        <v>773</v>
      </c>
      <c r="C423" s="1">
        <v>44083</v>
      </c>
      <c r="D423" t="b">
        <v>1</v>
      </c>
      <c r="E423" t="s">
        <v>10</v>
      </c>
      <c r="F423">
        <v>339</v>
      </c>
    </row>
    <row r="424" spans="1:6" x14ac:dyDescent="0.25">
      <c r="A424" t="s">
        <v>774</v>
      </c>
      <c r="B424" t="s">
        <v>775</v>
      </c>
      <c r="C424" s="1">
        <v>44083</v>
      </c>
      <c r="D424" t="b">
        <v>1</v>
      </c>
      <c r="E424" t="s">
        <v>10</v>
      </c>
      <c r="F424">
        <v>340</v>
      </c>
    </row>
    <row r="425" spans="1:6" x14ac:dyDescent="0.25">
      <c r="A425" t="s">
        <v>776</v>
      </c>
      <c r="B425" t="s">
        <v>777</v>
      </c>
      <c r="C425" s="1">
        <v>44083</v>
      </c>
      <c r="D425" t="b">
        <v>1</v>
      </c>
      <c r="E425" t="s">
        <v>10</v>
      </c>
      <c r="F425">
        <v>341</v>
      </c>
    </row>
    <row r="426" spans="1:6" x14ac:dyDescent="0.25">
      <c r="A426" t="s">
        <v>778</v>
      </c>
      <c r="C426" s="1">
        <v>44083</v>
      </c>
      <c r="D426" t="b">
        <v>1</v>
      </c>
      <c r="E426" t="s">
        <v>10</v>
      </c>
      <c r="F426">
        <v>342</v>
      </c>
    </row>
    <row r="427" spans="1:6" x14ac:dyDescent="0.25">
      <c r="A427" t="s">
        <v>779</v>
      </c>
      <c r="C427" s="1">
        <v>44083</v>
      </c>
      <c r="D427" t="b">
        <v>1</v>
      </c>
      <c r="E427" t="s">
        <v>10</v>
      </c>
      <c r="F427">
        <v>343</v>
      </c>
    </row>
    <row r="428" spans="1:6" x14ac:dyDescent="0.25">
      <c r="A428" t="s">
        <v>780</v>
      </c>
      <c r="C428" s="1">
        <v>44083</v>
      </c>
      <c r="D428" t="b">
        <v>1</v>
      </c>
      <c r="E428" t="s">
        <v>10</v>
      </c>
      <c r="F428">
        <v>9705</v>
      </c>
    </row>
    <row r="429" spans="1:6" x14ac:dyDescent="0.25">
      <c r="A429" t="s">
        <v>781</v>
      </c>
      <c r="B429" t="s">
        <v>782</v>
      </c>
      <c r="C429" s="1">
        <v>44083</v>
      </c>
      <c r="D429" t="b">
        <v>1</v>
      </c>
      <c r="E429" t="s">
        <v>10</v>
      </c>
      <c r="F429">
        <v>344</v>
      </c>
    </row>
    <row r="430" spans="1:6" x14ac:dyDescent="0.25">
      <c r="A430" t="s">
        <v>783</v>
      </c>
      <c r="B430" t="s">
        <v>784</v>
      </c>
      <c r="C430" s="1">
        <v>44083</v>
      </c>
      <c r="D430" t="b">
        <v>1</v>
      </c>
      <c r="E430" t="s">
        <v>10</v>
      </c>
      <c r="F430">
        <v>345</v>
      </c>
    </row>
    <row r="431" spans="1:6" x14ac:dyDescent="0.25">
      <c r="A431" t="s">
        <v>785</v>
      </c>
      <c r="B431" t="s">
        <v>786</v>
      </c>
      <c r="C431" s="1">
        <v>44083</v>
      </c>
      <c r="D431" t="b">
        <v>1</v>
      </c>
      <c r="E431" t="s">
        <v>10</v>
      </c>
      <c r="F431">
        <v>10293</v>
      </c>
    </row>
    <row r="432" spans="1:6" x14ac:dyDescent="0.25">
      <c r="A432" t="s">
        <v>787</v>
      </c>
      <c r="B432" t="s">
        <v>788</v>
      </c>
      <c r="C432" s="1">
        <v>44083</v>
      </c>
      <c r="D432" t="b">
        <v>1</v>
      </c>
      <c r="E432" t="s">
        <v>10</v>
      </c>
      <c r="F432">
        <v>16936</v>
      </c>
    </row>
    <row r="433" spans="1:6" x14ac:dyDescent="0.25">
      <c r="A433" t="s">
        <v>789</v>
      </c>
      <c r="B433" t="s">
        <v>790</v>
      </c>
      <c r="C433" s="1">
        <v>44083</v>
      </c>
      <c r="D433" t="b">
        <v>1</v>
      </c>
      <c r="E433" t="s">
        <v>10</v>
      </c>
      <c r="F433">
        <v>16246</v>
      </c>
    </row>
    <row r="434" spans="1:6" x14ac:dyDescent="0.25">
      <c r="A434" t="s">
        <v>791</v>
      </c>
      <c r="B434" t="s">
        <v>792</v>
      </c>
      <c r="C434" s="1">
        <v>44083</v>
      </c>
      <c r="D434" t="b">
        <v>1</v>
      </c>
      <c r="E434" t="s">
        <v>10</v>
      </c>
      <c r="F434">
        <v>349</v>
      </c>
    </row>
    <row r="435" spans="1:6" x14ac:dyDescent="0.25">
      <c r="A435" t="s">
        <v>793</v>
      </c>
      <c r="B435" t="s">
        <v>794</v>
      </c>
      <c r="C435" s="1">
        <v>44083</v>
      </c>
      <c r="D435" t="b">
        <v>1</v>
      </c>
      <c r="E435" t="s">
        <v>10</v>
      </c>
      <c r="F435">
        <v>284</v>
      </c>
    </row>
    <row r="436" spans="1:6" x14ac:dyDescent="0.25">
      <c r="A436" t="s">
        <v>795</v>
      </c>
      <c r="B436" t="s">
        <v>796</v>
      </c>
      <c r="C436" s="1">
        <v>44083</v>
      </c>
      <c r="D436" t="b">
        <v>1</v>
      </c>
      <c r="E436" t="s">
        <v>10</v>
      </c>
      <c r="F436">
        <v>7490</v>
      </c>
    </row>
    <row r="437" spans="1:6" x14ac:dyDescent="0.25">
      <c r="A437" t="s">
        <v>797</v>
      </c>
      <c r="B437" t="s">
        <v>798</v>
      </c>
      <c r="C437" s="1">
        <v>44083</v>
      </c>
      <c r="D437" t="b">
        <v>1</v>
      </c>
      <c r="E437" t="s">
        <v>10</v>
      </c>
      <c r="F437">
        <v>15905</v>
      </c>
    </row>
    <row r="438" spans="1:6" x14ac:dyDescent="0.25">
      <c r="A438" t="s">
        <v>799</v>
      </c>
      <c r="B438" t="s">
        <v>800</v>
      </c>
      <c r="C438" s="1">
        <v>44083</v>
      </c>
      <c r="D438" t="b">
        <v>1</v>
      </c>
      <c r="E438" t="s">
        <v>10</v>
      </c>
      <c r="F438">
        <v>8927</v>
      </c>
    </row>
    <row r="439" spans="1:6" x14ac:dyDescent="0.25">
      <c r="A439" t="s">
        <v>801</v>
      </c>
      <c r="B439" t="s">
        <v>802</v>
      </c>
      <c r="C439" s="1">
        <v>44083</v>
      </c>
      <c r="D439" t="b">
        <v>1</v>
      </c>
      <c r="E439" t="s">
        <v>10</v>
      </c>
      <c r="F439">
        <v>353</v>
      </c>
    </row>
    <row r="440" spans="1:6" x14ac:dyDescent="0.25">
      <c r="A440" t="s">
        <v>803</v>
      </c>
      <c r="B440" t="s">
        <v>804</v>
      </c>
      <c r="C440" s="1">
        <v>44083</v>
      </c>
      <c r="D440" t="b">
        <v>1</v>
      </c>
      <c r="E440" t="s">
        <v>10</v>
      </c>
      <c r="F440">
        <v>354</v>
      </c>
    </row>
    <row r="441" spans="1:6" x14ac:dyDescent="0.25">
      <c r="A441" t="s">
        <v>805</v>
      </c>
      <c r="B441" t="s">
        <v>806</v>
      </c>
      <c r="C441" s="1">
        <v>44083</v>
      </c>
      <c r="D441" t="b">
        <v>1</v>
      </c>
      <c r="E441" t="s">
        <v>10</v>
      </c>
      <c r="F441">
        <v>356</v>
      </c>
    </row>
    <row r="442" spans="1:6" x14ac:dyDescent="0.25">
      <c r="A442" t="s">
        <v>807</v>
      </c>
      <c r="B442" t="s">
        <v>808</v>
      </c>
      <c r="C442" s="1">
        <v>44083</v>
      </c>
      <c r="D442" t="b">
        <v>1</v>
      </c>
      <c r="E442" t="s">
        <v>10</v>
      </c>
      <c r="F442">
        <v>358</v>
      </c>
    </row>
    <row r="443" spans="1:6" x14ac:dyDescent="0.25">
      <c r="A443" t="s">
        <v>809</v>
      </c>
      <c r="B443" t="s">
        <v>810</v>
      </c>
      <c r="C443" s="1">
        <v>44083</v>
      </c>
      <c r="D443" t="b">
        <v>1</v>
      </c>
      <c r="E443" t="s">
        <v>10</v>
      </c>
      <c r="F443">
        <v>16652</v>
      </c>
    </row>
    <row r="444" spans="1:6" x14ac:dyDescent="0.25">
      <c r="A444" t="s">
        <v>811</v>
      </c>
      <c r="B444" t="s">
        <v>812</v>
      </c>
      <c r="C444" s="1">
        <v>44083</v>
      </c>
      <c r="D444" t="b">
        <v>1</v>
      </c>
      <c r="E444" t="s">
        <v>10</v>
      </c>
      <c r="F444">
        <v>17036</v>
      </c>
    </row>
    <row r="445" spans="1:6" x14ac:dyDescent="0.25">
      <c r="A445" t="s">
        <v>813</v>
      </c>
      <c r="B445" t="s">
        <v>814</v>
      </c>
      <c r="C445" s="1">
        <v>44083</v>
      </c>
      <c r="D445" t="b">
        <v>1</v>
      </c>
      <c r="E445" t="s">
        <v>10</v>
      </c>
      <c r="F445">
        <v>360</v>
      </c>
    </row>
    <row r="446" spans="1:6" x14ac:dyDescent="0.25">
      <c r="A446" t="s">
        <v>815</v>
      </c>
      <c r="B446" t="s">
        <v>816</v>
      </c>
      <c r="C446" s="1">
        <v>44083</v>
      </c>
      <c r="D446" t="b">
        <v>1</v>
      </c>
      <c r="E446" t="s">
        <v>10</v>
      </c>
      <c r="F446">
        <v>361</v>
      </c>
    </row>
    <row r="447" spans="1:6" x14ac:dyDescent="0.25">
      <c r="A447" t="s">
        <v>817</v>
      </c>
      <c r="B447" t="s">
        <v>818</v>
      </c>
      <c r="C447" s="1">
        <v>44083</v>
      </c>
      <c r="D447" t="b">
        <v>1</v>
      </c>
      <c r="E447" t="s">
        <v>10</v>
      </c>
      <c r="F447">
        <v>362</v>
      </c>
    </row>
    <row r="448" spans="1:6" x14ac:dyDescent="0.25">
      <c r="A448" t="s">
        <v>819</v>
      </c>
      <c r="B448" t="s">
        <v>820</v>
      </c>
      <c r="C448" s="1">
        <v>44083</v>
      </c>
      <c r="D448" t="b">
        <v>1</v>
      </c>
      <c r="E448" t="s">
        <v>10</v>
      </c>
      <c r="F448">
        <v>17049</v>
      </c>
    </row>
    <row r="449" spans="1:6" x14ac:dyDescent="0.25">
      <c r="A449" t="s">
        <v>821</v>
      </c>
      <c r="B449" t="s">
        <v>822</v>
      </c>
      <c r="C449" s="1">
        <v>44083</v>
      </c>
      <c r="D449" t="b">
        <v>1</v>
      </c>
      <c r="E449" t="s">
        <v>10</v>
      </c>
      <c r="F449">
        <v>363</v>
      </c>
    </row>
    <row r="450" spans="1:6" x14ac:dyDescent="0.25">
      <c r="A450" t="s">
        <v>823</v>
      </c>
      <c r="B450" t="s">
        <v>824</v>
      </c>
      <c r="C450" s="1">
        <v>44083</v>
      </c>
      <c r="D450" t="b">
        <v>1</v>
      </c>
      <c r="E450" t="s">
        <v>10</v>
      </c>
      <c r="F450">
        <v>364</v>
      </c>
    </row>
    <row r="451" spans="1:6" x14ac:dyDescent="0.25">
      <c r="A451" t="s">
        <v>825</v>
      </c>
      <c r="B451" t="s">
        <v>826</v>
      </c>
      <c r="C451" s="1">
        <v>44083</v>
      </c>
      <c r="D451" t="b">
        <v>1</v>
      </c>
      <c r="E451" t="s">
        <v>10</v>
      </c>
      <c r="F451">
        <v>366</v>
      </c>
    </row>
    <row r="452" spans="1:6" x14ac:dyDescent="0.25">
      <c r="A452" t="s">
        <v>827</v>
      </c>
      <c r="B452" t="s">
        <v>828</v>
      </c>
      <c r="C452" s="1">
        <v>44083</v>
      </c>
      <c r="D452" t="b">
        <v>1</v>
      </c>
      <c r="E452" t="s">
        <v>10</v>
      </c>
      <c r="F452">
        <v>369</v>
      </c>
    </row>
    <row r="453" spans="1:6" x14ac:dyDescent="0.25">
      <c r="A453" t="s">
        <v>829</v>
      </c>
      <c r="B453" t="s">
        <v>830</v>
      </c>
      <c r="C453" s="1">
        <v>44083</v>
      </c>
      <c r="D453" t="b">
        <v>1</v>
      </c>
      <c r="E453" t="s">
        <v>10</v>
      </c>
      <c r="F453">
        <v>9509</v>
      </c>
    </row>
    <row r="454" spans="1:6" x14ac:dyDescent="0.25">
      <c r="A454" t="s">
        <v>831</v>
      </c>
      <c r="B454" t="s">
        <v>832</v>
      </c>
      <c r="C454" s="1">
        <v>44083</v>
      </c>
      <c r="D454" t="b">
        <v>1</v>
      </c>
      <c r="E454" t="s">
        <v>10</v>
      </c>
      <c r="F454">
        <v>370</v>
      </c>
    </row>
    <row r="455" spans="1:6" x14ac:dyDescent="0.25">
      <c r="A455" t="s">
        <v>833</v>
      </c>
      <c r="B455" t="s">
        <v>834</v>
      </c>
      <c r="C455" s="1">
        <v>44083</v>
      </c>
      <c r="D455" t="b">
        <v>1</v>
      </c>
      <c r="E455" t="s">
        <v>10</v>
      </c>
      <c r="F455">
        <v>4153</v>
      </c>
    </row>
    <row r="456" spans="1:6" x14ac:dyDescent="0.25">
      <c r="A456" t="s">
        <v>835</v>
      </c>
      <c r="B456" t="s">
        <v>836</v>
      </c>
      <c r="C456" s="1">
        <v>44083</v>
      </c>
      <c r="D456" t="b">
        <v>1</v>
      </c>
      <c r="E456" t="s">
        <v>10</v>
      </c>
      <c r="F456">
        <v>1217</v>
      </c>
    </row>
    <row r="457" spans="1:6" x14ac:dyDescent="0.25">
      <c r="A457" t="s">
        <v>837</v>
      </c>
      <c r="B457" t="s">
        <v>838</v>
      </c>
      <c r="C457" s="1">
        <v>44083</v>
      </c>
      <c r="D457" t="b">
        <v>1</v>
      </c>
      <c r="E457" t="s">
        <v>10</v>
      </c>
      <c r="F457">
        <v>16696</v>
      </c>
    </row>
    <row r="458" spans="1:6" x14ac:dyDescent="0.25">
      <c r="A458" t="s">
        <v>839</v>
      </c>
      <c r="B458" t="s">
        <v>840</v>
      </c>
      <c r="C458" s="1">
        <v>44083</v>
      </c>
      <c r="D458" t="b">
        <v>1</v>
      </c>
      <c r="E458" t="s">
        <v>10</v>
      </c>
      <c r="F458">
        <v>373</v>
      </c>
    </row>
    <row r="459" spans="1:6" x14ac:dyDescent="0.25">
      <c r="A459" t="s">
        <v>841</v>
      </c>
      <c r="B459" t="s">
        <v>842</v>
      </c>
      <c r="C459" s="1">
        <v>44083</v>
      </c>
      <c r="D459" t="b">
        <v>1</v>
      </c>
      <c r="E459" t="s">
        <v>10</v>
      </c>
      <c r="F459">
        <v>15203</v>
      </c>
    </row>
    <row r="460" spans="1:6" x14ac:dyDescent="0.25">
      <c r="A460" t="s">
        <v>843</v>
      </c>
      <c r="B460" t="s">
        <v>844</v>
      </c>
      <c r="C460" s="1">
        <v>44083</v>
      </c>
      <c r="D460" t="b">
        <v>1</v>
      </c>
      <c r="E460" t="s">
        <v>10</v>
      </c>
      <c r="F460">
        <v>16793</v>
      </c>
    </row>
    <row r="461" spans="1:6" x14ac:dyDescent="0.25">
      <c r="A461" t="s">
        <v>845</v>
      </c>
      <c r="B461" t="s">
        <v>846</v>
      </c>
      <c r="C461" s="1">
        <v>44083</v>
      </c>
      <c r="D461" t="b">
        <v>1</v>
      </c>
      <c r="E461" t="s">
        <v>10</v>
      </c>
      <c r="F461">
        <v>9993</v>
      </c>
    </row>
    <row r="462" spans="1:6" x14ac:dyDescent="0.25">
      <c r="A462" t="s">
        <v>847</v>
      </c>
      <c r="B462" t="s">
        <v>848</v>
      </c>
      <c r="C462" s="1">
        <v>44083</v>
      </c>
      <c r="D462" t="b">
        <v>1</v>
      </c>
      <c r="E462" t="s">
        <v>10</v>
      </c>
      <c r="F462">
        <v>10701</v>
      </c>
    </row>
    <row r="463" spans="1:6" x14ac:dyDescent="0.25">
      <c r="A463" t="s">
        <v>849</v>
      </c>
      <c r="B463" t="s">
        <v>850</v>
      </c>
      <c r="C463" s="1">
        <v>44083</v>
      </c>
      <c r="D463" t="b">
        <v>1</v>
      </c>
      <c r="E463" t="s">
        <v>10</v>
      </c>
      <c r="F463">
        <v>15630</v>
      </c>
    </row>
    <row r="464" spans="1:6" x14ac:dyDescent="0.25">
      <c r="A464" t="s">
        <v>851</v>
      </c>
      <c r="B464" t="s">
        <v>852</v>
      </c>
      <c r="C464" s="1">
        <v>44083</v>
      </c>
      <c r="D464" t="b">
        <v>1</v>
      </c>
      <c r="E464" t="s">
        <v>10</v>
      </c>
      <c r="F464">
        <v>14988</v>
      </c>
    </row>
    <row r="465" spans="1:6" x14ac:dyDescent="0.25">
      <c r="A465" t="s">
        <v>853</v>
      </c>
      <c r="B465" t="s">
        <v>854</v>
      </c>
      <c r="C465" s="1">
        <v>44083</v>
      </c>
      <c r="D465" t="b">
        <v>1</v>
      </c>
      <c r="E465" t="s">
        <v>10</v>
      </c>
      <c r="F465">
        <v>376</v>
      </c>
    </row>
    <row r="466" spans="1:6" x14ac:dyDescent="0.25">
      <c r="A466" t="s">
        <v>855</v>
      </c>
      <c r="C466" s="1">
        <v>44083</v>
      </c>
      <c r="D466" t="b">
        <v>1</v>
      </c>
      <c r="E466" t="s">
        <v>10</v>
      </c>
      <c r="F466">
        <v>12453</v>
      </c>
    </row>
    <row r="467" spans="1:6" x14ac:dyDescent="0.25">
      <c r="A467" t="s">
        <v>856</v>
      </c>
      <c r="C467" s="1">
        <v>44083</v>
      </c>
      <c r="D467" t="b">
        <v>1</v>
      </c>
      <c r="E467" t="s">
        <v>10</v>
      </c>
      <c r="F467">
        <v>14302</v>
      </c>
    </row>
    <row r="468" spans="1:6" x14ac:dyDescent="0.25">
      <c r="A468" t="s">
        <v>857</v>
      </c>
      <c r="B468" t="s">
        <v>858</v>
      </c>
      <c r="C468" s="1">
        <v>44083</v>
      </c>
      <c r="D468" t="b">
        <v>1</v>
      </c>
      <c r="E468" t="s">
        <v>10</v>
      </c>
      <c r="F468">
        <v>377</v>
      </c>
    </row>
    <row r="469" spans="1:6" x14ac:dyDescent="0.25">
      <c r="A469" t="s">
        <v>859</v>
      </c>
      <c r="B469" t="s">
        <v>860</v>
      </c>
      <c r="C469" s="1">
        <v>44083</v>
      </c>
      <c r="D469" t="b">
        <v>1</v>
      </c>
      <c r="E469" t="s">
        <v>10</v>
      </c>
      <c r="F469">
        <v>11651</v>
      </c>
    </row>
    <row r="470" spans="1:6" x14ac:dyDescent="0.25">
      <c r="A470" t="s">
        <v>861</v>
      </c>
      <c r="C470" s="1">
        <v>44083</v>
      </c>
      <c r="D470" t="b">
        <v>1</v>
      </c>
      <c r="E470" t="s">
        <v>10</v>
      </c>
      <c r="F470">
        <v>11672</v>
      </c>
    </row>
    <row r="471" spans="1:6" x14ac:dyDescent="0.25">
      <c r="A471" t="s">
        <v>862</v>
      </c>
      <c r="B471" t="s">
        <v>863</v>
      </c>
      <c r="C471" s="1">
        <v>44083</v>
      </c>
      <c r="D471" t="b">
        <v>1</v>
      </c>
      <c r="E471" t="s">
        <v>10</v>
      </c>
      <c r="F471">
        <v>10013</v>
      </c>
    </row>
    <row r="472" spans="1:6" x14ac:dyDescent="0.25">
      <c r="A472" t="s">
        <v>864</v>
      </c>
      <c r="B472" t="s">
        <v>865</v>
      </c>
      <c r="C472" s="1">
        <v>44083</v>
      </c>
      <c r="D472" t="b">
        <v>1</v>
      </c>
      <c r="E472" t="s">
        <v>10</v>
      </c>
      <c r="F472">
        <v>12832</v>
      </c>
    </row>
    <row r="473" spans="1:6" x14ac:dyDescent="0.25">
      <c r="A473" t="s">
        <v>866</v>
      </c>
      <c r="B473" t="s">
        <v>867</v>
      </c>
      <c r="C473" s="1">
        <v>44083</v>
      </c>
      <c r="D473" t="b">
        <v>1</v>
      </c>
      <c r="E473" t="s">
        <v>10</v>
      </c>
      <c r="F473">
        <v>4472</v>
      </c>
    </row>
    <row r="474" spans="1:6" x14ac:dyDescent="0.25">
      <c r="A474" t="s">
        <v>868</v>
      </c>
      <c r="B474" t="s">
        <v>869</v>
      </c>
      <c r="C474" s="1">
        <v>44083</v>
      </c>
      <c r="D474" t="b">
        <v>1</v>
      </c>
      <c r="E474" t="s">
        <v>10</v>
      </c>
      <c r="F474">
        <v>16050</v>
      </c>
    </row>
    <row r="475" spans="1:6" x14ac:dyDescent="0.25">
      <c r="A475" t="s">
        <v>870</v>
      </c>
      <c r="B475" t="s">
        <v>871</v>
      </c>
      <c r="C475" s="1">
        <v>44083</v>
      </c>
      <c r="D475" t="b">
        <v>1</v>
      </c>
      <c r="E475" t="s">
        <v>10</v>
      </c>
      <c r="F475">
        <v>12976</v>
      </c>
    </row>
    <row r="476" spans="1:6" x14ac:dyDescent="0.25">
      <c r="A476" t="s">
        <v>872</v>
      </c>
      <c r="B476" t="s">
        <v>873</v>
      </c>
      <c r="C476" s="1">
        <v>44083</v>
      </c>
      <c r="D476" t="b">
        <v>1</v>
      </c>
      <c r="E476" t="s">
        <v>10</v>
      </c>
      <c r="F476">
        <v>383</v>
      </c>
    </row>
    <row r="477" spans="1:6" x14ac:dyDescent="0.25">
      <c r="A477" t="s">
        <v>874</v>
      </c>
      <c r="B477" t="s">
        <v>875</v>
      </c>
      <c r="C477" s="1">
        <v>44083</v>
      </c>
      <c r="D477" t="b">
        <v>1</v>
      </c>
      <c r="E477" t="s">
        <v>10</v>
      </c>
      <c r="F477">
        <v>9417</v>
      </c>
    </row>
    <row r="478" spans="1:6" x14ac:dyDescent="0.25">
      <c r="A478" t="s">
        <v>876</v>
      </c>
      <c r="B478" t="s">
        <v>877</v>
      </c>
      <c r="C478" s="1">
        <v>44083</v>
      </c>
      <c r="D478" t="b">
        <v>1</v>
      </c>
      <c r="E478" t="s">
        <v>10</v>
      </c>
      <c r="F478">
        <v>384</v>
      </c>
    </row>
    <row r="479" spans="1:6" x14ac:dyDescent="0.25">
      <c r="A479" t="s">
        <v>878</v>
      </c>
      <c r="B479" t="s">
        <v>879</v>
      </c>
      <c r="C479" s="1">
        <v>44083</v>
      </c>
      <c r="D479" t="b">
        <v>1</v>
      </c>
      <c r="E479" t="s">
        <v>10</v>
      </c>
      <c r="F479">
        <v>1815</v>
      </c>
    </row>
    <row r="480" spans="1:6" x14ac:dyDescent="0.25">
      <c r="A480" t="s">
        <v>880</v>
      </c>
      <c r="C480" s="1">
        <v>44083</v>
      </c>
      <c r="D480" t="b">
        <v>1</v>
      </c>
      <c r="E480" t="s">
        <v>10</v>
      </c>
      <c r="F480">
        <v>16829</v>
      </c>
    </row>
    <row r="481" spans="1:6" x14ac:dyDescent="0.25">
      <c r="A481" t="s">
        <v>881</v>
      </c>
      <c r="B481" t="s">
        <v>882</v>
      </c>
      <c r="C481" s="1">
        <v>44083</v>
      </c>
      <c r="D481" t="b">
        <v>1</v>
      </c>
      <c r="E481" t="s">
        <v>10</v>
      </c>
      <c r="F481">
        <v>14667</v>
      </c>
    </row>
    <row r="482" spans="1:6" x14ac:dyDescent="0.25">
      <c r="A482" t="s">
        <v>883</v>
      </c>
      <c r="B482" t="s">
        <v>884</v>
      </c>
      <c r="C482" s="1">
        <v>44083</v>
      </c>
      <c r="D482" t="b">
        <v>1</v>
      </c>
      <c r="E482" t="s">
        <v>10</v>
      </c>
      <c r="F482">
        <v>11623</v>
      </c>
    </row>
    <row r="483" spans="1:6" x14ac:dyDescent="0.25">
      <c r="A483" t="s">
        <v>885</v>
      </c>
      <c r="B483" t="s">
        <v>886</v>
      </c>
      <c r="C483" s="1">
        <v>44083</v>
      </c>
      <c r="D483" t="b">
        <v>1</v>
      </c>
      <c r="E483" t="s">
        <v>10</v>
      </c>
      <c r="F483">
        <v>386</v>
      </c>
    </row>
    <row r="484" spans="1:6" x14ac:dyDescent="0.25">
      <c r="A484" t="s">
        <v>887</v>
      </c>
      <c r="B484" t="s">
        <v>888</v>
      </c>
      <c r="C484" s="1">
        <v>44083</v>
      </c>
      <c r="D484" t="b">
        <v>1</v>
      </c>
      <c r="E484" t="s">
        <v>10</v>
      </c>
      <c r="F484">
        <v>16256</v>
      </c>
    </row>
    <row r="485" spans="1:6" x14ac:dyDescent="0.25">
      <c r="A485" t="s">
        <v>889</v>
      </c>
      <c r="B485" t="s">
        <v>890</v>
      </c>
      <c r="C485" s="1">
        <v>44083</v>
      </c>
      <c r="D485" t="b">
        <v>1</v>
      </c>
      <c r="E485" t="s">
        <v>10</v>
      </c>
      <c r="F485">
        <v>16003</v>
      </c>
    </row>
    <row r="486" spans="1:6" x14ac:dyDescent="0.25">
      <c r="A486" t="s">
        <v>891</v>
      </c>
      <c r="C486" s="1">
        <v>44083</v>
      </c>
      <c r="D486" t="b">
        <v>1</v>
      </c>
      <c r="E486" t="s">
        <v>10</v>
      </c>
      <c r="F486">
        <v>16264</v>
      </c>
    </row>
    <row r="487" spans="1:6" x14ac:dyDescent="0.25">
      <c r="A487" t="s">
        <v>892</v>
      </c>
      <c r="B487" t="s">
        <v>893</v>
      </c>
      <c r="C487" s="1">
        <v>44083</v>
      </c>
      <c r="D487" t="b">
        <v>1</v>
      </c>
      <c r="E487" t="s">
        <v>10</v>
      </c>
      <c r="F487">
        <v>969</v>
      </c>
    </row>
    <row r="488" spans="1:6" x14ac:dyDescent="0.25">
      <c r="A488" t="s">
        <v>894</v>
      </c>
      <c r="B488" t="s">
        <v>895</v>
      </c>
      <c r="C488" s="1">
        <v>44083</v>
      </c>
      <c r="D488" t="b">
        <v>1</v>
      </c>
      <c r="E488" t="s">
        <v>10</v>
      </c>
      <c r="F488">
        <v>12266</v>
      </c>
    </row>
    <row r="489" spans="1:6" x14ac:dyDescent="0.25">
      <c r="A489" t="s">
        <v>896</v>
      </c>
      <c r="B489" t="s">
        <v>897</v>
      </c>
      <c r="C489" s="1">
        <v>44083</v>
      </c>
      <c r="D489" t="b">
        <v>1</v>
      </c>
      <c r="E489" t="s">
        <v>10</v>
      </c>
      <c r="F489">
        <v>10345</v>
      </c>
    </row>
    <row r="490" spans="1:6" x14ac:dyDescent="0.25">
      <c r="A490" t="s">
        <v>898</v>
      </c>
      <c r="B490" t="s">
        <v>899</v>
      </c>
      <c r="C490" s="1">
        <v>44083</v>
      </c>
      <c r="D490" t="b">
        <v>1</v>
      </c>
      <c r="E490" t="s">
        <v>10</v>
      </c>
      <c r="F490">
        <v>12127</v>
      </c>
    </row>
    <row r="491" spans="1:6" x14ac:dyDescent="0.25">
      <c r="A491" t="s">
        <v>900</v>
      </c>
      <c r="C491" s="1">
        <v>44083</v>
      </c>
      <c r="D491" t="b">
        <v>1</v>
      </c>
      <c r="E491" t="s">
        <v>10</v>
      </c>
      <c r="F491">
        <v>15173</v>
      </c>
    </row>
    <row r="492" spans="1:6" x14ac:dyDescent="0.25">
      <c r="A492" t="s">
        <v>901</v>
      </c>
      <c r="C492" s="1">
        <v>44083</v>
      </c>
      <c r="D492" t="b">
        <v>1</v>
      </c>
      <c r="E492" t="s">
        <v>10</v>
      </c>
      <c r="F492">
        <v>15785</v>
      </c>
    </row>
    <row r="493" spans="1:6" x14ac:dyDescent="0.25">
      <c r="A493" t="s">
        <v>902</v>
      </c>
      <c r="B493" t="s">
        <v>903</v>
      </c>
      <c r="C493" s="1">
        <v>44083</v>
      </c>
      <c r="D493" t="b">
        <v>1</v>
      </c>
      <c r="E493" t="s">
        <v>10</v>
      </c>
      <c r="F493">
        <v>14784</v>
      </c>
    </row>
    <row r="494" spans="1:6" x14ac:dyDescent="0.25">
      <c r="A494" t="s">
        <v>904</v>
      </c>
      <c r="B494" t="s">
        <v>905</v>
      </c>
      <c r="C494" s="1">
        <v>44083</v>
      </c>
      <c r="D494" t="b">
        <v>1</v>
      </c>
      <c r="E494" t="s">
        <v>10</v>
      </c>
      <c r="F494">
        <v>13673</v>
      </c>
    </row>
    <row r="495" spans="1:6" x14ac:dyDescent="0.25">
      <c r="A495" t="s">
        <v>906</v>
      </c>
      <c r="B495" t="s">
        <v>907</v>
      </c>
      <c r="C495" s="1">
        <v>44083</v>
      </c>
      <c r="D495" t="b">
        <v>1</v>
      </c>
      <c r="E495" t="s">
        <v>10</v>
      </c>
      <c r="F495">
        <v>7818</v>
      </c>
    </row>
    <row r="496" spans="1:6" x14ac:dyDescent="0.25">
      <c r="A496" t="s">
        <v>908</v>
      </c>
      <c r="B496" t="s">
        <v>909</v>
      </c>
      <c r="C496" s="1">
        <v>44083</v>
      </c>
      <c r="D496" t="b">
        <v>1</v>
      </c>
      <c r="E496" t="s">
        <v>10</v>
      </c>
      <c r="F496">
        <v>10464</v>
      </c>
    </row>
    <row r="497" spans="1:6" x14ac:dyDescent="0.25">
      <c r="A497" t="s">
        <v>910</v>
      </c>
      <c r="B497" t="s">
        <v>911</v>
      </c>
      <c r="C497" s="1">
        <v>44083</v>
      </c>
      <c r="D497" t="b">
        <v>1</v>
      </c>
      <c r="E497" t="s">
        <v>10</v>
      </c>
      <c r="F497">
        <v>8443</v>
      </c>
    </row>
    <row r="498" spans="1:6" x14ac:dyDescent="0.25">
      <c r="A498" t="s">
        <v>912</v>
      </c>
      <c r="B498" t="s">
        <v>913</v>
      </c>
      <c r="C498" s="1">
        <v>44083</v>
      </c>
      <c r="D498" t="b">
        <v>1</v>
      </c>
      <c r="E498" t="s">
        <v>10</v>
      </c>
      <c r="F498">
        <v>390</v>
      </c>
    </row>
    <row r="499" spans="1:6" x14ac:dyDescent="0.25">
      <c r="A499" t="s">
        <v>914</v>
      </c>
      <c r="B499" t="s">
        <v>915</v>
      </c>
      <c r="C499" s="1">
        <v>44083</v>
      </c>
      <c r="D499" t="b">
        <v>1</v>
      </c>
      <c r="E499" t="s">
        <v>10</v>
      </c>
      <c r="F499">
        <v>16635</v>
      </c>
    </row>
    <row r="500" spans="1:6" x14ac:dyDescent="0.25">
      <c r="A500" t="s">
        <v>916</v>
      </c>
      <c r="B500" t="s">
        <v>917</v>
      </c>
      <c r="C500" s="1">
        <v>44083</v>
      </c>
      <c r="D500" t="b">
        <v>1</v>
      </c>
      <c r="E500" t="s">
        <v>10</v>
      </c>
      <c r="F500">
        <v>392</v>
      </c>
    </row>
    <row r="501" spans="1:6" x14ac:dyDescent="0.25">
      <c r="A501" t="s">
        <v>918</v>
      </c>
      <c r="B501" t="s">
        <v>919</v>
      </c>
      <c r="C501" s="1">
        <v>44083</v>
      </c>
      <c r="D501" t="b">
        <v>1</v>
      </c>
      <c r="E501" t="s">
        <v>10</v>
      </c>
      <c r="F501">
        <v>25</v>
      </c>
    </row>
    <row r="502" spans="1:6" x14ac:dyDescent="0.25">
      <c r="A502" t="s">
        <v>920</v>
      </c>
      <c r="B502" t="s">
        <v>921</v>
      </c>
      <c r="C502" s="1">
        <v>44083</v>
      </c>
      <c r="D502" t="b">
        <v>1</v>
      </c>
      <c r="E502" t="s">
        <v>10</v>
      </c>
      <c r="F502">
        <v>393</v>
      </c>
    </row>
    <row r="503" spans="1:6" x14ac:dyDescent="0.25">
      <c r="A503" t="s">
        <v>922</v>
      </c>
      <c r="B503" t="s">
        <v>923</v>
      </c>
      <c r="C503" s="1">
        <v>44083</v>
      </c>
      <c r="D503" t="b">
        <v>1</v>
      </c>
      <c r="E503" t="s">
        <v>10</v>
      </c>
      <c r="F503">
        <v>14952</v>
      </c>
    </row>
    <row r="504" spans="1:6" x14ac:dyDescent="0.25">
      <c r="A504" t="s">
        <v>924</v>
      </c>
      <c r="B504" t="s">
        <v>925</v>
      </c>
      <c r="C504" s="1">
        <v>44083</v>
      </c>
      <c r="D504" t="b">
        <v>1</v>
      </c>
      <c r="E504" t="s">
        <v>10</v>
      </c>
      <c r="F504">
        <v>11930</v>
      </c>
    </row>
    <row r="505" spans="1:6" x14ac:dyDescent="0.25">
      <c r="A505" t="s">
        <v>926</v>
      </c>
      <c r="B505" t="s">
        <v>927</v>
      </c>
      <c r="C505" s="1">
        <v>44083</v>
      </c>
      <c r="D505" t="b">
        <v>1</v>
      </c>
      <c r="E505" t="s">
        <v>10</v>
      </c>
      <c r="F505">
        <v>12742</v>
      </c>
    </row>
    <row r="506" spans="1:6" x14ac:dyDescent="0.25">
      <c r="A506" t="s">
        <v>928</v>
      </c>
      <c r="B506" t="s">
        <v>929</v>
      </c>
      <c r="C506" s="1">
        <v>44083</v>
      </c>
      <c r="D506" t="b">
        <v>1</v>
      </c>
      <c r="E506" t="s">
        <v>10</v>
      </c>
      <c r="F506">
        <v>395</v>
      </c>
    </row>
    <row r="507" spans="1:6" x14ac:dyDescent="0.25">
      <c r="A507" t="s">
        <v>930</v>
      </c>
      <c r="B507" t="s">
        <v>931</v>
      </c>
      <c r="C507" s="1">
        <v>44083</v>
      </c>
      <c r="D507" t="b">
        <v>1</v>
      </c>
      <c r="E507" t="s">
        <v>10</v>
      </c>
      <c r="F507">
        <v>15836</v>
      </c>
    </row>
    <row r="508" spans="1:6" x14ac:dyDescent="0.25">
      <c r="A508" t="s">
        <v>932</v>
      </c>
      <c r="B508" t="s">
        <v>933</v>
      </c>
      <c r="C508" s="1">
        <v>44083</v>
      </c>
      <c r="D508" t="b">
        <v>1</v>
      </c>
      <c r="E508" t="s">
        <v>10</v>
      </c>
      <c r="F508">
        <v>12106</v>
      </c>
    </row>
    <row r="509" spans="1:6" x14ac:dyDescent="0.25">
      <c r="A509" t="s">
        <v>934</v>
      </c>
      <c r="B509" t="s">
        <v>935</v>
      </c>
      <c r="C509" s="1">
        <v>44083</v>
      </c>
      <c r="D509" t="b">
        <v>1</v>
      </c>
      <c r="E509" t="s">
        <v>10</v>
      </c>
      <c r="F509">
        <v>398</v>
      </c>
    </row>
    <row r="510" spans="1:6" x14ac:dyDescent="0.25">
      <c r="A510" t="s">
        <v>936</v>
      </c>
      <c r="B510" t="s">
        <v>937</v>
      </c>
      <c r="C510" s="1">
        <v>44083</v>
      </c>
      <c r="D510" t="b">
        <v>1</v>
      </c>
      <c r="E510" t="s">
        <v>10</v>
      </c>
      <c r="F510">
        <v>14845</v>
      </c>
    </row>
    <row r="511" spans="1:6" x14ac:dyDescent="0.25">
      <c r="A511" t="s">
        <v>938</v>
      </c>
      <c r="B511" t="s">
        <v>939</v>
      </c>
      <c r="C511" s="1">
        <v>44083</v>
      </c>
      <c r="D511" t="b">
        <v>1</v>
      </c>
      <c r="E511" t="s">
        <v>10</v>
      </c>
      <c r="F511">
        <v>8658</v>
      </c>
    </row>
    <row r="512" spans="1:6" x14ac:dyDescent="0.25">
      <c r="A512" t="s">
        <v>940</v>
      </c>
      <c r="B512" t="s">
        <v>941</v>
      </c>
      <c r="C512" s="1">
        <v>44083</v>
      </c>
      <c r="D512" t="b">
        <v>1</v>
      </c>
      <c r="E512" t="s">
        <v>10</v>
      </c>
      <c r="F512">
        <v>400</v>
      </c>
    </row>
    <row r="513" spans="1:6" x14ac:dyDescent="0.25">
      <c r="A513" t="s">
        <v>942</v>
      </c>
      <c r="B513" t="s">
        <v>943</v>
      </c>
      <c r="C513" s="1">
        <v>44083</v>
      </c>
      <c r="D513" t="b">
        <v>1</v>
      </c>
      <c r="E513" t="s">
        <v>10</v>
      </c>
      <c r="F513">
        <v>15447</v>
      </c>
    </row>
    <row r="514" spans="1:6" x14ac:dyDescent="0.25">
      <c r="A514" t="s">
        <v>944</v>
      </c>
      <c r="B514" t="s">
        <v>945</v>
      </c>
      <c r="C514" s="1">
        <v>44083</v>
      </c>
      <c r="D514" t="b">
        <v>1</v>
      </c>
      <c r="E514" t="s">
        <v>10</v>
      </c>
      <c r="F514">
        <v>8515</v>
      </c>
    </row>
    <row r="515" spans="1:6" x14ac:dyDescent="0.25">
      <c r="A515" t="s">
        <v>946</v>
      </c>
      <c r="C515" s="1">
        <v>44083</v>
      </c>
      <c r="D515" t="b">
        <v>1</v>
      </c>
      <c r="E515" t="s">
        <v>10</v>
      </c>
      <c r="F515">
        <v>11483</v>
      </c>
    </row>
    <row r="516" spans="1:6" x14ac:dyDescent="0.25">
      <c r="A516" t="s">
        <v>947</v>
      </c>
      <c r="C516" s="1">
        <v>44083</v>
      </c>
      <c r="D516" t="b">
        <v>1</v>
      </c>
      <c r="E516" t="s">
        <v>10</v>
      </c>
      <c r="F516">
        <v>165</v>
      </c>
    </row>
    <row r="517" spans="1:6" x14ac:dyDescent="0.25">
      <c r="A517" t="s">
        <v>948</v>
      </c>
      <c r="B517" t="s">
        <v>949</v>
      </c>
      <c r="C517" s="1">
        <v>44083</v>
      </c>
      <c r="D517" t="b">
        <v>1</v>
      </c>
      <c r="E517" t="s">
        <v>10</v>
      </c>
      <c r="F517">
        <v>164</v>
      </c>
    </row>
    <row r="518" spans="1:6" x14ac:dyDescent="0.25">
      <c r="A518" t="s">
        <v>950</v>
      </c>
      <c r="C518" s="1">
        <v>44083</v>
      </c>
      <c r="D518" t="b">
        <v>1</v>
      </c>
      <c r="E518" t="s">
        <v>10</v>
      </c>
      <c r="F518">
        <v>16993</v>
      </c>
    </row>
    <row r="519" spans="1:6" x14ac:dyDescent="0.25">
      <c r="A519" t="s">
        <v>951</v>
      </c>
      <c r="B519" t="s">
        <v>952</v>
      </c>
      <c r="C519" s="1">
        <v>44083</v>
      </c>
      <c r="D519" t="b">
        <v>1</v>
      </c>
      <c r="E519" t="s">
        <v>10</v>
      </c>
      <c r="F519">
        <v>405</v>
      </c>
    </row>
    <row r="520" spans="1:6" x14ac:dyDescent="0.25">
      <c r="A520" t="s">
        <v>953</v>
      </c>
      <c r="B520" t="s">
        <v>954</v>
      </c>
      <c r="C520" s="1">
        <v>44083</v>
      </c>
      <c r="D520" t="b">
        <v>1</v>
      </c>
      <c r="E520" t="s">
        <v>10</v>
      </c>
      <c r="F520">
        <v>12807</v>
      </c>
    </row>
    <row r="521" spans="1:6" x14ac:dyDescent="0.25">
      <c r="A521" t="s">
        <v>955</v>
      </c>
      <c r="B521" t="s">
        <v>956</v>
      </c>
      <c r="C521" s="1">
        <v>44083</v>
      </c>
      <c r="D521" t="b">
        <v>1</v>
      </c>
      <c r="E521" t="s">
        <v>10</v>
      </c>
      <c r="F521">
        <v>406</v>
      </c>
    </row>
    <row r="522" spans="1:6" x14ac:dyDescent="0.25">
      <c r="A522" t="s">
        <v>957</v>
      </c>
      <c r="B522" t="s">
        <v>958</v>
      </c>
      <c r="C522" s="1">
        <v>44083</v>
      </c>
      <c r="D522" t="b">
        <v>1</v>
      </c>
      <c r="E522" t="s">
        <v>10</v>
      </c>
      <c r="F522">
        <v>15419</v>
      </c>
    </row>
    <row r="523" spans="1:6" x14ac:dyDescent="0.25">
      <c r="A523" t="s">
        <v>959</v>
      </c>
      <c r="B523" t="s">
        <v>960</v>
      </c>
      <c r="C523" s="1">
        <v>44083</v>
      </c>
      <c r="D523" t="b">
        <v>1</v>
      </c>
      <c r="E523" t="s">
        <v>10</v>
      </c>
      <c r="F523">
        <v>9441</v>
      </c>
    </row>
    <row r="524" spans="1:6" x14ac:dyDescent="0.25">
      <c r="A524" t="s">
        <v>961</v>
      </c>
      <c r="B524" t="s">
        <v>962</v>
      </c>
      <c r="C524" s="1">
        <v>44083</v>
      </c>
      <c r="D524" t="b">
        <v>1</v>
      </c>
      <c r="E524" t="s">
        <v>10</v>
      </c>
      <c r="F524">
        <v>9442</v>
      </c>
    </row>
    <row r="525" spans="1:6" x14ac:dyDescent="0.25">
      <c r="A525" t="s">
        <v>963</v>
      </c>
      <c r="B525" t="s">
        <v>964</v>
      </c>
      <c r="C525" s="1">
        <v>44083</v>
      </c>
      <c r="D525" t="b">
        <v>1</v>
      </c>
      <c r="E525" t="s">
        <v>10</v>
      </c>
      <c r="F525">
        <v>9326</v>
      </c>
    </row>
    <row r="526" spans="1:6" x14ac:dyDescent="0.25">
      <c r="A526" t="s">
        <v>965</v>
      </c>
      <c r="B526" t="s">
        <v>966</v>
      </c>
      <c r="C526" s="1">
        <v>44083</v>
      </c>
      <c r="D526" t="b">
        <v>1</v>
      </c>
      <c r="E526" t="s">
        <v>10</v>
      </c>
      <c r="F526">
        <v>411</v>
      </c>
    </row>
    <row r="527" spans="1:6" x14ac:dyDescent="0.25">
      <c r="A527" t="s">
        <v>967</v>
      </c>
      <c r="B527" t="s">
        <v>968</v>
      </c>
      <c r="C527" s="1">
        <v>44083</v>
      </c>
      <c r="D527" t="b">
        <v>1</v>
      </c>
      <c r="E527" t="s">
        <v>10</v>
      </c>
      <c r="F527">
        <v>9327</v>
      </c>
    </row>
    <row r="528" spans="1:6" x14ac:dyDescent="0.25">
      <c r="A528" t="s">
        <v>969</v>
      </c>
      <c r="B528" t="s">
        <v>970</v>
      </c>
      <c r="C528" s="1">
        <v>44083</v>
      </c>
      <c r="D528" t="b">
        <v>1</v>
      </c>
      <c r="E528" t="s">
        <v>10</v>
      </c>
      <c r="F528">
        <v>412</v>
      </c>
    </row>
    <row r="529" spans="1:6" x14ac:dyDescent="0.25">
      <c r="A529" t="s">
        <v>971</v>
      </c>
      <c r="B529" t="s">
        <v>972</v>
      </c>
      <c r="C529" s="1">
        <v>44083</v>
      </c>
      <c r="D529" t="b">
        <v>1</v>
      </c>
      <c r="E529" t="s">
        <v>10</v>
      </c>
      <c r="F529">
        <v>14809</v>
      </c>
    </row>
    <row r="530" spans="1:6" x14ac:dyDescent="0.25">
      <c r="A530" t="s">
        <v>973</v>
      </c>
      <c r="B530" t="s">
        <v>974</v>
      </c>
      <c r="C530" s="1">
        <v>44083</v>
      </c>
      <c r="D530" t="b">
        <v>1</v>
      </c>
      <c r="E530" t="s">
        <v>10</v>
      </c>
      <c r="F530">
        <v>413</v>
      </c>
    </row>
    <row r="531" spans="1:6" x14ac:dyDescent="0.25">
      <c r="A531" t="s">
        <v>975</v>
      </c>
      <c r="B531" t="s">
        <v>976</v>
      </c>
      <c r="C531" s="1">
        <v>44083</v>
      </c>
      <c r="D531" t="b">
        <v>1</v>
      </c>
      <c r="E531" t="s">
        <v>10</v>
      </c>
      <c r="F531">
        <v>8127</v>
      </c>
    </row>
    <row r="532" spans="1:6" x14ac:dyDescent="0.25">
      <c r="A532" t="s">
        <v>977</v>
      </c>
      <c r="B532" t="s">
        <v>978</v>
      </c>
      <c r="C532" s="1">
        <v>44083</v>
      </c>
      <c r="D532" t="b">
        <v>1</v>
      </c>
      <c r="E532" t="s">
        <v>10</v>
      </c>
      <c r="F532">
        <v>10432</v>
      </c>
    </row>
    <row r="533" spans="1:6" x14ac:dyDescent="0.25">
      <c r="A533" t="s">
        <v>979</v>
      </c>
      <c r="B533" t="s">
        <v>980</v>
      </c>
      <c r="C533" s="1">
        <v>44083</v>
      </c>
      <c r="D533" t="b">
        <v>1</v>
      </c>
      <c r="E533" t="s">
        <v>10</v>
      </c>
      <c r="F533">
        <v>16514</v>
      </c>
    </row>
    <row r="534" spans="1:6" x14ac:dyDescent="0.25">
      <c r="A534" t="s">
        <v>981</v>
      </c>
      <c r="B534" t="s">
        <v>982</v>
      </c>
      <c r="C534" s="1">
        <v>44083</v>
      </c>
      <c r="D534" t="b">
        <v>1</v>
      </c>
      <c r="E534" t="s">
        <v>10</v>
      </c>
      <c r="F534">
        <v>416</v>
      </c>
    </row>
    <row r="535" spans="1:6" x14ac:dyDescent="0.25">
      <c r="A535" t="s">
        <v>983</v>
      </c>
      <c r="B535" t="s">
        <v>984</v>
      </c>
      <c r="C535" s="1">
        <v>44083</v>
      </c>
      <c r="D535" t="b">
        <v>1</v>
      </c>
      <c r="E535" t="s">
        <v>10</v>
      </c>
      <c r="F535">
        <v>16509</v>
      </c>
    </row>
    <row r="536" spans="1:6" x14ac:dyDescent="0.25">
      <c r="A536" t="s">
        <v>985</v>
      </c>
      <c r="B536" t="s">
        <v>986</v>
      </c>
      <c r="C536" s="1">
        <v>44083</v>
      </c>
      <c r="D536" t="b">
        <v>1</v>
      </c>
      <c r="E536" t="s">
        <v>10</v>
      </c>
      <c r="F536">
        <v>2368</v>
      </c>
    </row>
    <row r="537" spans="1:6" x14ac:dyDescent="0.25">
      <c r="A537" t="s">
        <v>987</v>
      </c>
      <c r="B537" t="s">
        <v>988</v>
      </c>
      <c r="C537" s="1">
        <v>44083</v>
      </c>
      <c r="D537" t="b">
        <v>1</v>
      </c>
      <c r="E537" t="s">
        <v>10</v>
      </c>
      <c r="F537">
        <v>418</v>
      </c>
    </row>
    <row r="538" spans="1:6" x14ac:dyDescent="0.25">
      <c r="A538" t="s">
        <v>989</v>
      </c>
      <c r="B538" t="s">
        <v>990</v>
      </c>
      <c r="C538" s="1">
        <v>44083</v>
      </c>
      <c r="D538" t="b">
        <v>1</v>
      </c>
      <c r="E538" t="s">
        <v>10</v>
      </c>
      <c r="F538">
        <v>14778</v>
      </c>
    </row>
    <row r="539" spans="1:6" x14ac:dyDescent="0.25">
      <c r="A539" t="s">
        <v>991</v>
      </c>
      <c r="B539" t="s">
        <v>992</v>
      </c>
      <c r="C539" s="1">
        <v>44083</v>
      </c>
      <c r="D539" t="b">
        <v>1</v>
      </c>
      <c r="E539" t="s">
        <v>10</v>
      </c>
      <c r="F539">
        <v>16442</v>
      </c>
    </row>
    <row r="540" spans="1:6" x14ac:dyDescent="0.25">
      <c r="A540" t="s">
        <v>993</v>
      </c>
      <c r="B540" t="s">
        <v>994</v>
      </c>
      <c r="C540" s="1">
        <v>44083</v>
      </c>
      <c r="D540" t="b">
        <v>1</v>
      </c>
      <c r="E540" t="s">
        <v>10</v>
      </c>
      <c r="F540">
        <v>422</v>
      </c>
    </row>
    <row r="541" spans="1:6" x14ac:dyDescent="0.25">
      <c r="A541" t="s">
        <v>995</v>
      </c>
      <c r="C541" s="1">
        <v>44083</v>
      </c>
      <c r="D541" t="b">
        <v>1</v>
      </c>
      <c r="E541" t="s">
        <v>10</v>
      </c>
      <c r="F541">
        <v>16490</v>
      </c>
    </row>
    <row r="542" spans="1:6" x14ac:dyDescent="0.25">
      <c r="A542" t="s">
        <v>996</v>
      </c>
      <c r="B542" t="s">
        <v>997</v>
      </c>
      <c r="C542" s="1">
        <v>44083</v>
      </c>
      <c r="D542" t="b">
        <v>1</v>
      </c>
      <c r="E542" t="s">
        <v>10</v>
      </c>
      <c r="F542">
        <v>15860</v>
      </c>
    </row>
    <row r="543" spans="1:6" x14ac:dyDescent="0.25">
      <c r="A543" t="s">
        <v>998</v>
      </c>
      <c r="C543" s="1">
        <v>44083</v>
      </c>
      <c r="D543" t="b">
        <v>1</v>
      </c>
      <c r="E543" t="s">
        <v>10</v>
      </c>
      <c r="F543">
        <v>15864</v>
      </c>
    </row>
    <row r="544" spans="1:6" x14ac:dyDescent="0.25">
      <c r="A544" t="s">
        <v>999</v>
      </c>
      <c r="B544" t="s">
        <v>1000</v>
      </c>
      <c r="C544" s="1">
        <v>44083</v>
      </c>
      <c r="D544" t="b">
        <v>1</v>
      </c>
      <c r="E544" t="s">
        <v>10</v>
      </c>
      <c r="F544">
        <v>429</v>
      </c>
    </row>
    <row r="545" spans="1:6" x14ac:dyDescent="0.25">
      <c r="A545" t="s">
        <v>1001</v>
      </c>
      <c r="B545" t="s">
        <v>1002</v>
      </c>
      <c r="C545" s="1">
        <v>44083</v>
      </c>
      <c r="D545" t="b">
        <v>1</v>
      </c>
      <c r="E545" t="s">
        <v>10</v>
      </c>
      <c r="F545">
        <v>430</v>
      </c>
    </row>
    <row r="546" spans="1:6" x14ac:dyDescent="0.25">
      <c r="A546" t="s">
        <v>1003</v>
      </c>
      <c r="B546" t="s">
        <v>1004</v>
      </c>
      <c r="C546" s="1">
        <v>44083</v>
      </c>
      <c r="D546" t="b">
        <v>1</v>
      </c>
      <c r="E546" t="s">
        <v>10</v>
      </c>
      <c r="F546">
        <v>14974</v>
      </c>
    </row>
    <row r="547" spans="1:6" x14ac:dyDescent="0.25">
      <c r="A547" t="s">
        <v>1005</v>
      </c>
      <c r="B547" t="s">
        <v>1006</v>
      </c>
      <c r="C547" s="1">
        <v>44083</v>
      </c>
      <c r="D547" t="b">
        <v>1</v>
      </c>
      <c r="E547" t="s">
        <v>10</v>
      </c>
      <c r="F547">
        <v>434</v>
      </c>
    </row>
    <row r="548" spans="1:6" x14ac:dyDescent="0.25">
      <c r="A548" t="s">
        <v>1007</v>
      </c>
      <c r="B548" t="s">
        <v>1008</v>
      </c>
      <c r="C548" s="1">
        <v>44083</v>
      </c>
      <c r="D548" t="b">
        <v>1</v>
      </c>
      <c r="E548" t="s">
        <v>10</v>
      </c>
      <c r="F548">
        <v>435</v>
      </c>
    </row>
    <row r="549" spans="1:6" x14ac:dyDescent="0.25">
      <c r="A549" t="s">
        <v>1009</v>
      </c>
      <c r="B549" t="s">
        <v>1010</v>
      </c>
      <c r="C549" s="1">
        <v>44083</v>
      </c>
      <c r="D549" t="b">
        <v>1</v>
      </c>
      <c r="E549" t="s">
        <v>10</v>
      </c>
      <c r="F549">
        <v>17001</v>
      </c>
    </row>
    <row r="550" spans="1:6" x14ac:dyDescent="0.25">
      <c r="A550" t="s">
        <v>1011</v>
      </c>
      <c r="B550" t="s">
        <v>1012</v>
      </c>
      <c r="C550" s="1">
        <v>44083</v>
      </c>
      <c r="D550" t="b">
        <v>1</v>
      </c>
      <c r="E550" t="s">
        <v>10</v>
      </c>
      <c r="F550">
        <v>17024</v>
      </c>
    </row>
    <row r="551" spans="1:6" x14ac:dyDescent="0.25">
      <c r="A551" t="s">
        <v>1013</v>
      </c>
      <c r="B551" t="s">
        <v>1014</v>
      </c>
      <c r="C551" s="1">
        <v>44083</v>
      </c>
      <c r="D551" t="b">
        <v>1</v>
      </c>
      <c r="E551" t="s">
        <v>10</v>
      </c>
      <c r="F551">
        <v>16742</v>
      </c>
    </row>
    <row r="552" spans="1:6" x14ac:dyDescent="0.25">
      <c r="A552" t="s">
        <v>1015</v>
      </c>
      <c r="C552" s="1">
        <v>44083</v>
      </c>
      <c r="D552" t="b">
        <v>1</v>
      </c>
      <c r="E552" t="s">
        <v>10</v>
      </c>
      <c r="F552">
        <v>17030</v>
      </c>
    </row>
    <row r="553" spans="1:6" x14ac:dyDescent="0.25">
      <c r="A553" t="s">
        <v>1016</v>
      </c>
      <c r="B553" t="s">
        <v>1017</v>
      </c>
      <c r="C553" s="1">
        <v>44083</v>
      </c>
      <c r="D553" t="b">
        <v>1</v>
      </c>
      <c r="E553" t="s">
        <v>10</v>
      </c>
      <c r="F553">
        <v>438</v>
      </c>
    </row>
    <row r="554" spans="1:6" x14ac:dyDescent="0.25">
      <c r="A554" t="s">
        <v>1018</v>
      </c>
      <c r="B554" t="s">
        <v>1019</v>
      </c>
      <c r="C554" s="1">
        <v>44083</v>
      </c>
      <c r="D554" t="b">
        <v>1</v>
      </c>
      <c r="E554" t="s">
        <v>10</v>
      </c>
      <c r="F554">
        <v>440</v>
      </c>
    </row>
    <row r="555" spans="1:6" x14ac:dyDescent="0.25">
      <c r="A555" t="s">
        <v>1020</v>
      </c>
      <c r="C555" s="1">
        <v>44083</v>
      </c>
      <c r="D555" t="b">
        <v>1</v>
      </c>
      <c r="E555" t="s">
        <v>10</v>
      </c>
      <c r="F555">
        <v>10116</v>
      </c>
    </row>
    <row r="556" spans="1:6" x14ac:dyDescent="0.25">
      <c r="A556" t="s">
        <v>1021</v>
      </c>
      <c r="C556" s="1">
        <v>44083</v>
      </c>
      <c r="D556" t="b">
        <v>1</v>
      </c>
      <c r="E556" t="s">
        <v>10</v>
      </c>
      <c r="F556">
        <v>11880</v>
      </c>
    </row>
    <row r="557" spans="1:6" x14ac:dyDescent="0.25">
      <c r="A557" t="s">
        <v>1022</v>
      </c>
      <c r="C557" s="1">
        <v>44083</v>
      </c>
      <c r="D557" t="b">
        <v>1</v>
      </c>
      <c r="E557" t="s">
        <v>10</v>
      </c>
      <c r="F557">
        <v>15086</v>
      </c>
    </row>
    <row r="558" spans="1:6" x14ac:dyDescent="0.25">
      <c r="A558" t="s">
        <v>1023</v>
      </c>
      <c r="C558" s="1">
        <v>44083</v>
      </c>
      <c r="D558" t="b">
        <v>1</v>
      </c>
      <c r="E558" t="s">
        <v>10</v>
      </c>
      <c r="F558">
        <v>16849</v>
      </c>
    </row>
    <row r="559" spans="1:6" x14ac:dyDescent="0.25">
      <c r="A559" t="s">
        <v>1024</v>
      </c>
      <c r="B559" t="s">
        <v>1025</v>
      </c>
      <c r="C559" s="1">
        <v>44083</v>
      </c>
      <c r="D559" t="b">
        <v>1</v>
      </c>
      <c r="E559" t="s">
        <v>10</v>
      </c>
      <c r="F559">
        <v>442</v>
      </c>
    </row>
    <row r="560" spans="1:6" x14ac:dyDescent="0.25">
      <c r="A560" t="s">
        <v>1026</v>
      </c>
      <c r="B560" t="s">
        <v>1027</v>
      </c>
      <c r="C560" s="1">
        <v>44083</v>
      </c>
      <c r="D560" t="b">
        <v>1</v>
      </c>
      <c r="E560" t="s">
        <v>10</v>
      </c>
      <c r="F560">
        <v>446</v>
      </c>
    </row>
    <row r="561" spans="1:6" x14ac:dyDescent="0.25">
      <c r="A561" t="s">
        <v>1028</v>
      </c>
      <c r="B561" t="s">
        <v>1029</v>
      </c>
      <c r="C561" s="1">
        <v>44083</v>
      </c>
      <c r="D561" t="b">
        <v>1</v>
      </c>
      <c r="E561" t="s">
        <v>10</v>
      </c>
      <c r="F561">
        <v>10874</v>
      </c>
    </row>
    <row r="562" spans="1:6" x14ac:dyDescent="0.25">
      <c r="A562" t="s">
        <v>1030</v>
      </c>
      <c r="B562" t="s">
        <v>1031</v>
      </c>
      <c r="C562" s="1">
        <v>44083</v>
      </c>
      <c r="D562" t="b">
        <v>1</v>
      </c>
      <c r="E562" t="s">
        <v>10</v>
      </c>
      <c r="F562">
        <v>448</v>
      </c>
    </row>
    <row r="563" spans="1:6" x14ac:dyDescent="0.25">
      <c r="A563" t="s">
        <v>1032</v>
      </c>
      <c r="B563" t="s">
        <v>1033</v>
      </c>
      <c r="C563" s="1">
        <v>44083</v>
      </c>
      <c r="D563" t="b">
        <v>1</v>
      </c>
      <c r="E563" t="s">
        <v>10</v>
      </c>
      <c r="F563">
        <v>449</v>
      </c>
    </row>
    <row r="564" spans="1:6" x14ac:dyDescent="0.25">
      <c r="A564" t="s">
        <v>1034</v>
      </c>
      <c r="B564" t="s">
        <v>1035</v>
      </c>
      <c r="C564" s="1">
        <v>44083</v>
      </c>
      <c r="D564" t="b">
        <v>1</v>
      </c>
      <c r="E564" t="s">
        <v>10</v>
      </c>
      <c r="F564">
        <v>16888</v>
      </c>
    </row>
    <row r="565" spans="1:6" x14ac:dyDescent="0.25">
      <c r="A565" t="s">
        <v>1036</v>
      </c>
      <c r="B565" t="s">
        <v>1037</v>
      </c>
      <c r="C565" s="1">
        <v>44083</v>
      </c>
      <c r="D565" t="b">
        <v>1</v>
      </c>
      <c r="E565" t="s">
        <v>10</v>
      </c>
      <c r="F565">
        <v>450</v>
      </c>
    </row>
    <row r="566" spans="1:6" x14ac:dyDescent="0.25">
      <c r="A566" t="s">
        <v>1038</v>
      </c>
      <c r="B566" t="s">
        <v>1039</v>
      </c>
      <c r="C566" s="1">
        <v>44083</v>
      </c>
      <c r="D566" t="b">
        <v>1</v>
      </c>
      <c r="E566" t="s">
        <v>10</v>
      </c>
      <c r="F566">
        <v>11862</v>
      </c>
    </row>
    <row r="567" spans="1:6" x14ac:dyDescent="0.25">
      <c r="A567" t="s">
        <v>1040</v>
      </c>
      <c r="B567" t="s">
        <v>1041</v>
      </c>
      <c r="C567" s="1">
        <v>44083</v>
      </c>
      <c r="D567" t="b">
        <v>1</v>
      </c>
      <c r="E567" t="s">
        <v>10</v>
      </c>
      <c r="F567">
        <v>8056</v>
      </c>
    </row>
    <row r="568" spans="1:6" x14ac:dyDescent="0.25">
      <c r="A568" t="s">
        <v>1042</v>
      </c>
      <c r="B568" t="s">
        <v>1043</v>
      </c>
      <c r="C568" s="1">
        <v>44083</v>
      </c>
      <c r="D568" t="b">
        <v>1</v>
      </c>
      <c r="E568" t="s">
        <v>10</v>
      </c>
      <c r="F568">
        <v>8647</v>
      </c>
    </row>
    <row r="569" spans="1:6" x14ac:dyDescent="0.25">
      <c r="A569" t="s">
        <v>1044</v>
      </c>
      <c r="B569" t="s">
        <v>1045</v>
      </c>
      <c r="C569" s="1">
        <v>44083</v>
      </c>
      <c r="D569" t="b">
        <v>1</v>
      </c>
      <c r="E569" t="s">
        <v>10</v>
      </c>
      <c r="F569">
        <v>10708</v>
      </c>
    </row>
    <row r="570" spans="1:6" x14ac:dyDescent="0.25">
      <c r="A570" t="s">
        <v>1046</v>
      </c>
      <c r="B570" t="s">
        <v>1047</v>
      </c>
      <c r="C570" s="1">
        <v>44083</v>
      </c>
      <c r="D570" t="b">
        <v>1</v>
      </c>
      <c r="E570" t="s">
        <v>10</v>
      </c>
      <c r="F570">
        <v>11838</v>
      </c>
    </row>
    <row r="571" spans="1:6" x14ac:dyDescent="0.25">
      <c r="A571" t="s">
        <v>1048</v>
      </c>
      <c r="B571" t="s">
        <v>1049</v>
      </c>
      <c r="C571" s="1">
        <v>44083</v>
      </c>
      <c r="D571" t="b">
        <v>1</v>
      </c>
      <c r="E571" t="s">
        <v>10</v>
      </c>
      <c r="F571">
        <v>14303</v>
      </c>
    </row>
    <row r="572" spans="1:6" x14ac:dyDescent="0.25">
      <c r="A572" t="s">
        <v>1050</v>
      </c>
      <c r="B572" t="s">
        <v>1051</v>
      </c>
      <c r="C572" s="1">
        <v>44083</v>
      </c>
      <c r="D572" t="b">
        <v>1</v>
      </c>
      <c r="E572" t="s">
        <v>10</v>
      </c>
      <c r="F572">
        <v>454</v>
      </c>
    </row>
    <row r="573" spans="1:6" x14ac:dyDescent="0.25">
      <c r="A573" t="s">
        <v>1052</v>
      </c>
      <c r="B573" t="s">
        <v>1053</v>
      </c>
      <c r="C573" s="1">
        <v>44083</v>
      </c>
      <c r="D573" t="b">
        <v>1</v>
      </c>
      <c r="E573" t="s">
        <v>10</v>
      </c>
      <c r="F573">
        <v>7380</v>
      </c>
    </row>
    <row r="574" spans="1:6" x14ac:dyDescent="0.25">
      <c r="A574" t="s">
        <v>1054</v>
      </c>
      <c r="B574" t="s">
        <v>1055</v>
      </c>
      <c r="C574" s="1">
        <v>44083</v>
      </c>
      <c r="D574" t="b">
        <v>1</v>
      </c>
      <c r="E574" t="s">
        <v>10</v>
      </c>
      <c r="F574">
        <v>456</v>
      </c>
    </row>
    <row r="575" spans="1:6" x14ac:dyDescent="0.25">
      <c r="A575" t="s">
        <v>1056</v>
      </c>
      <c r="B575" t="s">
        <v>1057</v>
      </c>
      <c r="C575" s="1">
        <v>44083</v>
      </c>
      <c r="D575" t="b">
        <v>1</v>
      </c>
      <c r="E575" t="s">
        <v>10</v>
      </c>
      <c r="F575">
        <v>9672</v>
      </c>
    </row>
    <row r="576" spans="1:6" x14ac:dyDescent="0.25">
      <c r="A576" t="s">
        <v>1058</v>
      </c>
      <c r="B576" t="s">
        <v>1059</v>
      </c>
      <c r="C576" s="1">
        <v>44083</v>
      </c>
      <c r="D576" t="b">
        <v>1</v>
      </c>
      <c r="E576" t="s">
        <v>10</v>
      </c>
      <c r="F576">
        <v>459</v>
      </c>
    </row>
    <row r="577" spans="1:6" x14ac:dyDescent="0.25">
      <c r="A577" t="s">
        <v>1060</v>
      </c>
      <c r="B577" t="s">
        <v>1061</v>
      </c>
      <c r="C577" s="1">
        <v>44083</v>
      </c>
      <c r="D577" t="b">
        <v>1</v>
      </c>
      <c r="E577" t="s">
        <v>10</v>
      </c>
      <c r="F577">
        <v>460</v>
      </c>
    </row>
    <row r="578" spans="1:6" x14ac:dyDescent="0.25">
      <c r="A578" t="s">
        <v>1062</v>
      </c>
      <c r="B578" t="s">
        <v>1063</v>
      </c>
      <c r="C578" s="1">
        <v>44083</v>
      </c>
      <c r="D578" t="b">
        <v>1</v>
      </c>
      <c r="E578" t="s">
        <v>10</v>
      </c>
      <c r="F578">
        <v>13212</v>
      </c>
    </row>
    <row r="579" spans="1:6" x14ac:dyDescent="0.25">
      <c r="A579" t="s">
        <v>1064</v>
      </c>
      <c r="B579" t="s">
        <v>1065</v>
      </c>
      <c r="C579" s="1">
        <v>44083</v>
      </c>
      <c r="D579" t="b">
        <v>1</v>
      </c>
      <c r="E579" t="s">
        <v>10</v>
      </c>
      <c r="F579">
        <v>461</v>
      </c>
    </row>
    <row r="580" spans="1:6" x14ac:dyDescent="0.25">
      <c r="A580" t="s">
        <v>1066</v>
      </c>
      <c r="B580" t="s">
        <v>1067</v>
      </c>
      <c r="C580" s="1">
        <v>44083</v>
      </c>
      <c r="D580" t="b">
        <v>1</v>
      </c>
      <c r="E580" t="s">
        <v>10</v>
      </c>
      <c r="F580">
        <v>16746</v>
      </c>
    </row>
    <row r="581" spans="1:6" x14ac:dyDescent="0.25">
      <c r="A581" t="s">
        <v>1068</v>
      </c>
      <c r="B581" t="s">
        <v>1069</v>
      </c>
      <c r="C581" s="1">
        <v>44083</v>
      </c>
      <c r="D581" t="b">
        <v>1</v>
      </c>
      <c r="E581" t="s">
        <v>10</v>
      </c>
      <c r="F581">
        <v>462</v>
      </c>
    </row>
    <row r="582" spans="1:6" x14ac:dyDescent="0.25">
      <c r="A582" t="s">
        <v>1070</v>
      </c>
      <c r="C582" s="1">
        <v>44083</v>
      </c>
      <c r="D582" t="b">
        <v>1</v>
      </c>
      <c r="E582" t="s">
        <v>10</v>
      </c>
      <c r="F582">
        <v>463</v>
      </c>
    </row>
    <row r="583" spans="1:6" x14ac:dyDescent="0.25">
      <c r="A583" t="s">
        <v>1071</v>
      </c>
      <c r="B583" t="s">
        <v>1072</v>
      </c>
      <c r="C583" s="1">
        <v>44083</v>
      </c>
      <c r="D583" t="b">
        <v>1</v>
      </c>
      <c r="E583" t="s">
        <v>10</v>
      </c>
      <c r="F583">
        <v>464</v>
      </c>
    </row>
    <row r="584" spans="1:6" x14ac:dyDescent="0.25">
      <c r="A584" t="s">
        <v>1073</v>
      </c>
      <c r="B584" t="s">
        <v>1074</v>
      </c>
      <c r="C584" s="1">
        <v>44083</v>
      </c>
      <c r="D584" t="b">
        <v>1</v>
      </c>
      <c r="E584" t="s">
        <v>10</v>
      </c>
      <c r="F584">
        <v>465</v>
      </c>
    </row>
    <row r="585" spans="1:6" x14ac:dyDescent="0.25">
      <c r="A585" t="s">
        <v>1075</v>
      </c>
      <c r="B585" t="s">
        <v>1076</v>
      </c>
      <c r="C585" s="1">
        <v>44083</v>
      </c>
      <c r="D585" t="b">
        <v>1</v>
      </c>
      <c r="E585" t="s">
        <v>10</v>
      </c>
      <c r="F585">
        <v>469</v>
      </c>
    </row>
    <row r="586" spans="1:6" x14ac:dyDescent="0.25">
      <c r="A586" t="s">
        <v>1077</v>
      </c>
      <c r="B586" t="s">
        <v>1078</v>
      </c>
      <c r="C586" s="1">
        <v>44083</v>
      </c>
      <c r="D586" t="b">
        <v>1</v>
      </c>
      <c r="E586" t="s">
        <v>10</v>
      </c>
      <c r="F586">
        <v>14460</v>
      </c>
    </row>
    <row r="587" spans="1:6" x14ac:dyDescent="0.25">
      <c r="A587" t="s">
        <v>1079</v>
      </c>
      <c r="B587" t="s">
        <v>1080</v>
      </c>
      <c r="C587" s="1">
        <v>44083</v>
      </c>
      <c r="D587" t="b">
        <v>1</v>
      </c>
      <c r="E587" t="s">
        <v>10</v>
      </c>
      <c r="F587">
        <v>471</v>
      </c>
    </row>
    <row r="588" spans="1:6" x14ac:dyDescent="0.25">
      <c r="A588" t="s">
        <v>1081</v>
      </c>
      <c r="B588" t="s">
        <v>1082</v>
      </c>
      <c r="C588" s="1">
        <v>44083</v>
      </c>
      <c r="D588" t="b">
        <v>1</v>
      </c>
      <c r="E588" t="s">
        <v>10</v>
      </c>
      <c r="F588">
        <v>472</v>
      </c>
    </row>
    <row r="589" spans="1:6" x14ac:dyDescent="0.25">
      <c r="A589" t="s">
        <v>1083</v>
      </c>
      <c r="B589" t="s">
        <v>1084</v>
      </c>
      <c r="C589" s="1">
        <v>44083</v>
      </c>
      <c r="D589" t="b">
        <v>1</v>
      </c>
      <c r="E589" t="s">
        <v>10</v>
      </c>
      <c r="F589">
        <v>475</v>
      </c>
    </row>
    <row r="590" spans="1:6" x14ac:dyDescent="0.25">
      <c r="A590" t="s">
        <v>1085</v>
      </c>
      <c r="B590" t="s">
        <v>1086</v>
      </c>
      <c r="C590" s="1">
        <v>44083</v>
      </c>
      <c r="D590" t="b">
        <v>1</v>
      </c>
      <c r="E590" t="s">
        <v>10</v>
      </c>
      <c r="F590">
        <v>16380</v>
      </c>
    </row>
    <row r="591" spans="1:6" x14ac:dyDescent="0.25">
      <c r="A591" t="s">
        <v>1087</v>
      </c>
      <c r="C591" s="1">
        <v>44083</v>
      </c>
      <c r="D591" t="b">
        <v>1</v>
      </c>
      <c r="E591" t="s">
        <v>10</v>
      </c>
      <c r="F591">
        <v>16584</v>
      </c>
    </row>
    <row r="592" spans="1:6" x14ac:dyDescent="0.25">
      <c r="A592" t="s">
        <v>1088</v>
      </c>
      <c r="C592" s="1">
        <v>44083</v>
      </c>
      <c r="D592" t="b">
        <v>1</v>
      </c>
      <c r="E592" t="s">
        <v>10</v>
      </c>
      <c r="F592">
        <v>16585</v>
      </c>
    </row>
    <row r="593" spans="1:6" x14ac:dyDescent="0.25">
      <c r="A593" t="s">
        <v>1089</v>
      </c>
      <c r="C593" s="1">
        <v>44083</v>
      </c>
      <c r="D593" t="b">
        <v>1</v>
      </c>
      <c r="E593" t="s">
        <v>10</v>
      </c>
      <c r="F593">
        <v>16586</v>
      </c>
    </row>
    <row r="594" spans="1:6" x14ac:dyDescent="0.25">
      <c r="A594" t="s">
        <v>1090</v>
      </c>
      <c r="C594" s="1">
        <v>44083</v>
      </c>
      <c r="D594" t="b">
        <v>1</v>
      </c>
      <c r="E594" t="s">
        <v>10</v>
      </c>
      <c r="F594">
        <v>16587</v>
      </c>
    </row>
    <row r="595" spans="1:6" x14ac:dyDescent="0.25">
      <c r="A595" t="s">
        <v>1091</v>
      </c>
      <c r="C595" s="1">
        <v>44083</v>
      </c>
      <c r="D595" t="b">
        <v>1</v>
      </c>
      <c r="E595" t="s">
        <v>10</v>
      </c>
      <c r="F595">
        <v>16588</v>
      </c>
    </row>
    <row r="596" spans="1:6" x14ac:dyDescent="0.25">
      <c r="A596" t="s">
        <v>1092</v>
      </c>
      <c r="B596" t="s">
        <v>1093</v>
      </c>
      <c r="C596" s="1">
        <v>44083</v>
      </c>
      <c r="D596" t="b">
        <v>1</v>
      </c>
      <c r="E596" t="s">
        <v>10</v>
      </c>
      <c r="F596">
        <v>15353</v>
      </c>
    </row>
    <row r="597" spans="1:6" x14ac:dyDescent="0.25">
      <c r="A597" t="s">
        <v>1094</v>
      </c>
      <c r="C597" s="1">
        <v>44083</v>
      </c>
      <c r="D597" t="b">
        <v>1</v>
      </c>
      <c r="E597" t="s">
        <v>10</v>
      </c>
      <c r="F597">
        <v>15362</v>
      </c>
    </row>
    <row r="598" spans="1:6" x14ac:dyDescent="0.25">
      <c r="A598" t="s">
        <v>1095</v>
      </c>
      <c r="B598" t="s">
        <v>1096</v>
      </c>
      <c r="C598" s="1">
        <v>44083</v>
      </c>
      <c r="D598" t="b">
        <v>1</v>
      </c>
      <c r="E598" t="s">
        <v>10</v>
      </c>
      <c r="F598">
        <v>478</v>
      </c>
    </row>
    <row r="599" spans="1:6" x14ac:dyDescent="0.25">
      <c r="A599" t="s">
        <v>1097</v>
      </c>
      <c r="B599" t="s">
        <v>1098</v>
      </c>
      <c r="C599" s="1">
        <v>44083</v>
      </c>
      <c r="D599" t="b">
        <v>1</v>
      </c>
      <c r="E599" t="s">
        <v>10</v>
      </c>
      <c r="F599">
        <v>8342</v>
      </c>
    </row>
    <row r="600" spans="1:6" x14ac:dyDescent="0.25">
      <c r="A600" t="s">
        <v>1099</v>
      </c>
      <c r="B600" t="s">
        <v>1100</v>
      </c>
      <c r="C600" s="1">
        <v>44083</v>
      </c>
      <c r="D600" t="b">
        <v>1</v>
      </c>
      <c r="E600" t="s">
        <v>10</v>
      </c>
      <c r="F600">
        <v>9712</v>
      </c>
    </row>
    <row r="601" spans="1:6" x14ac:dyDescent="0.25">
      <c r="A601" t="s">
        <v>1101</v>
      </c>
      <c r="B601" t="s">
        <v>1102</v>
      </c>
      <c r="C601" s="1">
        <v>44083</v>
      </c>
      <c r="D601" t="b">
        <v>1</v>
      </c>
      <c r="E601" t="s">
        <v>10</v>
      </c>
      <c r="F601">
        <v>1934</v>
      </c>
    </row>
    <row r="602" spans="1:6" x14ac:dyDescent="0.25">
      <c r="A602" t="s">
        <v>1103</v>
      </c>
      <c r="B602" t="s">
        <v>1104</v>
      </c>
      <c r="C602" s="1">
        <v>44083</v>
      </c>
      <c r="D602" t="b">
        <v>1</v>
      </c>
      <c r="E602" t="s">
        <v>10</v>
      </c>
      <c r="F602">
        <v>11340</v>
      </c>
    </row>
    <row r="603" spans="1:6" x14ac:dyDescent="0.25">
      <c r="A603" t="s">
        <v>1105</v>
      </c>
      <c r="C603" s="1">
        <v>44083</v>
      </c>
      <c r="D603" t="b">
        <v>1</v>
      </c>
      <c r="E603" t="s">
        <v>10</v>
      </c>
      <c r="F603">
        <v>15854</v>
      </c>
    </row>
    <row r="604" spans="1:6" x14ac:dyDescent="0.25">
      <c r="A604" t="s">
        <v>1106</v>
      </c>
      <c r="C604" s="1">
        <v>44083</v>
      </c>
      <c r="D604" t="b">
        <v>1</v>
      </c>
      <c r="E604" t="s">
        <v>10</v>
      </c>
      <c r="F604">
        <v>16122</v>
      </c>
    </row>
    <row r="605" spans="1:6" x14ac:dyDescent="0.25">
      <c r="A605" t="s">
        <v>1107</v>
      </c>
      <c r="C605" s="1">
        <v>44083</v>
      </c>
      <c r="D605" t="b">
        <v>1</v>
      </c>
      <c r="E605" t="s">
        <v>10</v>
      </c>
      <c r="F605">
        <v>16830</v>
      </c>
    </row>
    <row r="606" spans="1:6" x14ac:dyDescent="0.25">
      <c r="A606" t="s">
        <v>1108</v>
      </c>
      <c r="B606" t="s">
        <v>1109</v>
      </c>
      <c r="C606" s="1">
        <v>44083</v>
      </c>
      <c r="D606" t="b">
        <v>1</v>
      </c>
      <c r="E606" t="s">
        <v>10</v>
      </c>
      <c r="F606">
        <v>5552</v>
      </c>
    </row>
    <row r="607" spans="1:6" x14ac:dyDescent="0.25">
      <c r="A607" t="s">
        <v>1110</v>
      </c>
      <c r="B607" t="s">
        <v>1111</v>
      </c>
      <c r="C607" s="1">
        <v>44083</v>
      </c>
      <c r="D607" t="b">
        <v>1</v>
      </c>
      <c r="E607" t="s">
        <v>10</v>
      </c>
      <c r="F607">
        <v>8086</v>
      </c>
    </row>
    <row r="608" spans="1:6" x14ac:dyDescent="0.25">
      <c r="A608" t="s">
        <v>1112</v>
      </c>
      <c r="B608" t="s">
        <v>1113</v>
      </c>
      <c r="C608" s="1">
        <v>44083</v>
      </c>
      <c r="D608" t="b">
        <v>1</v>
      </c>
      <c r="E608" t="s">
        <v>10</v>
      </c>
      <c r="F608">
        <v>481</v>
      </c>
    </row>
    <row r="609" spans="1:6" x14ac:dyDescent="0.25">
      <c r="A609" t="s">
        <v>1114</v>
      </c>
      <c r="B609" t="s">
        <v>1115</v>
      </c>
      <c r="C609" s="1">
        <v>44083</v>
      </c>
      <c r="D609" t="b">
        <v>1</v>
      </c>
      <c r="E609" t="s">
        <v>10</v>
      </c>
      <c r="F609">
        <v>482</v>
      </c>
    </row>
    <row r="610" spans="1:6" x14ac:dyDescent="0.25">
      <c r="A610" t="s">
        <v>1116</v>
      </c>
      <c r="B610" t="s">
        <v>1117</v>
      </c>
      <c r="C610" s="1">
        <v>44083</v>
      </c>
      <c r="D610" t="b">
        <v>1</v>
      </c>
      <c r="E610" t="s">
        <v>10</v>
      </c>
      <c r="F610">
        <v>15311</v>
      </c>
    </row>
    <row r="611" spans="1:6" x14ac:dyDescent="0.25">
      <c r="A611" t="s">
        <v>1118</v>
      </c>
      <c r="B611" t="s">
        <v>1119</v>
      </c>
      <c r="C611" s="1">
        <v>44083</v>
      </c>
      <c r="D611" t="b">
        <v>1</v>
      </c>
      <c r="E611" t="s">
        <v>10</v>
      </c>
      <c r="F611">
        <v>11329</v>
      </c>
    </row>
    <row r="612" spans="1:6" x14ac:dyDescent="0.25">
      <c r="A612" t="s">
        <v>1120</v>
      </c>
      <c r="B612" t="s">
        <v>1121</v>
      </c>
      <c r="C612" s="1">
        <v>44083</v>
      </c>
      <c r="D612" t="b">
        <v>1</v>
      </c>
      <c r="E612" t="s">
        <v>10</v>
      </c>
      <c r="F612">
        <v>485</v>
      </c>
    </row>
    <row r="613" spans="1:6" x14ac:dyDescent="0.25">
      <c r="A613" t="s">
        <v>1122</v>
      </c>
      <c r="B613" t="s">
        <v>1123</v>
      </c>
      <c r="C613" s="1">
        <v>44083</v>
      </c>
      <c r="D613" t="b">
        <v>1</v>
      </c>
      <c r="E613" t="s">
        <v>10</v>
      </c>
      <c r="F613">
        <v>486</v>
      </c>
    </row>
    <row r="614" spans="1:6" x14ac:dyDescent="0.25">
      <c r="A614" t="s">
        <v>1124</v>
      </c>
      <c r="B614" t="s">
        <v>1125</v>
      </c>
      <c r="C614" s="1">
        <v>44083</v>
      </c>
      <c r="D614" t="b">
        <v>1</v>
      </c>
      <c r="E614" t="s">
        <v>10</v>
      </c>
      <c r="F614">
        <v>490</v>
      </c>
    </row>
    <row r="615" spans="1:6" x14ac:dyDescent="0.25">
      <c r="A615" t="s">
        <v>1126</v>
      </c>
      <c r="B615" t="s">
        <v>1127</v>
      </c>
      <c r="C615" s="1">
        <v>44083</v>
      </c>
      <c r="D615" t="b">
        <v>1</v>
      </c>
      <c r="E615" t="s">
        <v>10</v>
      </c>
      <c r="F615">
        <v>491</v>
      </c>
    </row>
    <row r="616" spans="1:6" x14ac:dyDescent="0.25">
      <c r="A616" t="s">
        <v>1128</v>
      </c>
      <c r="B616" t="s">
        <v>1129</v>
      </c>
      <c r="C616" s="1">
        <v>44083</v>
      </c>
      <c r="D616" t="b">
        <v>1</v>
      </c>
      <c r="E616" t="s">
        <v>10</v>
      </c>
      <c r="F616">
        <v>8494</v>
      </c>
    </row>
    <row r="617" spans="1:6" x14ac:dyDescent="0.25">
      <c r="A617" t="s">
        <v>1130</v>
      </c>
      <c r="B617" t="s">
        <v>1131</v>
      </c>
      <c r="C617" s="1">
        <v>44083</v>
      </c>
      <c r="D617" t="b">
        <v>1</v>
      </c>
      <c r="E617" t="s">
        <v>10</v>
      </c>
      <c r="F617">
        <v>12912</v>
      </c>
    </row>
    <row r="618" spans="1:6" x14ac:dyDescent="0.25">
      <c r="A618" t="s">
        <v>1132</v>
      </c>
      <c r="B618" t="s">
        <v>1133</v>
      </c>
      <c r="C618" s="1">
        <v>44083</v>
      </c>
      <c r="D618" t="b">
        <v>1</v>
      </c>
      <c r="E618" t="s">
        <v>10</v>
      </c>
      <c r="F618">
        <v>493</v>
      </c>
    </row>
    <row r="619" spans="1:6" x14ac:dyDescent="0.25">
      <c r="A619" t="s">
        <v>1134</v>
      </c>
      <c r="B619" t="s">
        <v>1135</v>
      </c>
      <c r="C619" s="1">
        <v>44083</v>
      </c>
      <c r="D619" t="b">
        <v>1</v>
      </c>
      <c r="E619" t="s">
        <v>10</v>
      </c>
      <c r="F619">
        <v>11673</v>
      </c>
    </row>
    <row r="620" spans="1:6" x14ac:dyDescent="0.25">
      <c r="A620" t="s">
        <v>1136</v>
      </c>
      <c r="B620" t="s">
        <v>1137</v>
      </c>
      <c r="C620" s="1">
        <v>44083</v>
      </c>
      <c r="D620" t="b">
        <v>1</v>
      </c>
      <c r="E620" t="s">
        <v>10</v>
      </c>
      <c r="F620">
        <v>494</v>
      </c>
    </row>
    <row r="621" spans="1:6" x14ac:dyDescent="0.25">
      <c r="A621" t="s">
        <v>1138</v>
      </c>
      <c r="B621" t="s">
        <v>1139</v>
      </c>
      <c r="C621" s="1">
        <v>44083</v>
      </c>
      <c r="D621" t="b">
        <v>1</v>
      </c>
      <c r="E621" t="s">
        <v>10</v>
      </c>
      <c r="F621">
        <v>495</v>
      </c>
    </row>
    <row r="622" spans="1:6" x14ac:dyDescent="0.25">
      <c r="A622" t="s">
        <v>1140</v>
      </c>
      <c r="B622" t="s">
        <v>1141</v>
      </c>
      <c r="C622" s="1">
        <v>44083</v>
      </c>
      <c r="D622" t="b">
        <v>1</v>
      </c>
      <c r="E622" t="s">
        <v>10</v>
      </c>
      <c r="F622">
        <v>8858</v>
      </c>
    </row>
    <row r="623" spans="1:6" x14ac:dyDescent="0.25">
      <c r="A623" t="s">
        <v>1142</v>
      </c>
      <c r="B623" t="s">
        <v>1143</v>
      </c>
      <c r="C623" s="1">
        <v>44083</v>
      </c>
      <c r="D623" t="b">
        <v>1</v>
      </c>
      <c r="E623" t="s">
        <v>10</v>
      </c>
      <c r="F623">
        <v>496</v>
      </c>
    </row>
    <row r="624" spans="1:6" x14ac:dyDescent="0.25">
      <c r="A624" t="s">
        <v>1144</v>
      </c>
      <c r="B624" t="s">
        <v>1145</v>
      </c>
      <c r="C624" s="1">
        <v>44083</v>
      </c>
      <c r="D624" t="b">
        <v>1</v>
      </c>
      <c r="E624" t="s">
        <v>10</v>
      </c>
      <c r="F624">
        <v>497</v>
      </c>
    </row>
    <row r="625" spans="1:6" x14ac:dyDescent="0.25">
      <c r="A625" t="s">
        <v>1146</v>
      </c>
      <c r="B625" t="s">
        <v>1147</v>
      </c>
      <c r="C625" s="1">
        <v>44083</v>
      </c>
      <c r="D625" t="b">
        <v>1</v>
      </c>
      <c r="E625" t="s">
        <v>10</v>
      </c>
      <c r="F625">
        <v>499</v>
      </c>
    </row>
    <row r="626" spans="1:6" x14ac:dyDescent="0.25">
      <c r="A626" t="s">
        <v>1148</v>
      </c>
      <c r="B626" t="s">
        <v>1149</v>
      </c>
      <c r="C626" s="1">
        <v>44083</v>
      </c>
      <c r="D626" t="b">
        <v>1</v>
      </c>
      <c r="E626" t="s">
        <v>10</v>
      </c>
      <c r="F626">
        <v>500</v>
      </c>
    </row>
    <row r="627" spans="1:6" x14ac:dyDescent="0.25">
      <c r="A627" t="s">
        <v>1150</v>
      </c>
      <c r="B627" t="s">
        <v>1151</v>
      </c>
      <c r="C627" s="1">
        <v>44083</v>
      </c>
      <c r="D627" t="b">
        <v>1</v>
      </c>
      <c r="E627" t="s">
        <v>10</v>
      </c>
      <c r="F627">
        <v>501</v>
      </c>
    </row>
    <row r="628" spans="1:6" x14ac:dyDescent="0.25">
      <c r="A628" t="s">
        <v>1152</v>
      </c>
      <c r="B628" t="s">
        <v>1153</v>
      </c>
      <c r="C628" s="1">
        <v>44083</v>
      </c>
      <c r="D628" t="b">
        <v>1</v>
      </c>
      <c r="E628" t="s">
        <v>10</v>
      </c>
      <c r="F628">
        <v>9127</v>
      </c>
    </row>
    <row r="629" spans="1:6" x14ac:dyDescent="0.25">
      <c r="A629" t="s">
        <v>1154</v>
      </c>
      <c r="B629" t="s">
        <v>1155</v>
      </c>
      <c r="C629" s="1">
        <v>44083</v>
      </c>
      <c r="D629" t="b">
        <v>1</v>
      </c>
      <c r="E629" t="s">
        <v>10</v>
      </c>
      <c r="F629">
        <v>13016</v>
      </c>
    </row>
    <row r="630" spans="1:6" x14ac:dyDescent="0.25">
      <c r="A630" t="s">
        <v>1156</v>
      </c>
      <c r="B630" t="s">
        <v>1157</v>
      </c>
      <c r="C630" s="1">
        <v>44083</v>
      </c>
      <c r="D630" t="b">
        <v>1</v>
      </c>
      <c r="E630" t="s">
        <v>10</v>
      </c>
      <c r="F630">
        <v>504</v>
      </c>
    </row>
    <row r="631" spans="1:6" x14ac:dyDescent="0.25">
      <c r="A631" t="s">
        <v>1158</v>
      </c>
      <c r="B631" t="s">
        <v>1159</v>
      </c>
      <c r="C631" s="1">
        <v>44083</v>
      </c>
      <c r="D631" t="b">
        <v>1</v>
      </c>
      <c r="E631" t="s">
        <v>10</v>
      </c>
      <c r="F631">
        <v>505</v>
      </c>
    </row>
    <row r="632" spans="1:6" x14ac:dyDescent="0.25">
      <c r="A632" t="s">
        <v>1160</v>
      </c>
      <c r="B632" t="s">
        <v>1161</v>
      </c>
      <c r="C632" s="1">
        <v>44083</v>
      </c>
      <c r="D632" t="b">
        <v>1</v>
      </c>
      <c r="E632" t="s">
        <v>10</v>
      </c>
      <c r="F632">
        <v>12854</v>
      </c>
    </row>
    <row r="633" spans="1:6" x14ac:dyDescent="0.25">
      <c r="A633" t="s">
        <v>1162</v>
      </c>
      <c r="B633" t="s">
        <v>1163</v>
      </c>
      <c r="C633" s="1">
        <v>44083</v>
      </c>
      <c r="D633" t="b">
        <v>1</v>
      </c>
      <c r="E633" t="s">
        <v>10</v>
      </c>
      <c r="F633">
        <v>508</v>
      </c>
    </row>
    <row r="634" spans="1:6" x14ac:dyDescent="0.25">
      <c r="A634" t="s">
        <v>1164</v>
      </c>
      <c r="B634" t="s">
        <v>1165</v>
      </c>
      <c r="C634" s="1">
        <v>44083</v>
      </c>
      <c r="D634" t="b">
        <v>1</v>
      </c>
      <c r="E634" t="s">
        <v>10</v>
      </c>
      <c r="F634">
        <v>7039</v>
      </c>
    </row>
    <row r="635" spans="1:6" x14ac:dyDescent="0.25">
      <c r="A635" t="s">
        <v>1166</v>
      </c>
      <c r="C635" s="1">
        <v>44083</v>
      </c>
      <c r="D635" t="b">
        <v>1</v>
      </c>
      <c r="E635" t="s">
        <v>10</v>
      </c>
      <c r="F635">
        <v>16814</v>
      </c>
    </row>
    <row r="636" spans="1:6" x14ac:dyDescent="0.25">
      <c r="A636" t="s">
        <v>1167</v>
      </c>
      <c r="B636" t="s">
        <v>1168</v>
      </c>
      <c r="C636" s="1">
        <v>44083</v>
      </c>
      <c r="D636" t="b">
        <v>1</v>
      </c>
      <c r="E636" t="s">
        <v>10</v>
      </c>
      <c r="F636">
        <v>509</v>
      </c>
    </row>
    <row r="637" spans="1:6" x14ac:dyDescent="0.25">
      <c r="A637" t="s">
        <v>1169</v>
      </c>
      <c r="B637" t="s">
        <v>1170</v>
      </c>
      <c r="C637" s="1">
        <v>44083</v>
      </c>
      <c r="D637" t="b">
        <v>1</v>
      </c>
      <c r="E637" t="s">
        <v>10</v>
      </c>
      <c r="F637">
        <v>511</v>
      </c>
    </row>
    <row r="638" spans="1:6" x14ac:dyDescent="0.25">
      <c r="A638" t="s">
        <v>1171</v>
      </c>
      <c r="B638" t="s">
        <v>1172</v>
      </c>
      <c r="C638" s="1">
        <v>44083</v>
      </c>
      <c r="D638" t="b">
        <v>1</v>
      </c>
      <c r="E638" t="s">
        <v>10</v>
      </c>
      <c r="F638">
        <v>13145</v>
      </c>
    </row>
    <row r="639" spans="1:6" x14ac:dyDescent="0.25">
      <c r="A639" t="s">
        <v>1173</v>
      </c>
      <c r="B639" t="s">
        <v>1174</v>
      </c>
      <c r="C639" s="1">
        <v>44083</v>
      </c>
      <c r="D639" t="b">
        <v>0</v>
      </c>
      <c r="E639" t="s">
        <v>10</v>
      </c>
      <c r="F639">
        <v>17037</v>
      </c>
    </row>
    <row r="640" spans="1:6" x14ac:dyDescent="0.25">
      <c r="A640" t="s">
        <v>1175</v>
      </c>
      <c r="B640" t="s">
        <v>1176</v>
      </c>
      <c r="C640" s="1">
        <v>44083</v>
      </c>
      <c r="D640" t="b">
        <v>1</v>
      </c>
      <c r="E640" t="s">
        <v>10</v>
      </c>
      <c r="F640">
        <v>512</v>
      </c>
    </row>
    <row r="641" spans="1:6" x14ac:dyDescent="0.25">
      <c r="A641" t="s">
        <v>1177</v>
      </c>
      <c r="B641" t="s">
        <v>1178</v>
      </c>
      <c r="C641" s="1">
        <v>44083</v>
      </c>
      <c r="D641" t="b">
        <v>1</v>
      </c>
      <c r="E641" t="s">
        <v>10</v>
      </c>
      <c r="F641">
        <v>9213</v>
      </c>
    </row>
    <row r="642" spans="1:6" x14ac:dyDescent="0.25">
      <c r="A642" t="s">
        <v>1179</v>
      </c>
      <c r="B642" t="s">
        <v>1180</v>
      </c>
      <c r="C642" s="1">
        <v>44083</v>
      </c>
      <c r="D642" t="b">
        <v>1</v>
      </c>
      <c r="E642" t="s">
        <v>10</v>
      </c>
      <c r="F642">
        <v>14953</v>
      </c>
    </row>
    <row r="643" spans="1:6" x14ac:dyDescent="0.25">
      <c r="A643" t="s">
        <v>1181</v>
      </c>
      <c r="B643" t="s">
        <v>1182</v>
      </c>
      <c r="C643" s="1">
        <v>44083</v>
      </c>
      <c r="D643" t="b">
        <v>1</v>
      </c>
      <c r="E643" t="s">
        <v>10</v>
      </c>
      <c r="F643">
        <v>14527</v>
      </c>
    </row>
    <row r="644" spans="1:6" x14ac:dyDescent="0.25">
      <c r="A644" t="s">
        <v>1183</v>
      </c>
      <c r="B644" t="s">
        <v>1184</v>
      </c>
      <c r="C644" s="1">
        <v>44083</v>
      </c>
      <c r="D644" t="b">
        <v>1</v>
      </c>
      <c r="E644" t="s">
        <v>10</v>
      </c>
      <c r="F644">
        <v>35</v>
      </c>
    </row>
    <row r="645" spans="1:6" x14ac:dyDescent="0.25">
      <c r="A645" t="s">
        <v>1185</v>
      </c>
      <c r="B645" t="s">
        <v>1186</v>
      </c>
      <c r="C645" s="1">
        <v>44083</v>
      </c>
      <c r="D645" t="b">
        <v>1</v>
      </c>
      <c r="E645" t="s">
        <v>10</v>
      </c>
      <c r="F645">
        <v>16982</v>
      </c>
    </row>
    <row r="646" spans="1:6" x14ac:dyDescent="0.25">
      <c r="A646" t="s">
        <v>1187</v>
      </c>
      <c r="B646" t="s">
        <v>1188</v>
      </c>
      <c r="C646" s="1">
        <v>44083</v>
      </c>
      <c r="D646" t="b">
        <v>1</v>
      </c>
      <c r="E646" t="s">
        <v>10</v>
      </c>
      <c r="F646">
        <v>519</v>
      </c>
    </row>
    <row r="647" spans="1:6" x14ac:dyDescent="0.25">
      <c r="A647" t="s">
        <v>1189</v>
      </c>
      <c r="B647" t="s">
        <v>1190</v>
      </c>
      <c r="C647" s="1">
        <v>44083</v>
      </c>
      <c r="D647" t="b">
        <v>1</v>
      </c>
      <c r="E647" t="s">
        <v>10</v>
      </c>
      <c r="F647">
        <v>521</v>
      </c>
    </row>
    <row r="648" spans="1:6" x14ac:dyDescent="0.25">
      <c r="A648" t="s">
        <v>1191</v>
      </c>
      <c r="B648" t="s">
        <v>1192</v>
      </c>
      <c r="C648" s="1">
        <v>44083</v>
      </c>
      <c r="D648" t="b">
        <v>1</v>
      </c>
      <c r="E648" t="s">
        <v>10</v>
      </c>
      <c r="F648">
        <v>8344</v>
      </c>
    </row>
    <row r="649" spans="1:6" x14ac:dyDescent="0.25">
      <c r="A649" t="s">
        <v>1193</v>
      </c>
      <c r="B649" t="s">
        <v>1194</v>
      </c>
      <c r="C649" s="1">
        <v>44083</v>
      </c>
      <c r="D649" t="b">
        <v>1</v>
      </c>
      <c r="E649" t="s">
        <v>10</v>
      </c>
      <c r="F649">
        <v>522</v>
      </c>
    </row>
    <row r="650" spans="1:6" x14ac:dyDescent="0.25">
      <c r="A650" t="s">
        <v>1195</v>
      </c>
      <c r="B650" t="s">
        <v>1196</v>
      </c>
      <c r="C650" s="1">
        <v>44083</v>
      </c>
      <c r="D650" t="b">
        <v>1</v>
      </c>
      <c r="E650" t="s">
        <v>10</v>
      </c>
      <c r="F650">
        <v>523</v>
      </c>
    </row>
    <row r="651" spans="1:6" x14ac:dyDescent="0.25">
      <c r="A651" t="s">
        <v>1197</v>
      </c>
      <c r="B651" t="s">
        <v>1198</v>
      </c>
      <c r="C651" s="1">
        <v>44083</v>
      </c>
      <c r="D651" t="b">
        <v>1</v>
      </c>
      <c r="E651" t="s">
        <v>10</v>
      </c>
      <c r="F651">
        <v>15208</v>
      </c>
    </row>
    <row r="652" spans="1:6" x14ac:dyDescent="0.25">
      <c r="A652" t="s">
        <v>1199</v>
      </c>
      <c r="B652" t="s">
        <v>1200</v>
      </c>
      <c r="C652" s="1">
        <v>44083</v>
      </c>
      <c r="D652" t="b">
        <v>1</v>
      </c>
      <c r="E652" t="s">
        <v>10</v>
      </c>
      <c r="F652">
        <v>13230</v>
      </c>
    </row>
    <row r="653" spans="1:6" x14ac:dyDescent="0.25">
      <c r="A653" t="s">
        <v>1201</v>
      </c>
      <c r="C653" s="1">
        <v>44083</v>
      </c>
      <c r="D653" t="b">
        <v>1</v>
      </c>
      <c r="E653" t="s">
        <v>10</v>
      </c>
      <c r="F653">
        <v>13239</v>
      </c>
    </row>
    <row r="654" spans="1:6" x14ac:dyDescent="0.25">
      <c r="A654" t="s">
        <v>1202</v>
      </c>
      <c r="B654" t="s">
        <v>1203</v>
      </c>
      <c r="C654" s="1">
        <v>44083</v>
      </c>
      <c r="D654" t="b">
        <v>1</v>
      </c>
      <c r="E654" t="s">
        <v>10</v>
      </c>
      <c r="F654">
        <v>524</v>
      </c>
    </row>
    <row r="655" spans="1:6" x14ac:dyDescent="0.25">
      <c r="A655" t="s">
        <v>1204</v>
      </c>
      <c r="B655" t="s">
        <v>1205</v>
      </c>
      <c r="C655" s="1">
        <v>44083</v>
      </c>
      <c r="D655" t="b">
        <v>1</v>
      </c>
      <c r="E655" t="s">
        <v>10</v>
      </c>
      <c r="F655">
        <v>16113</v>
      </c>
    </row>
    <row r="656" spans="1:6" x14ac:dyDescent="0.25">
      <c r="A656" t="s">
        <v>1206</v>
      </c>
      <c r="B656" t="s">
        <v>1207</v>
      </c>
      <c r="C656" s="1">
        <v>44083</v>
      </c>
      <c r="D656" t="b">
        <v>1</v>
      </c>
      <c r="E656" t="s">
        <v>10</v>
      </c>
      <c r="F656">
        <v>12262</v>
      </c>
    </row>
    <row r="657" spans="1:6" x14ac:dyDescent="0.25">
      <c r="A657" t="s">
        <v>1208</v>
      </c>
      <c r="B657" t="s">
        <v>1209</v>
      </c>
      <c r="C657" s="1">
        <v>44083</v>
      </c>
      <c r="D657" t="b">
        <v>1</v>
      </c>
      <c r="E657" t="s">
        <v>10</v>
      </c>
      <c r="F657">
        <v>16114</v>
      </c>
    </row>
    <row r="658" spans="1:6" x14ac:dyDescent="0.25">
      <c r="A658" t="s">
        <v>1210</v>
      </c>
      <c r="B658" t="s">
        <v>1211</v>
      </c>
      <c r="C658" s="1">
        <v>44083</v>
      </c>
      <c r="D658" t="b">
        <v>1</v>
      </c>
      <c r="E658" t="s">
        <v>10</v>
      </c>
      <c r="F658">
        <v>16087</v>
      </c>
    </row>
    <row r="659" spans="1:6" x14ac:dyDescent="0.25">
      <c r="A659" t="s">
        <v>1212</v>
      </c>
      <c r="B659" t="s">
        <v>1213</v>
      </c>
      <c r="C659" s="1">
        <v>44083</v>
      </c>
      <c r="D659" t="b">
        <v>1</v>
      </c>
      <c r="E659" t="s">
        <v>10</v>
      </c>
      <c r="F659">
        <v>525</v>
      </c>
    </row>
    <row r="660" spans="1:6" x14ac:dyDescent="0.25">
      <c r="A660" t="s">
        <v>1214</v>
      </c>
      <c r="B660" t="s">
        <v>1215</v>
      </c>
      <c r="C660" s="1">
        <v>44083</v>
      </c>
      <c r="D660" t="b">
        <v>1</v>
      </c>
      <c r="E660" t="s">
        <v>10</v>
      </c>
      <c r="F660">
        <v>14344</v>
      </c>
    </row>
    <row r="661" spans="1:6" x14ac:dyDescent="0.25">
      <c r="A661" t="s">
        <v>1216</v>
      </c>
      <c r="C661" s="1">
        <v>44083</v>
      </c>
      <c r="D661" t="b">
        <v>1</v>
      </c>
      <c r="E661" t="s">
        <v>10</v>
      </c>
      <c r="F661">
        <v>16160</v>
      </c>
    </row>
    <row r="662" spans="1:6" x14ac:dyDescent="0.25">
      <c r="A662" t="s">
        <v>1217</v>
      </c>
      <c r="B662" t="s">
        <v>1218</v>
      </c>
      <c r="C662" s="1">
        <v>44083</v>
      </c>
      <c r="D662" t="b">
        <v>1</v>
      </c>
      <c r="E662" t="s">
        <v>10</v>
      </c>
      <c r="F662">
        <v>9699</v>
      </c>
    </row>
    <row r="663" spans="1:6" x14ac:dyDescent="0.25">
      <c r="A663" t="s">
        <v>1219</v>
      </c>
      <c r="B663" t="s">
        <v>1220</v>
      </c>
      <c r="C663" s="1">
        <v>44083</v>
      </c>
      <c r="D663" t="b">
        <v>1</v>
      </c>
      <c r="E663" t="s">
        <v>10</v>
      </c>
      <c r="F663">
        <v>529</v>
      </c>
    </row>
    <row r="664" spans="1:6" x14ac:dyDescent="0.25">
      <c r="A664" t="s">
        <v>1221</v>
      </c>
      <c r="B664" t="s">
        <v>1222</v>
      </c>
      <c r="C664" s="1">
        <v>44083</v>
      </c>
      <c r="D664" t="b">
        <v>1</v>
      </c>
      <c r="E664" t="s">
        <v>10</v>
      </c>
      <c r="F664">
        <v>531</v>
      </c>
    </row>
    <row r="665" spans="1:6" x14ac:dyDescent="0.25">
      <c r="A665" t="s">
        <v>1223</v>
      </c>
      <c r="B665" t="s">
        <v>1224</v>
      </c>
      <c r="C665" s="1">
        <v>44083</v>
      </c>
      <c r="D665" t="b">
        <v>1</v>
      </c>
      <c r="E665" t="s">
        <v>10</v>
      </c>
      <c r="F665">
        <v>14540</v>
      </c>
    </row>
    <row r="666" spans="1:6" x14ac:dyDescent="0.25">
      <c r="A666" t="s">
        <v>1225</v>
      </c>
      <c r="B666" t="s">
        <v>1226</v>
      </c>
      <c r="C666" s="1">
        <v>44083</v>
      </c>
      <c r="D666" t="b">
        <v>1</v>
      </c>
      <c r="E666" t="s">
        <v>10</v>
      </c>
      <c r="F666">
        <v>9360</v>
      </c>
    </row>
    <row r="667" spans="1:6" x14ac:dyDescent="0.25">
      <c r="A667" t="s">
        <v>1227</v>
      </c>
      <c r="B667" t="s">
        <v>1228</v>
      </c>
      <c r="C667" s="1">
        <v>44083</v>
      </c>
      <c r="D667" t="b">
        <v>1</v>
      </c>
      <c r="E667" t="s">
        <v>10</v>
      </c>
      <c r="F667">
        <v>5522</v>
      </c>
    </row>
    <row r="668" spans="1:6" x14ac:dyDescent="0.25">
      <c r="A668" t="s">
        <v>1229</v>
      </c>
      <c r="B668" t="s">
        <v>1230</v>
      </c>
      <c r="C668" s="1">
        <v>44083</v>
      </c>
      <c r="D668" t="b">
        <v>1</v>
      </c>
      <c r="E668" t="s">
        <v>10</v>
      </c>
      <c r="F668">
        <v>534</v>
      </c>
    </row>
    <row r="669" spans="1:6" x14ac:dyDescent="0.25">
      <c r="A669" t="s">
        <v>1231</v>
      </c>
      <c r="B669" t="s">
        <v>1232</v>
      </c>
      <c r="C669" s="1">
        <v>44083</v>
      </c>
      <c r="D669" t="b">
        <v>1</v>
      </c>
      <c r="E669" t="s">
        <v>10</v>
      </c>
      <c r="F669">
        <v>14679</v>
      </c>
    </row>
    <row r="670" spans="1:6" x14ac:dyDescent="0.25">
      <c r="A670" t="s">
        <v>1233</v>
      </c>
      <c r="B670" t="s">
        <v>1234</v>
      </c>
      <c r="C670" s="1">
        <v>44083</v>
      </c>
      <c r="D670" t="b">
        <v>1</v>
      </c>
      <c r="E670" t="s">
        <v>10</v>
      </c>
      <c r="F670">
        <v>536</v>
      </c>
    </row>
    <row r="671" spans="1:6" x14ac:dyDescent="0.25">
      <c r="A671" t="s">
        <v>1235</v>
      </c>
      <c r="B671" t="s">
        <v>1236</v>
      </c>
      <c r="C671" s="1">
        <v>44083</v>
      </c>
      <c r="D671" t="b">
        <v>1</v>
      </c>
      <c r="E671" t="s">
        <v>10</v>
      </c>
      <c r="F671">
        <v>15531</v>
      </c>
    </row>
    <row r="672" spans="1:6" x14ac:dyDescent="0.25">
      <c r="A672" t="s">
        <v>1237</v>
      </c>
      <c r="C672" s="1">
        <v>44083</v>
      </c>
      <c r="D672" t="b">
        <v>1</v>
      </c>
      <c r="E672" t="s">
        <v>10</v>
      </c>
      <c r="F672">
        <v>15739</v>
      </c>
    </row>
    <row r="673" spans="1:6" x14ac:dyDescent="0.25">
      <c r="A673" t="s">
        <v>1238</v>
      </c>
      <c r="B673" t="s">
        <v>1239</v>
      </c>
      <c r="C673" s="1">
        <v>44083</v>
      </c>
      <c r="D673" t="b">
        <v>1</v>
      </c>
      <c r="E673" t="s">
        <v>10</v>
      </c>
      <c r="F673">
        <v>16115</v>
      </c>
    </row>
    <row r="674" spans="1:6" x14ac:dyDescent="0.25">
      <c r="A674" t="s">
        <v>1240</v>
      </c>
      <c r="B674" t="s">
        <v>1241</v>
      </c>
      <c r="C674" s="1">
        <v>44083</v>
      </c>
      <c r="D674" t="b">
        <v>1</v>
      </c>
      <c r="E674" t="s">
        <v>10</v>
      </c>
      <c r="F674">
        <v>16116</v>
      </c>
    </row>
    <row r="675" spans="1:6" x14ac:dyDescent="0.25">
      <c r="A675" t="s">
        <v>1242</v>
      </c>
      <c r="B675" t="s">
        <v>1243</v>
      </c>
      <c r="C675" s="1">
        <v>44083</v>
      </c>
      <c r="D675" t="b">
        <v>1</v>
      </c>
      <c r="E675" t="s">
        <v>10</v>
      </c>
      <c r="F675">
        <v>10760</v>
      </c>
    </row>
    <row r="676" spans="1:6" x14ac:dyDescent="0.25">
      <c r="A676" t="s">
        <v>1244</v>
      </c>
      <c r="B676" t="s">
        <v>1245</v>
      </c>
      <c r="C676" s="1">
        <v>44083</v>
      </c>
      <c r="D676" t="b">
        <v>1</v>
      </c>
      <c r="E676" t="s">
        <v>10</v>
      </c>
      <c r="F676">
        <v>538</v>
      </c>
    </row>
    <row r="677" spans="1:6" x14ac:dyDescent="0.25">
      <c r="A677" t="s">
        <v>1246</v>
      </c>
      <c r="B677" t="s">
        <v>1247</v>
      </c>
      <c r="C677" s="1">
        <v>44083</v>
      </c>
      <c r="D677" t="b">
        <v>1</v>
      </c>
      <c r="E677" t="s">
        <v>10</v>
      </c>
      <c r="F677">
        <v>7775</v>
      </c>
    </row>
    <row r="678" spans="1:6" x14ac:dyDescent="0.25">
      <c r="A678" t="s">
        <v>1248</v>
      </c>
      <c r="B678" t="s">
        <v>1249</v>
      </c>
      <c r="C678" s="1">
        <v>44083</v>
      </c>
      <c r="D678" t="b">
        <v>1</v>
      </c>
      <c r="E678" t="s">
        <v>10</v>
      </c>
      <c r="F678">
        <v>16517</v>
      </c>
    </row>
    <row r="679" spans="1:6" x14ac:dyDescent="0.25">
      <c r="A679" t="s">
        <v>1250</v>
      </c>
      <c r="B679" t="s">
        <v>1251</v>
      </c>
      <c r="C679" s="1">
        <v>44083</v>
      </c>
      <c r="D679" t="b">
        <v>1</v>
      </c>
      <c r="E679" t="s">
        <v>10</v>
      </c>
      <c r="F679">
        <v>541</v>
      </c>
    </row>
    <row r="680" spans="1:6" x14ac:dyDescent="0.25">
      <c r="A680" t="s">
        <v>1252</v>
      </c>
      <c r="B680" t="s">
        <v>1253</v>
      </c>
      <c r="C680" s="1">
        <v>44083</v>
      </c>
      <c r="D680" t="b">
        <v>1</v>
      </c>
      <c r="E680" t="s">
        <v>10</v>
      </c>
      <c r="F680">
        <v>7343</v>
      </c>
    </row>
    <row r="681" spans="1:6" x14ac:dyDescent="0.25">
      <c r="A681" t="s">
        <v>1254</v>
      </c>
      <c r="B681" t="s">
        <v>1255</v>
      </c>
      <c r="C681" s="1">
        <v>44083</v>
      </c>
      <c r="D681" t="b">
        <v>1</v>
      </c>
      <c r="E681" t="s">
        <v>10</v>
      </c>
      <c r="F681">
        <v>543</v>
      </c>
    </row>
    <row r="682" spans="1:6" x14ac:dyDescent="0.25">
      <c r="A682" t="s">
        <v>1256</v>
      </c>
      <c r="B682" t="s">
        <v>1257</v>
      </c>
      <c r="C682" s="1">
        <v>44083</v>
      </c>
      <c r="D682" t="b">
        <v>1</v>
      </c>
      <c r="E682" t="s">
        <v>10</v>
      </c>
      <c r="F682">
        <v>544</v>
      </c>
    </row>
    <row r="683" spans="1:6" x14ac:dyDescent="0.25">
      <c r="A683" t="s">
        <v>1258</v>
      </c>
      <c r="B683" t="s">
        <v>1259</v>
      </c>
      <c r="C683" s="1">
        <v>44083</v>
      </c>
      <c r="D683" t="b">
        <v>1</v>
      </c>
      <c r="E683" t="s">
        <v>10</v>
      </c>
      <c r="F683">
        <v>545</v>
      </c>
    </row>
    <row r="684" spans="1:6" x14ac:dyDescent="0.25">
      <c r="A684" t="s">
        <v>1260</v>
      </c>
      <c r="B684" t="s">
        <v>1261</v>
      </c>
      <c r="C684" s="1">
        <v>44083</v>
      </c>
      <c r="D684" t="b">
        <v>1</v>
      </c>
      <c r="E684" t="s">
        <v>10</v>
      </c>
      <c r="F684">
        <v>547</v>
      </c>
    </row>
    <row r="685" spans="1:6" x14ac:dyDescent="0.25">
      <c r="A685" t="s">
        <v>1262</v>
      </c>
      <c r="B685" t="s">
        <v>1263</v>
      </c>
      <c r="C685" s="1">
        <v>44083</v>
      </c>
      <c r="D685" t="b">
        <v>1</v>
      </c>
      <c r="E685" t="s">
        <v>10</v>
      </c>
      <c r="F685">
        <v>548</v>
      </c>
    </row>
    <row r="686" spans="1:6" x14ac:dyDescent="0.25">
      <c r="A686" t="s">
        <v>1264</v>
      </c>
      <c r="B686" t="s">
        <v>1265</v>
      </c>
      <c r="C686" s="1">
        <v>44083</v>
      </c>
      <c r="D686" t="b">
        <v>1</v>
      </c>
      <c r="E686" t="s">
        <v>10</v>
      </c>
      <c r="F686">
        <v>15407</v>
      </c>
    </row>
    <row r="687" spans="1:6" x14ac:dyDescent="0.25">
      <c r="A687" t="s">
        <v>1266</v>
      </c>
      <c r="B687" t="s">
        <v>1267</v>
      </c>
      <c r="C687" s="1">
        <v>44083</v>
      </c>
      <c r="D687" t="b">
        <v>1</v>
      </c>
      <c r="E687" t="s">
        <v>10</v>
      </c>
      <c r="F687">
        <v>549</v>
      </c>
    </row>
    <row r="688" spans="1:6" x14ac:dyDescent="0.25">
      <c r="A688" t="s">
        <v>1268</v>
      </c>
      <c r="B688" t="s">
        <v>1269</v>
      </c>
      <c r="C688" s="1">
        <v>44083</v>
      </c>
      <c r="D688" t="b">
        <v>1</v>
      </c>
      <c r="E688" t="s">
        <v>10</v>
      </c>
      <c r="F688">
        <v>842</v>
      </c>
    </row>
    <row r="689" spans="1:6" x14ac:dyDescent="0.25">
      <c r="A689" t="s">
        <v>1270</v>
      </c>
      <c r="B689" t="s">
        <v>1271</v>
      </c>
      <c r="C689" s="1">
        <v>44083</v>
      </c>
      <c r="D689" t="b">
        <v>1</v>
      </c>
      <c r="E689" t="s">
        <v>10</v>
      </c>
      <c r="F689">
        <v>550</v>
      </c>
    </row>
    <row r="690" spans="1:6" x14ac:dyDescent="0.25">
      <c r="A690" t="s">
        <v>1272</v>
      </c>
      <c r="B690" t="s">
        <v>1273</v>
      </c>
      <c r="C690" s="1">
        <v>44083</v>
      </c>
      <c r="D690" t="b">
        <v>1</v>
      </c>
      <c r="E690" t="s">
        <v>10</v>
      </c>
      <c r="F690">
        <v>552</v>
      </c>
    </row>
    <row r="691" spans="1:6" x14ac:dyDescent="0.25">
      <c r="A691" t="s">
        <v>1274</v>
      </c>
      <c r="B691" t="s">
        <v>1275</v>
      </c>
      <c r="C691" s="1">
        <v>44083</v>
      </c>
      <c r="D691" t="b">
        <v>1</v>
      </c>
      <c r="E691" t="s">
        <v>10</v>
      </c>
      <c r="F691">
        <v>7713</v>
      </c>
    </row>
    <row r="692" spans="1:6" x14ac:dyDescent="0.25">
      <c r="A692" t="s">
        <v>1276</v>
      </c>
      <c r="B692" t="s">
        <v>1277</v>
      </c>
      <c r="C692" s="1">
        <v>44083</v>
      </c>
      <c r="D692" t="b">
        <v>1</v>
      </c>
      <c r="E692" t="s">
        <v>10</v>
      </c>
      <c r="F692">
        <v>9979</v>
      </c>
    </row>
    <row r="693" spans="1:6" x14ac:dyDescent="0.25">
      <c r="A693" t="s">
        <v>1278</v>
      </c>
      <c r="B693" t="s">
        <v>1279</v>
      </c>
      <c r="C693" s="1">
        <v>44083</v>
      </c>
      <c r="D693" t="b">
        <v>1</v>
      </c>
      <c r="E693" t="s">
        <v>10</v>
      </c>
      <c r="F693">
        <v>561</v>
      </c>
    </row>
    <row r="694" spans="1:6" x14ac:dyDescent="0.25">
      <c r="A694" t="s">
        <v>1280</v>
      </c>
      <c r="B694" t="s">
        <v>1281</v>
      </c>
      <c r="C694" s="1">
        <v>44083</v>
      </c>
      <c r="D694" t="b">
        <v>1</v>
      </c>
      <c r="E694" t="s">
        <v>10</v>
      </c>
      <c r="F694">
        <v>15620</v>
      </c>
    </row>
    <row r="695" spans="1:6" x14ac:dyDescent="0.25">
      <c r="A695" t="s">
        <v>1282</v>
      </c>
      <c r="B695" t="s">
        <v>1283</v>
      </c>
      <c r="C695" s="1">
        <v>44083</v>
      </c>
      <c r="D695" t="b">
        <v>1</v>
      </c>
      <c r="E695" t="s">
        <v>10</v>
      </c>
      <c r="F695">
        <v>15119</v>
      </c>
    </row>
    <row r="696" spans="1:6" x14ac:dyDescent="0.25">
      <c r="A696" t="s">
        <v>1284</v>
      </c>
      <c r="C696" s="1">
        <v>44083</v>
      </c>
      <c r="D696" t="b">
        <v>1</v>
      </c>
      <c r="E696" t="s">
        <v>10</v>
      </c>
      <c r="F696">
        <v>11105</v>
      </c>
    </row>
    <row r="697" spans="1:6" x14ac:dyDescent="0.25">
      <c r="A697" t="s">
        <v>1285</v>
      </c>
      <c r="B697" t="s">
        <v>1286</v>
      </c>
      <c r="C697" s="1">
        <v>44083</v>
      </c>
      <c r="D697" t="b">
        <v>1</v>
      </c>
      <c r="E697" t="s">
        <v>10</v>
      </c>
      <c r="F697">
        <v>565</v>
      </c>
    </row>
    <row r="698" spans="1:6" x14ac:dyDescent="0.25">
      <c r="A698" t="s">
        <v>1287</v>
      </c>
      <c r="B698" t="s">
        <v>1288</v>
      </c>
      <c r="C698" s="1">
        <v>44083</v>
      </c>
      <c r="D698" t="b">
        <v>1</v>
      </c>
      <c r="E698" t="s">
        <v>10</v>
      </c>
      <c r="F698">
        <v>566</v>
      </c>
    </row>
    <row r="699" spans="1:6" x14ac:dyDescent="0.25">
      <c r="A699" t="s">
        <v>1289</v>
      </c>
      <c r="B699" t="s">
        <v>1290</v>
      </c>
      <c r="C699" s="1">
        <v>44083</v>
      </c>
      <c r="D699" t="b">
        <v>1</v>
      </c>
      <c r="E699" t="s">
        <v>10</v>
      </c>
      <c r="F699">
        <v>567</v>
      </c>
    </row>
    <row r="700" spans="1:6" x14ac:dyDescent="0.25">
      <c r="A700" t="s">
        <v>1291</v>
      </c>
      <c r="C700" s="1">
        <v>44083</v>
      </c>
      <c r="D700" t="b">
        <v>1</v>
      </c>
      <c r="E700" t="s">
        <v>10</v>
      </c>
      <c r="F700">
        <v>14583</v>
      </c>
    </row>
    <row r="701" spans="1:6" x14ac:dyDescent="0.25">
      <c r="A701" t="s">
        <v>1292</v>
      </c>
      <c r="B701" t="s">
        <v>1293</v>
      </c>
      <c r="C701" s="1">
        <v>44083</v>
      </c>
      <c r="D701" t="b">
        <v>1</v>
      </c>
      <c r="E701" t="s">
        <v>10</v>
      </c>
      <c r="F701">
        <v>10791</v>
      </c>
    </row>
    <row r="702" spans="1:6" x14ac:dyDescent="0.25">
      <c r="A702" t="s">
        <v>1294</v>
      </c>
      <c r="B702" t="s">
        <v>1295</v>
      </c>
      <c r="C702" s="1">
        <v>44083</v>
      </c>
      <c r="D702" t="b">
        <v>1</v>
      </c>
      <c r="E702" t="s">
        <v>10</v>
      </c>
      <c r="F702">
        <v>9454</v>
      </c>
    </row>
    <row r="703" spans="1:6" x14ac:dyDescent="0.25">
      <c r="A703" t="s">
        <v>1296</v>
      </c>
      <c r="B703" t="s">
        <v>1297</v>
      </c>
      <c r="C703" s="1">
        <v>44083</v>
      </c>
      <c r="D703" t="b">
        <v>1</v>
      </c>
      <c r="E703" t="s">
        <v>10</v>
      </c>
      <c r="F703">
        <v>570</v>
      </c>
    </row>
    <row r="704" spans="1:6" x14ac:dyDescent="0.25">
      <c r="A704" t="s">
        <v>1298</v>
      </c>
      <c r="B704" t="s">
        <v>1299</v>
      </c>
      <c r="C704" s="1">
        <v>44083</v>
      </c>
      <c r="D704" t="b">
        <v>1</v>
      </c>
      <c r="E704" t="s">
        <v>10</v>
      </c>
      <c r="F704">
        <v>571</v>
      </c>
    </row>
    <row r="705" spans="1:6" x14ac:dyDescent="0.25">
      <c r="A705" t="s">
        <v>1300</v>
      </c>
      <c r="B705" t="s">
        <v>1301</v>
      </c>
      <c r="C705" s="1">
        <v>44083</v>
      </c>
      <c r="D705" t="b">
        <v>1</v>
      </c>
      <c r="E705" t="s">
        <v>10</v>
      </c>
      <c r="F705">
        <v>8517</v>
      </c>
    </row>
    <row r="706" spans="1:6" x14ac:dyDescent="0.25">
      <c r="A706" t="s">
        <v>1302</v>
      </c>
      <c r="B706" t="s">
        <v>1303</v>
      </c>
      <c r="C706" s="1">
        <v>44083</v>
      </c>
      <c r="D706" t="b">
        <v>1</v>
      </c>
      <c r="E706" t="s">
        <v>10</v>
      </c>
      <c r="F706">
        <v>574</v>
      </c>
    </row>
    <row r="707" spans="1:6" x14ac:dyDescent="0.25">
      <c r="A707" t="s">
        <v>1304</v>
      </c>
      <c r="B707" t="s">
        <v>1305</v>
      </c>
      <c r="C707" s="1">
        <v>44083</v>
      </c>
      <c r="D707" t="b">
        <v>1</v>
      </c>
      <c r="E707" t="s">
        <v>10</v>
      </c>
      <c r="F707">
        <v>16602</v>
      </c>
    </row>
    <row r="708" spans="1:6" x14ac:dyDescent="0.25">
      <c r="A708" t="s">
        <v>1306</v>
      </c>
      <c r="B708" t="s">
        <v>1307</v>
      </c>
      <c r="C708" s="1">
        <v>44083</v>
      </c>
      <c r="D708" t="b">
        <v>1</v>
      </c>
      <c r="E708" t="s">
        <v>10</v>
      </c>
      <c r="F708">
        <v>7511</v>
      </c>
    </row>
    <row r="709" spans="1:6" x14ac:dyDescent="0.25">
      <c r="A709" t="s">
        <v>1308</v>
      </c>
      <c r="B709" t="s">
        <v>1309</v>
      </c>
      <c r="C709" s="1">
        <v>44083</v>
      </c>
      <c r="D709" t="b">
        <v>1</v>
      </c>
      <c r="E709" t="s">
        <v>10</v>
      </c>
      <c r="F709">
        <v>13623</v>
      </c>
    </row>
    <row r="710" spans="1:6" x14ac:dyDescent="0.25">
      <c r="A710" t="s">
        <v>1310</v>
      </c>
      <c r="B710" t="s">
        <v>1311</v>
      </c>
      <c r="C710" s="1">
        <v>44083</v>
      </c>
      <c r="D710" t="b">
        <v>1</v>
      </c>
      <c r="E710" t="s">
        <v>10</v>
      </c>
      <c r="F710">
        <v>12410</v>
      </c>
    </row>
    <row r="711" spans="1:6" x14ac:dyDescent="0.25">
      <c r="A711" t="s">
        <v>1312</v>
      </c>
      <c r="B711" t="s">
        <v>1313</v>
      </c>
      <c r="C711" s="1">
        <v>44083</v>
      </c>
      <c r="D711" t="b">
        <v>1</v>
      </c>
      <c r="E711" t="s">
        <v>10</v>
      </c>
      <c r="F711">
        <v>16764</v>
      </c>
    </row>
    <row r="712" spans="1:6" x14ac:dyDescent="0.25">
      <c r="A712" t="s">
        <v>1314</v>
      </c>
      <c r="B712" t="s">
        <v>1315</v>
      </c>
      <c r="C712" s="1">
        <v>44083</v>
      </c>
      <c r="D712" t="b">
        <v>0</v>
      </c>
      <c r="E712" t="s">
        <v>10</v>
      </c>
      <c r="F712">
        <v>16905</v>
      </c>
    </row>
    <row r="713" spans="1:6" x14ac:dyDescent="0.25">
      <c r="A713" t="s">
        <v>1316</v>
      </c>
      <c r="B713" t="s">
        <v>1317</v>
      </c>
      <c r="C713" s="1">
        <v>44083</v>
      </c>
      <c r="D713" t="b">
        <v>1</v>
      </c>
      <c r="E713" t="s">
        <v>10</v>
      </c>
      <c r="F713">
        <v>16765</v>
      </c>
    </row>
    <row r="714" spans="1:6" x14ac:dyDescent="0.25">
      <c r="A714" t="s">
        <v>1318</v>
      </c>
      <c r="B714" t="s">
        <v>1319</v>
      </c>
      <c r="C714" s="1">
        <v>44083</v>
      </c>
      <c r="D714" t="b">
        <v>0</v>
      </c>
      <c r="E714" t="s">
        <v>10</v>
      </c>
      <c r="F714">
        <v>16906</v>
      </c>
    </row>
    <row r="715" spans="1:6" x14ac:dyDescent="0.25">
      <c r="A715" t="s">
        <v>1320</v>
      </c>
      <c r="B715" t="s">
        <v>1321</v>
      </c>
      <c r="C715" s="1">
        <v>44083</v>
      </c>
      <c r="D715" t="b">
        <v>1</v>
      </c>
      <c r="E715" t="s">
        <v>10</v>
      </c>
      <c r="F715">
        <v>16515</v>
      </c>
    </row>
    <row r="716" spans="1:6" x14ac:dyDescent="0.25">
      <c r="A716" t="s">
        <v>1322</v>
      </c>
      <c r="B716" t="s">
        <v>1323</v>
      </c>
      <c r="C716" s="1">
        <v>44083</v>
      </c>
      <c r="D716" t="b">
        <v>1</v>
      </c>
      <c r="E716" t="s">
        <v>10</v>
      </c>
      <c r="F716">
        <v>580</v>
      </c>
    </row>
    <row r="717" spans="1:6" x14ac:dyDescent="0.25">
      <c r="A717" t="s">
        <v>1324</v>
      </c>
      <c r="B717" t="s">
        <v>1325</v>
      </c>
      <c r="C717" s="1">
        <v>44083</v>
      </c>
      <c r="D717" t="b">
        <v>1</v>
      </c>
      <c r="E717" t="s">
        <v>10</v>
      </c>
      <c r="F717">
        <v>581</v>
      </c>
    </row>
    <row r="718" spans="1:6" x14ac:dyDescent="0.25">
      <c r="A718" t="s">
        <v>1326</v>
      </c>
      <c r="B718" t="s">
        <v>1327</v>
      </c>
      <c r="C718" s="1">
        <v>44083</v>
      </c>
      <c r="D718" t="b">
        <v>1</v>
      </c>
      <c r="E718" t="s">
        <v>10</v>
      </c>
      <c r="F718">
        <v>582</v>
      </c>
    </row>
    <row r="719" spans="1:6" x14ac:dyDescent="0.25">
      <c r="A719" t="s">
        <v>1328</v>
      </c>
      <c r="B719" t="s">
        <v>1329</v>
      </c>
      <c r="C719" s="1">
        <v>44083</v>
      </c>
      <c r="D719" t="b">
        <v>1</v>
      </c>
      <c r="E719" t="s">
        <v>10</v>
      </c>
      <c r="F719">
        <v>10930</v>
      </c>
    </row>
    <row r="720" spans="1:6" x14ac:dyDescent="0.25">
      <c r="A720" t="s">
        <v>1330</v>
      </c>
      <c r="B720" t="s">
        <v>1331</v>
      </c>
      <c r="C720" s="1">
        <v>44083</v>
      </c>
      <c r="D720" t="b">
        <v>1</v>
      </c>
      <c r="E720" t="s">
        <v>10</v>
      </c>
      <c r="F720">
        <v>11701</v>
      </c>
    </row>
    <row r="721" spans="1:6" x14ac:dyDescent="0.25">
      <c r="A721" t="s">
        <v>1332</v>
      </c>
      <c r="B721" t="s">
        <v>1333</v>
      </c>
      <c r="C721" s="1">
        <v>44083</v>
      </c>
      <c r="D721" t="b">
        <v>1</v>
      </c>
      <c r="E721" t="s">
        <v>10</v>
      </c>
      <c r="F721">
        <v>12754</v>
      </c>
    </row>
    <row r="722" spans="1:6" x14ac:dyDescent="0.25">
      <c r="A722" t="s">
        <v>1334</v>
      </c>
      <c r="B722" t="s">
        <v>1335</v>
      </c>
      <c r="C722" s="1">
        <v>44083</v>
      </c>
      <c r="D722" t="b">
        <v>1</v>
      </c>
      <c r="E722" t="s">
        <v>10</v>
      </c>
      <c r="F722">
        <v>583</v>
      </c>
    </row>
    <row r="723" spans="1:6" x14ac:dyDescent="0.25">
      <c r="A723" t="s">
        <v>1336</v>
      </c>
      <c r="B723" t="s">
        <v>1337</v>
      </c>
      <c r="C723" s="1">
        <v>44083</v>
      </c>
      <c r="D723" t="b">
        <v>1</v>
      </c>
      <c r="E723" t="s">
        <v>10</v>
      </c>
      <c r="F723">
        <v>584</v>
      </c>
    </row>
    <row r="724" spans="1:6" x14ac:dyDescent="0.25">
      <c r="A724" t="s">
        <v>1338</v>
      </c>
      <c r="B724" t="s">
        <v>1339</v>
      </c>
      <c r="C724" s="1">
        <v>44083</v>
      </c>
      <c r="D724" t="b">
        <v>1</v>
      </c>
      <c r="E724" t="s">
        <v>10</v>
      </c>
      <c r="F724">
        <v>585</v>
      </c>
    </row>
    <row r="725" spans="1:6" x14ac:dyDescent="0.25">
      <c r="A725" t="s">
        <v>1340</v>
      </c>
      <c r="B725" t="s">
        <v>1341</v>
      </c>
      <c r="C725" s="1">
        <v>44083</v>
      </c>
      <c r="D725" t="b">
        <v>1</v>
      </c>
      <c r="E725" t="s">
        <v>10</v>
      </c>
      <c r="F725">
        <v>587</v>
      </c>
    </row>
    <row r="726" spans="1:6" x14ac:dyDescent="0.25">
      <c r="A726" t="s">
        <v>1342</v>
      </c>
      <c r="B726" t="s">
        <v>1343</v>
      </c>
      <c r="C726" s="1">
        <v>44083</v>
      </c>
      <c r="D726" t="b">
        <v>1</v>
      </c>
      <c r="E726" t="s">
        <v>10</v>
      </c>
      <c r="F726">
        <v>8884</v>
      </c>
    </row>
    <row r="727" spans="1:6" x14ac:dyDescent="0.25">
      <c r="A727" t="s">
        <v>1344</v>
      </c>
      <c r="B727" t="s">
        <v>1345</v>
      </c>
      <c r="C727" s="1">
        <v>44083</v>
      </c>
      <c r="D727" t="b">
        <v>1</v>
      </c>
      <c r="E727" t="s">
        <v>10</v>
      </c>
      <c r="F727">
        <v>591</v>
      </c>
    </row>
    <row r="728" spans="1:6" x14ac:dyDescent="0.25">
      <c r="A728" t="s">
        <v>1346</v>
      </c>
      <c r="C728" s="1">
        <v>44083</v>
      </c>
      <c r="D728" t="b">
        <v>1</v>
      </c>
      <c r="E728" t="s">
        <v>10</v>
      </c>
      <c r="F728">
        <v>11297</v>
      </c>
    </row>
    <row r="729" spans="1:6" x14ac:dyDescent="0.25">
      <c r="A729" t="s">
        <v>1347</v>
      </c>
      <c r="C729" s="1">
        <v>44083</v>
      </c>
      <c r="D729" t="b">
        <v>1</v>
      </c>
      <c r="E729" t="s">
        <v>10</v>
      </c>
      <c r="F729">
        <v>14565</v>
      </c>
    </row>
    <row r="730" spans="1:6" x14ac:dyDescent="0.25">
      <c r="A730" t="s">
        <v>1348</v>
      </c>
      <c r="C730" s="1">
        <v>44083</v>
      </c>
      <c r="D730" t="b">
        <v>1</v>
      </c>
      <c r="E730" t="s">
        <v>10</v>
      </c>
      <c r="F730">
        <v>11045</v>
      </c>
    </row>
    <row r="731" spans="1:6" x14ac:dyDescent="0.25">
      <c r="A731" t="s">
        <v>1349</v>
      </c>
      <c r="C731" s="1">
        <v>44083</v>
      </c>
      <c r="D731" t="b">
        <v>1</v>
      </c>
      <c r="E731" t="s">
        <v>10</v>
      </c>
      <c r="F731">
        <v>593</v>
      </c>
    </row>
    <row r="732" spans="1:6" x14ac:dyDescent="0.25">
      <c r="A732" t="s">
        <v>1350</v>
      </c>
      <c r="C732" s="1">
        <v>44083</v>
      </c>
      <c r="D732" t="b">
        <v>1</v>
      </c>
      <c r="E732" t="s">
        <v>10</v>
      </c>
      <c r="F732">
        <v>14866</v>
      </c>
    </row>
    <row r="733" spans="1:6" x14ac:dyDescent="0.25">
      <c r="A733" t="s">
        <v>1351</v>
      </c>
      <c r="C733" s="1">
        <v>44083</v>
      </c>
      <c r="D733" t="b">
        <v>1</v>
      </c>
      <c r="E733" t="s">
        <v>10</v>
      </c>
      <c r="F733">
        <v>595</v>
      </c>
    </row>
    <row r="734" spans="1:6" x14ac:dyDescent="0.25">
      <c r="A734" t="s">
        <v>1352</v>
      </c>
      <c r="C734" s="1">
        <v>44083</v>
      </c>
      <c r="D734" t="b">
        <v>1</v>
      </c>
      <c r="E734" t="s">
        <v>10</v>
      </c>
      <c r="F734">
        <v>15877</v>
      </c>
    </row>
    <row r="735" spans="1:6" x14ac:dyDescent="0.25">
      <c r="A735" t="s">
        <v>1353</v>
      </c>
      <c r="C735" s="1">
        <v>44083</v>
      </c>
      <c r="D735" t="b">
        <v>1</v>
      </c>
      <c r="E735" t="s">
        <v>10</v>
      </c>
      <c r="F735">
        <v>16091</v>
      </c>
    </row>
    <row r="736" spans="1:6" x14ac:dyDescent="0.25">
      <c r="A736" t="s">
        <v>1354</v>
      </c>
      <c r="B736" t="s">
        <v>1355</v>
      </c>
      <c r="C736" s="1">
        <v>44083</v>
      </c>
      <c r="D736" t="b">
        <v>1</v>
      </c>
      <c r="E736" t="s">
        <v>10</v>
      </c>
      <c r="F736">
        <v>597</v>
      </c>
    </row>
    <row r="737" spans="1:6" x14ac:dyDescent="0.25">
      <c r="A737" t="s">
        <v>1356</v>
      </c>
      <c r="B737" t="s">
        <v>1357</v>
      </c>
      <c r="C737" s="1">
        <v>44083</v>
      </c>
      <c r="D737" t="b">
        <v>1</v>
      </c>
      <c r="E737" t="s">
        <v>10</v>
      </c>
      <c r="F737">
        <v>600</v>
      </c>
    </row>
    <row r="738" spans="1:6" x14ac:dyDescent="0.25">
      <c r="A738" t="s">
        <v>1358</v>
      </c>
      <c r="B738" t="s">
        <v>1359</v>
      </c>
      <c r="C738" s="1">
        <v>44083</v>
      </c>
      <c r="D738" t="b">
        <v>1</v>
      </c>
      <c r="E738" t="s">
        <v>10</v>
      </c>
      <c r="F738">
        <v>601</v>
      </c>
    </row>
    <row r="739" spans="1:6" x14ac:dyDescent="0.25">
      <c r="A739" t="s">
        <v>1360</v>
      </c>
      <c r="B739" t="s">
        <v>1361</v>
      </c>
      <c r="C739" s="1">
        <v>44083</v>
      </c>
      <c r="D739" t="b">
        <v>1</v>
      </c>
      <c r="E739" t="s">
        <v>10</v>
      </c>
      <c r="F739">
        <v>14041</v>
      </c>
    </row>
    <row r="740" spans="1:6" x14ac:dyDescent="0.25">
      <c r="A740" t="s">
        <v>1362</v>
      </c>
      <c r="B740" t="s">
        <v>1363</v>
      </c>
      <c r="C740" s="1">
        <v>44083</v>
      </c>
      <c r="D740" t="b">
        <v>1</v>
      </c>
      <c r="E740" t="s">
        <v>10</v>
      </c>
      <c r="F740">
        <v>604</v>
      </c>
    </row>
    <row r="741" spans="1:6" x14ac:dyDescent="0.25">
      <c r="A741" t="s">
        <v>1364</v>
      </c>
      <c r="B741" t="s">
        <v>1365</v>
      </c>
      <c r="C741" s="1">
        <v>44083</v>
      </c>
      <c r="D741" t="b">
        <v>1</v>
      </c>
      <c r="E741" t="s">
        <v>10</v>
      </c>
      <c r="F741">
        <v>606</v>
      </c>
    </row>
    <row r="742" spans="1:6" x14ac:dyDescent="0.25">
      <c r="A742" t="s">
        <v>1366</v>
      </c>
      <c r="C742" s="1">
        <v>44083</v>
      </c>
      <c r="D742" t="b">
        <v>1</v>
      </c>
      <c r="E742" t="s">
        <v>10</v>
      </c>
      <c r="F742">
        <v>9909</v>
      </c>
    </row>
    <row r="743" spans="1:6" x14ac:dyDescent="0.25">
      <c r="A743" t="s">
        <v>1367</v>
      </c>
      <c r="C743" s="1">
        <v>44083</v>
      </c>
      <c r="D743" t="b">
        <v>1</v>
      </c>
      <c r="E743" t="s">
        <v>10</v>
      </c>
      <c r="F743">
        <v>11063</v>
      </c>
    </row>
    <row r="744" spans="1:6" x14ac:dyDescent="0.25">
      <c r="A744" t="s">
        <v>1368</v>
      </c>
      <c r="B744" t="s">
        <v>1369</v>
      </c>
      <c r="C744" s="1">
        <v>44083</v>
      </c>
      <c r="D744" t="b">
        <v>1</v>
      </c>
      <c r="E744" t="s">
        <v>10</v>
      </c>
      <c r="F744">
        <v>13555</v>
      </c>
    </row>
    <row r="745" spans="1:6" x14ac:dyDescent="0.25">
      <c r="A745" t="s">
        <v>1370</v>
      </c>
      <c r="B745" t="s">
        <v>1371</v>
      </c>
      <c r="C745" s="1">
        <v>44083</v>
      </c>
      <c r="D745" t="b">
        <v>1</v>
      </c>
      <c r="E745" t="s">
        <v>10</v>
      </c>
      <c r="F745">
        <v>609</v>
      </c>
    </row>
    <row r="746" spans="1:6" x14ac:dyDescent="0.25">
      <c r="A746" t="s">
        <v>1372</v>
      </c>
      <c r="C746" s="1">
        <v>44083</v>
      </c>
      <c r="D746" t="b">
        <v>1</v>
      </c>
      <c r="E746" t="s">
        <v>10</v>
      </c>
      <c r="F746">
        <v>610</v>
      </c>
    </row>
    <row r="747" spans="1:6" x14ac:dyDescent="0.25">
      <c r="A747" t="s">
        <v>1373</v>
      </c>
      <c r="B747" t="s">
        <v>1374</v>
      </c>
      <c r="C747" s="1">
        <v>44083</v>
      </c>
      <c r="D747" t="b">
        <v>1</v>
      </c>
      <c r="E747" t="s">
        <v>10</v>
      </c>
      <c r="F747">
        <v>611</v>
      </c>
    </row>
    <row r="748" spans="1:6" x14ac:dyDescent="0.25">
      <c r="A748" t="s">
        <v>1375</v>
      </c>
      <c r="B748" t="s">
        <v>1376</v>
      </c>
      <c r="C748" s="1">
        <v>44083</v>
      </c>
      <c r="D748" t="b">
        <v>1</v>
      </c>
      <c r="E748" t="s">
        <v>10</v>
      </c>
      <c r="F748">
        <v>8094</v>
      </c>
    </row>
    <row r="749" spans="1:6" x14ac:dyDescent="0.25">
      <c r="A749" t="s">
        <v>1377</v>
      </c>
      <c r="B749" t="s">
        <v>1378</v>
      </c>
      <c r="C749" s="1">
        <v>44083</v>
      </c>
      <c r="D749" t="b">
        <v>1</v>
      </c>
      <c r="E749" t="s">
        <v>10</v>
      </c>
      <c r="F749">
        <v>612</v>
      </c>
    </row>
    <row r="750" spans="1:6" x14ac:dyDescent="0.25">
      <c r="A750" t="s">
        <v>1379</v>
      </c>
      <c r="B750" t="s">
        <v>1380</v>
      </c>
      <c r="C750" s="1">
        <v>44083</v>
      </c>
      <c r="D750" t="b">
        <v>1</v>
      </c>
      <c r="E750" t="s">
        <v>10</v>
      </c>
      <c r="F750">
        <v>15564</v>
      </c>
    </row>
    <row r="751" spans="1:6" x14ac:dyDescent="0.25">
      <c r="A751" t="s">
        <v>1381</v>
      </c>
      <c r="B751" t="s">
        <v>1382</v>
      </c>
      <c r="C751" s="1">
        <v>44083</v>
      </c>
      <c r="D751" t="b">
        <v>1</v>
      </c>
      <c r="E751" t="s">
        <v>10</v>
      </c>
      <c r="F751">
        <v>13329</v>
      </c>
    </row>
    <row r="752" spans="1:6" x14ac:dyDescent="0.25">
      <c r="A752" t="s">
        <v>1383</v>
      </c>
      <c r="B752" t="s">
        <v>1384</v>
      </c>
      <c r="C752" s="1">
        <v>44083</v>
      </c>
      <c r="D752" t="b">
        <v>1</v>
      </c>
      <c r="E752" t="s">
        <v>10</v>
      </c>
      <c r="F752">
        <v>615</v>
      </c>
    </row>
    <row r="753" spans="1:6" x14ac:dyDescent="0.25">
      <c r="A753" t="s">
        <v>1385</v>
      </c>
      <c r="B753" t="s">
        <v>1386</v>
      </c>
      <c r="C753" s="1">
        <v>44083</v>
      </c>
      <c r="D753" t="b">
        <v>1</v>
      </c>
      <c r="E753" t="s">
        <v>10</v>
      </c>
      <c r="F753">
        <v>16539</v>
      </c>
    </row>
    <row r="754" spans="1:6" x14ac:dyDescent="0.25">
      <c r="A754" t="s">
        <v>1387</v>
      </c>
      <c r="B754" t="s">
        <v>1388</v>
      </c>
      <c r="C754" s="1">
        <v>44083</v>
      </c>
      <c r="D754" t="b">
        <v>1</v>
      </c>
      <c r="E754" t="s">
        <v>10</v>
      </c>
      <c r="F754">
        <v>11243</v>
      </c>
    </row>
    <row r="755" spans="1:6" x14ac:dyDescent="0.25">
      <c r="A755" t="s">
        <v>1389</v>
      </c>
      <c r="B755" t="s">
        <v>1390</v>
      </c>
      <c r="C755" s="1">
        <v>44083</v>
      </c>
      <c r="D755" t="b">
        <v>1</v>
      </c>
      <c r="E755" t="s">
        <v>10</v>
      </c>
      <c r="F755">
        <v>11244</v>
      </c>
    </row>
    <row r="756" spans="1:6" x14ac:dyDescent="0.25">
      <c r="A756" t="s">
        <v>1391</v>
      </c>
      <c r="B756" t="s">
        <v>1392</v>
      </c>
      <c r="C756" s="1">
        <v>44083</v>
      </c>
      <c r="D756" t="b">
        <v>1</v>
      </c>
      <c r="E756" t="s">
        <v>10</v>
      </c>
      <c r="F756">
        <v>14715</v>
      </c>
    </row>
    <row r="757" spans="1:6" x14ac:dyDescent="0.25">
      <c r="A757" t="s">
        <v>1393</v>
      </c>
      <c r="B757" t="s">
        <v>1394</v>
      </c>
      <c r="C757" s="1">
        <v>44083</v>
      </c>
      <c r="D757" t="b">
        <v>1</v>
      </c>
      <c r="E757" t="s">
        <v>10</v>
      </c>
      <c r="F757">
        <v>15978</v>
      </c>
    </row>
    <row r="758" spans="1:6" x14ac:dyDescent="0.25">
      <c r="A758" t="s">
        <v>1395</v>
      </c>
      <c r="B758" t="s">
        <v>1396</v>
      </c>
      <c r="C758" s="1">
        <v>44083</v>
      </c>
      <c r="D758" t="b">
        <v>1</v>
      </c>
      <c r="E758" t="s">
        <v>10</v>
      </c>
      <c r="F758">
        <v>616</v>
      </c>
    </row>
    <row r="759" spans="1:6" x14ac:dyDescent="0.25">
      <c r="A759" t="s">
        <v>1397</v>
      </c>
      <c r="B759" t="s">
        <v>1398</v>
      </c>
      <c r="C759" s="1">
        <v>44083</v>
      </c>
      <c r="D759" t="b">
        <v>1</v>
      </c>
      <c r="E759" t="s">
        <v>10</v>
      </c>
      <c r="F759">
        <v>635</v>
      </c>
    </row>
    <row r="760" spans="1:6" x14ac:dyDescent="0.25">
      <c r="A760" t="s">
        <v>1399</v>
      </c>
      <c r="B760" t="s">
        <v>1400</v>
      </c>
      <c r="C760" s="1">
        <v>44083</v>
      </c>
      <c r="D760" t="b">
        <v>1</v>
      </c>
      <c r="E760" t="s">
        <v>10</v>
      </c>
      <c r="F760">
        <v>704</v>
      </c>
    </row>
    <row r="761" spans="1:6" x14ac:dyDescent="0.25">
      <c r="A761" t="s">
        <v>1401</v>
      </c>
      <c r="B761" t="s">
        <v>1402</v>
      </c>
      <c r="C761" s="1">
        <v>44083</v>
      </c>
      <c r="D761" t="b">
        <v>1</v>
      </c>
      <c r="E761" t="s">
        <v>10</v>
      </c>
      <c r="F761">
        <v>14895</v>
      </c>
    </row>
    <row r="762" spans="1:6" x14ac:dyDescent="0.25">
      <c r="A762" t="s">
        <v>1403</v>
      </c>
      <c r="B762" t="s">
        <v>1404</v>
      </c>
      <c r="C762" s="1">
        <v>44083</v>
      </c>
      <c r="D762" t="b">
        <v>1</v>
      </c>
      <c r="E762" t="s">
        <v>10</v>
      </c>
      <c r="F762">
        <v>619</v>
      </c>
    </row>
    <row r="763" spans="1:6" x14ac:dyDescent="0.25">
      <c r="A763" t="s">
        <v>1405</v>
      </c>
      <c r="B763" t="s">
        <v>1406</v>
      </c>
      <c r="C763" s="1">
        <v>44083</v>
      </c>
      <c r="D763" t="b">
        <v>1</v>
      </c>
      <c r="E763" t="s">
        <v>10</v>
      </c>
      <c r="F763">
        <v>9585</v>
      </c>
    </row>
    <row r="764" spans="1:6" x14ac:dyDescent="0.25">
      <c r="A764" t="s">
        <v>1407</v>
      </c>
      <c r="B764" t="s">
        <v>1408</v>
      </c>
      <c r="C764" s="1">
        <v>44083</v>
      </c>
      <c r="D764" t="b">
        <v>1</v>
      </c>
      <c r="E764" t="s">
        <v>10</v>
      </c>
      <c r="F764">
        <v>14896</v>
      </c>
    </row>
    <row r="765" spans="1:6" x14ac:dyDescent="0.25">
      <c r="A765" t="s">
        <v>1409</v>
      </c>
      <c r="B765" t="s">
        <v>1410</v>
      </c>
      <c r="C765" s="1">
        <v>44083</v>
      </c>
      <c r="D765" t="b">
        <v>1</v>
      </c>
      <c r="E765" t="s">
        <v>10</v>
      </c>
      <c r="F765">
        <v>15140</v>
      </c>
    </row>
    <row r="766" spans="1:6" x14ac:dyDescent="0.25">
      <c r="A766" t="s">
        <v>1411</v>
      </c>
      <c r="B766" t="s">
        <v>1412</v>
      </c>
      <c r="C766" s="1">
        <v>44083</v>
      </c>
      <c r="D766" t="b">
        <v>1</v>
      </c>
      <c r="E766" t="s">
        <v>10</v>
      </c>
      <c r="F766">
        <v>621</v>
      </c>
    </row>
    <row r="767" spans="1:6" x14ac:dyDescent="0.25">
      <c r="A767" t="s">
        <v>1413</v>
      </c>
      <c r="B767" t="s">
        <v>1414</v>
      </c>
      <c r="C767" s="1">
        <v>44083</v>
      </c>
      <c r="D767" t="b">
        <v>1</v>
      </c>
      <c r="E767" t="s">
        <v>10</v>
      </c>
      <c r="F767">
        <v>6689</v>
      </c>
    </row>
    <row r="768" spans="1:6" x14ac:dyDescent="0.25">
      <c r="A768" t="s">
        <v>1415</v>
      </c>
      <c r="B768" t="s">
        <v>1412</v>
      </c>
      <c r="C768" s="1">
        <v>44083</v>
      </c>
      <c r="D768" t="b">
        <v>1</v>
      </c>
      <c r="E768" t="s">
        <v>10</v>
      </c>
      <c r="F768">
        <v>622</v>
      </c>
    </row>
    <row r="769" spans="1:6" x14ac:dyDescent="0.25">
      <c r="A769" t="s">
        <v>1416</v>
      </c>
      <c r="B769" t="s">
        <v>1417</v>
      </c>
      <c r="C769" s="1">
        <v>44083</v>
      </c>
      <c r="D769" t="b">
        <v>1</v>
      </c>
      <c r="E769" t="s">
        <v>10</v>
      </c>
      <c r="F769">
        <v>14738</v>
      </c>
    </row>
    <row r="770" spans="1:6" x14ac:dyDescent="0.25">
      <c r="A770" t="s">
        <v>1418</v>
      </c>
      <c r="B770" t="s">
        <v>1419</v>
      </c>
      <c r="C770" s="1">
        <v>44083</v>
      </c>
      <c r="D770" t="b">
        <v>1</v>
      </c>
      <c r="E770" t="s">
        <v>10</v>
      </c>
      <c r="F770">
        <v>624</v>
      </c>
    </row>
    <row r="771" spans="1:6" x14ac:dyDescent="0.25">
      <c r="A771" t="s">
        <v>1420</v>
      </c>
      <c r="B771" t="s">
        <v>1421</v>
      </c>
      <c r="C771" s="1">
        <v>44083</v>
      </c>
      <c r="D771" t="b">
        <v>1</v>
      </c>
      <c r="E771" t="s">
        <v>10</v>
      </c>
      <c r="F771">
        <v>626</v>
      </c>
    </row>
    <row r="772" spans="1:6" x14ac:dyDescent="0.25">
      <c r="A772" t="s">
        <v>1422</v>
      </c>
      <c r="B772" t="s">
        <v>1423</v>
      </c>
      <c r="C772" s="1">
        <v>44083</v>
      </c>
      <c r="D772" t="b">
        <v>1</v>
      </c>
      <c r="E772" t="s">
        <v>10</v>
      </c>
      <c r="F772">
        <v>627</v>
      </c>
    </row>
    <row r="773" spans="1:6" x14ac:dyDescent="0.25">
      <c r="A773" t="s">
        <v>1424</v>
      </c>
      <c r="B773" t="s">
        <v>1425</v>
      </c>
      <c r="C773" s="1">
        <v>44083</v>
      </c>
      <c r="D773" t="b">
        <v>1</v>
      </c>
      <c r="E773" t="s">
        <v>10</v>
      </c>
      <c r="F773">
        <v>7260</v>
      </c>
    </row>
    <row r="774" spans="1:6" x14ac:dyDescent="0.25">
      <c r="A774" t="s">
        <v>1426</v>
      </c>
      <c r="B774" t="s">
        <v>1427</v>
      </c>
      <c r="C774" s="1">
        <v>44083</v>
      </c>
      <c r="D774" t="b">
        <v>1</v>
      </c>
      <c r="E774" t="s">
        <v>10</v>
      </c>
      <c r="F774">
        <v>16348</v>
      </c>
    </row>
    <row r="775" spans="1:6" x14ac:dyDescent="0.25">
      <c r="A775" t="s">
        <v>1428</v>
      </c>
      <c r="B775" t="s">
        <v>1429</v>
      </c>
      <c r="C775" s="1">
        <v>44083</v>
      </c>
      <c r="D775" t="b">
        <v>1</v>
      </c>
      <c r="E775" t="s">
        <v>10</v>
      </c>
      <c r="F775">
        <v>15831</v>
      </c>
    </row>
    <row r="776" spans="1:6" x14ac:dyDescent="0.25">
      <c r="A776" t="s">
        <v>1430</v>
      </c>
      <c r="B776" t="s">
        <v>1431</v>
      </c>
      <c r="C776" s="1">
        <v>44083</v>
      </c>
      <c r="D776" t="b">
        <v>1</v>
      </c>
      <c r="E776" t="s">
        <v>10</v>
      </c>
      <c r="F776">
        <v>14739</v>
      </c>
    </row>
    <row r="777" spans="1:6" x14ac:dyDescent="0.25">
      <c r="A777" t="s">
        <v>1432</v>
      </c>
      <c r="B777" t="s">
        <v>1433</v>
      </c>
      <c r="C777" s="1">
        <v>44083</v>
      </c>
      <c r="D777" t="b">
        <v>1</v>
      </c>
      <c r="E777" t="s">
        <v>10</v>
      </c>
      <c r="F777">
        <v>628</v>
      </c>
    </row>
    <row r="778" spans="1:6" x14ac:dyDescent="0.25">
      <c r="A778" t="s">
        <v>1434</v>
      </c>
      <c r="B778" t="s">
        <v>1435</v>
      </c>
      <c r="C778" s="1">
        <v>44083</v>
      </c>
      <c r="D778" t="b">
        <v>1</v>
      </c>
      <c r="E778" t="s">
        <v>10</v>
      </c>
      <c r="F778">
        <v>629</v>
      </c>
    </row>
    <row r="779" spans="1:6" x14ac:dyDescent="0.25">
      <c r="A779" t="s">
        <v>1436</v>
      </c>
      <c r="B779" t="s">
        <v>1437</v>
      </c>
      <c r="C779" s="1">
        <v>44083</v>
      </c>
      <c r="D779" t="b">
        <v>1</v>
      </c>
      <c r="E779" t="s">
        <v>10</v>
      </c>
      <c r="F779">
        <v>16675</v>
      </c>
    </row>
    <row r="780" spans="1:6" x14ac:dyDescent="0.25">
      <c r="A780" t="s">
        <v>1438</v>
      </c>
      <c r="B780" t="s">
        <v>1439</v>
      </c>
      <c r="C780" s="1">
        <v>44083</v>
      </c>
      <c r="D780" t="b">
        <v>1</v>
      </c>
      <c r="E780" t="s">
        <v>10</v>
      </c>
      <c r="F780">
        <v>630</v>
      </c>
    </row>
    <row r="781" spans="1:6" x14ac:dyDescent="0.25">
      <c r="A781" t="s">
        <v>1440</v>
      </c>
      <c r="B781" t="s">
        <v>1441</v>
      </c>
      <c r="C781" s="1">
        <v>44083</v>
      </c>
      <c r="D781" t="b">
        <v>1</v>
      </c>
      <c r="E781" t="s">
        <v>10</v>
      </c>
      <c r="F781">
        <v>9586</v>
      </c>
    </row>
    <row r="782" spans="1:6" x14ac:dyDescent="0.25">
      <c r="A782" t="s">
        <v>1442</v>
      </c>
      <c r="B782" t="s">
        <v>1443</v>
      </c>
      <c r="C782" s="1">
        <v>44083</v>
      </c>
      <c r="D782" t="b">
        <v>1</v>
      </c>
      <c r="E782" t="s">
        <v>10</v>
      </c>
      <c r="F782">
        <v>16079</v>
      </c>
    </row>
    <row r="783" spans="1:6" x14ac:dyDescent="0.25">
      <c r="A783" t="s">
        <v>1444</v>
      </c>
      <c r="B783" t="s">
        <v>1445</v>
      </c>
      <c r="C783" s="1">
        <v>44083</v>
      </c>
      <c r="D783" t="b">
        <v>1</v>
      </c>
      <c r="E783" t="s">
        <v>10</v>
      </c>
      <c r="F783">
        <v>14740</v>
      </c>
    </row>
    <row r="784" spans="1:6" x14ac:dyDescent="0.25">
      <c r="A784" t="s">
        <v>1446</v>
      </c>
      <c r="B784" t="s">
        <v>1447</v>
      </c>
      <c r="C784" s="1">
        <v>44083</v>
      </c>
      <c r="D784" t="b">
        <v>1</v>
      </c>
      <c r="E784" t="s">
        <v>10</v>
      </c>
      <c r="F784">
        <v>15505</v>
      </c>
    </row>
    <row r="785" spans="1:6" x14ac:dyDescent="0.25">
      <c r="A785" t="s">
        <v>1448</v>
      </c>
      <c r="B785" t="s">
        <v>1449</v>
      </c>
      <c r="C785" s="1">
        <v>44083</v>
      </c>
      <c r="D785" t="b">
        <v>1</v>
      </c>
      <c r="E785" t="s">
        <v>10</v>
      </c>
      <c r="F785">
        <v>636</v>
      </c>
    </row>
    <row r="786" spans="1:6" x14ac:dyDescent="0.25">
      <c r="A786" t="s">
        <v>1450</v>
      </c>
      <c r="B786" t="s">
        <v>1451</v>
      </c>
      <c r="C786" s="1">
        <v>44083</v>
      </c>
      <c r="D786" t="b">
        <v>1</v>
      </c>
      <c r="E786" t="s">
        <v>10</v>
      </c>
      <c r="F786">
        <v>11421</v>
      </c>
    </row>
    <row r="787" spans="1:6" x14ac:dyDescent="0.25">
      <c r="A787" t="s">
        <v>1452</v>
      </c>
      <c r="B787" t="s">
        <v>1453</v>
      </c>
      <c r="C787" s="1">
        <v>44083</v>
      </c>
      <c r="D787" t="b">
        <v>1</v>
      </c>
      <c r="E787" t="s">
        <v>10</v>
      </c>
      <c r="F787">
        <v>15506</v>
      </c>
    </row>
    <row r="788" spans="1:6" x14ac:dyDescent="0.25">
      <c r="A788" t="s">
        <v>1454</v>
      </c>
      <c r="B788" t="s">
        <v>1455</v>
      </c>
      <c r="C788" s="1">
        <v>44083</v>
      </c>
      <c r="D788" t="b">
        <v>1</v>
      </c>
      <c r="E788" t="s">
        <v>10</v>
      </c>
      <c r="F788">
        <v>642</v>
      </c>
    </row>
    <row r="789" spans="1:6" x14ac:dyDescent="0.25">
      <c r="A789" t="s">
        <v>1456</v>
      </c>
      <c r="B789" t="s">
        <v>1457</v>
      </c>
      <c r="C789" s="1">
        <v>44083</v>
      </c>
      <c r="D789" t="b">
        <v>1</v>
      </c>
      <c r="E789" t="s">
        <v>10</v>
      </c>
      <c r="F789">
        <v>643</v>
      </c>
    </row>
    <row r="790" spans="1:6" x14ac:dyDescent="0.25">
      <c r="A790" t="s">
        <v>1458</v>
      </c>
      <c r="B790" t="s">
        <v>1459</v>
      </c>
      <c r="C790" s="1">
        <v>44083</v>
      </c>
      <c r="D790" t="b">
        <v>1</v>
      </c>
      <c r="E790" t="s">
        <v>10</v>
      </c>
      <c r="F790">
        <v>13136</v>
      </c>
    </row>
    <row r="791" spans="1:6" x14ac:dyDescent="0.25">
      <c r="A791" t="s">
        <v>1460</v>
      </c>
      <c r="B791" t="s">
        <v>1461</v>
      </c>
      <c r="C791" s="1">
        <v>44083</v>
      </c>
      <c r="D791" t="b">
        <v>1</v>
      </c>
      <c r="E791" t="s">
        <v>10</v>
      </c>
      <c r="F791">
        <v>645</v>
      </c>
    </row>
    <row r="792" spans="1:6" x14ac:dyDescent="0.25">
      <c r="A792" t="s">
        <v>1462</v>
      </c>
      <c r="B792" t="s">
        <v>1463</v>
      </c>
      <c r="C792" s="1">
        <v>44083</v>
      </c>
      <c r="D792" t="b">
        <v>1</v>
      </c>
      <c r="E792" t="s">
        <v>10</v>
      </c>
      <c r="F792">
        <v>646</v>
      </c>
    </row>
    <row r="793" spans="1:6" x14ac:dyDescent="0.25">
      <c r="A793" t="s">
        <v>1464</v>
      </c>
      <c r="C793" s="1">
        <v>44083</v>
      </c>
      <c r="D793" t="b">
        <v>1</v>
      </c>
      <c r="E793" t="s">
        <v>10</v>
      </c>
      <c r="F793">
        <v>15122</v>
      </c>
    </row>
    <row r="794" spans="1:6" x14ac:dyDescent="0.25">
      <c r="A794" t="s">
        <v>1465</v>
      </c>
      <c r="C794" s="1">
        <v>44083</v>
      </c>
      <c r="D794" t="b">
        <v>1</v>
      </c>
      <c r="E794" t="s">
        <v>10</v>
      </c>
      <c r="F794">
        <v>15290</v>
      </c>
    </row>
    <row r="795" spans="1:6" x14ac:dyDescent="0.25">
      <c r="A795" t="s">
        <v>1466</v>
      </c>
      <c r="C795" s="1">
        <v>44083</v>
      </c>
      <c r="D795" t="b">
        <v>1</v>
      </c>
      <c r="E795" t="s">
        <v>10</v>
      </c>
      <c r="F795">
        <v>15503</v>
      </c>
    </row>
    <row r="796" spans="1:6" x14ac:dyDescent="0.25">
      <c r="A796" t="s">
        <v>1467</v>
      </c>
      <c r="B796" t="s">
        <v>1468</v>
      </c>
      <c r="C796" s="1">
        <v>44083</v>
      </c>
      <c r="D796" t="b">
        <v>1</v>
      </c>
      <c r="E796" t="s">
        <v>10</v>
      </c>
      <c r="F796">
        <v>17091</v>
      </c>
    </row>
    <row r="797" spans="1:6" x14ac:dyDescent="0.25">
      <c r="A797" t="s">
        <v>1469</v>
      </c>
      <c r="B797" t="s">
        <v>1470</v>
      </c>
      <c r="C797" s="1">
        <v>44083</v>
      </c>
      <c r="D797" t="b">
        <v>1</v>
      </c>
      <c r="E797" t="s">
        <v>10</v>
      </c>
      <c r="F797">
        <v>648</v>
      </c>
    </row>
    <row r="798" spans="1:6" x14ac:dyDescent="0.25">
      <c r="A798" t="s">
        <v>1471</v>
      </c>
      <c r="B798" t="s">
        <v>1472</v>
      </c>
      <c r="C798" s="1">
        <v>44083</v>
      </c>
      <c r="D798" t="b">
        <v>1</v>
      </c>
      <c r="E798" t="s">
        <v>10</v>
      </c>
      <c r="F798">
        <v>649</v>
      </c>
    </row>
    <row r="799" spans="1:6" x14ac:dyDescent="0.25">
      <c r="A799" t="s">
        <v>1473</v>
      </c>
      <c r="B799" t="s">
        <v>1474</v>
      </c>
      <c r="C799" s="1">
        <v>44083</v>
      </c>
      <c r="D799" t="b">
        <v>1</v>
      </c>
      <c r="E799" t="s">
        <v>10</v>
      </c>
      <c r="F799">
        <v>12743</v>
      </c>
    </row>
    <row r="800" spans="1:6" x14ac:dyDescent="0.25">
      <c r="A800" t="s">
        <v>1475</v>
      </c>
      <c r="B800" t="s">
        <v>1476</v>
      </c>
      <c r="C800" s="1">
        <v>44083</v>
      </c>
      <c r="D800" t="b">
        <v>1</v>
      </c>
      <c r="E800" t="s">
        <v>10</v>
      </c>
      <c r="F800">
        <v>15989</v>
      </c>
    </row>
    <row r="801" spans="1:6" x14ac:dyDescent="0.25">
      <c r="A801" t="s">
        <v>1477</v>
      </c>
      <c r="C801" s="1">
        <v>44083</v>
      </c>
      <c r="D801" t="b">
        <v>1</v>
      </c>
      <c r="E801" t="s">
        <v>10</v>
      </c>
      <c r="F801">
        <v>15990</v>
      </c>
    </row>
    <row r="802" spans="1:6" x14ac:dyDescent="0.25">
      <c r="A802" t="s">
        <v>1478</v>
      </c>
      <c r="B802" t="s">
        <v>1479</v>
      </c>
      <c r="C802" s="1">
        <v>44083</v>
      </c>
      <c r="D802" t="b">
        <v>1</v>
      </c>
      <c r="E802" t="s">
        <v>10</v>
      </c>
      <c r="F802">
        <v>650</v>
      </c>
    </row>
    <row r="803" spans="1:6" x14ac:dyDescent="0.25">
      <c r="A803" t="s">
        <v>1480</v>
      </c>
      <c r="B803" t="s">
        <v>1481</v>
      </c>
      <c r="C803" s="1">
        <v>44083</v>
      </c>
      <c r="D803" t="b">
        <v>1</v>
      </c>
      <c r="E803" t="s">
        <v>10</v>
      </c>
      <c r="F803">
        <v>12855</v>
      </c>
    </row>
    <row r="804" spans="1:6" x14ac:dyDescent="0.25">
      <c r="A804" t="s">
        <v>1482</v>
      </c>
      <c r="B804" t="s">
        <v>1483</v>
      </c>
      <c r="C804" s="1">
        <v>44083</v>
      </c>
      <c r="D804" t="b">
        <v>1</v>
      </c>
      <c r="E804" t="s">
        <v>10</v>
      </c>
      <c r="F804">
        <v>15760</v>
      </c>
    </row>
    <row r="805" spans="1:6" x14ac:dyDescent="0.25">
      <c r="A805" t="s">
        <v>1484</v>
      </c>
      <c r="B805" t="s">
        <v>1485</v>
      </c>
      <c r="C805" s="1">
        <v>44083</v>
      </c>
      <c r="D805" t="b">
        <v>1</v>
      </c>
      <c r="E805" t="s">
        <v>10</v>
      </c>
      <c r="F805">
        <v>653</v>
      </c>
    </row>
    <row r="806" spans="1:6" x14ac:dyDescent="0.25">
      <c r="A806" t="s">
        <v>1486</v>
      </c>
      <c r="B806" t="s">
        <v>1474</v>
      </c>
      <c r="C806" s="1">
        <v>44083</v>
      </c>
      <c r="D806" t="b">
        <v>1</v>
      </c>
      <c r="E806" t="s">
        <v>10</v>
      </c>
      <c r="F806">
        <v>12744</v>
      </c>
    </row>
    <row r="807" spans="1:6" x14ac:dyDescent="0.25">
      <c r="A807" t="s">
        <v>1487</v>
      </c>
      <c r="B807" t="s">
        <v>1488</v>
      </c>
      <c r="C807" s="1">
        <v>44083</v>
      </c>
      <c r="D807" t="b">
        <v>1</v>
      </c>
      <c r="E807" t="s">
        <v>10</v>
      </c>
      <c r="F807">
        <v>9335</v>
      </c>
    </row>
    <row r="808" spans="1:6" x14ac:dyDescent="0.25">
      <c r="A808" t="s">
        <v>1489</v>
      </c>
      <c r="B808" t="s">
        <v>1490</v>
      </c>
      <c r="C808" s="1">
        <v>44083</v>
      </c>
      <c r="D808" t="b">
        <v>1</v>
      </c>
      <c r="E808" t="s">
        <v>10</v>
      </c>
      <c r="F808">
        <v>654</v>
      </c>
    </row>
    <row r="809" spans="1:6" x14ac:dyDescent="0.25">
      <c r="A809" t="s">
        <v>1491</v>
      </c>
      <c r="B809" t="s">
        <v>1492</v>
      </c>
      <c r="C809" s="1">
        <v>44083</v>
      </c>
      <c r="D809" t="b">
        <v>1</v>
      </c>
      <c r="E809" t="s">
        <v>10</v>
      </c>
      <c r="F809">
        <v>14521</v>
      </c>
    </row>
    <row r="810" spans="1:6" x14ac:dyDescent="0.25">
      <c r="A810" t="s">
        <v>1493</v>
      </c>
      <c r="B810" t="s">
        <v>1494</v>
      </c>
      <c r="C810" s="1">
        <v>44083</v>
      </c>
      <c r="D810" t="b">
        <v>1</v>
      </c>
      <c r="E810" t="s">
        <v>10</v>
      </c>
      <c r="F810">
        <v>655</v>
      </c>
    </row>
    <row r="811" spans="1:6" x14ac:dyDescent="0.25">
      <c r="A811" t="s">
        <v>1495</v>
      </c>
      <c r="B811" t="s">
        <v>1496</v>
      </c>
      <c r="C811" s="1">
        <v>44083</v>
      </c>
      <c r="D811" t="b">
        <v>1</v>
      </c>
      <c r="E811" t="s">
        <v>10</v>
      </c>
      <c r="F811">
        <v>657</v>
      </c>
    </row>
    <row r="812" spans="1:6" x14ac:dyDescent="0.25">
      <c r="A812" t="s">
        <v>1497</v>
      </c>
      <c r="B812" t="s">
        <v>1498</v>
      </c>
      <c r="C812" s="1">
        <v>44083</v>
      </c>
      <c r="D812" t="b">
        <v>1</v>
      </c>
      <c r="E812" t="s">
        <v>10</v>
      </c>
      <c r="F812">
        <v>658</v>
      </c>
    </row>
    <row r="813" spans="1:6" x14ac:dyDescent="0.25">
      <c r="A813" t="s">
        <v>1499</v>
      </c>
      <c r="B813" t="s">
        <v>1500</v>
      </c>
      <c r="C813" s="1">
        <v>44083</v>
      </c>
      <c r="D813" t="b">
        <v>1</v>
      </c>
      <c r="E813" t="s">
        <v>10</v>
      </c>
      <c r="F813">
        <v>15367</v>
      </c>
    </row>
    <row r="814" spans="1:6" x14ac:dyDescent="0.25">
      <c r="A814" t="s">
        <v>1501</v>
      </c>
      <c r="B814" t="s">
        <v>1502</v>
      </c>
      <c r="C814" s="1">
        <v>44083</v>
      </c>
      <c r="D814" t="b">
        <v>1</v>
      </c>
      <c r="E814" t="s">
        <v>10</v>
      </c>
      <c r="F814">
        <v>659</v>
      </c>
    </row>
    <row r="815" spans="1:6" x14ac:dyDescent="0.25">
      <c r="A815" t="s">
        <v>1503</v>
      </c>
      <c r="B815" t="s">
        <v>1504</v>
      </c>
      <c r="C815" s="1">
        <v>44083</v>
      </c>
      <c r="D815" t="b">
        <v>1</v>
      </c>
      <c r="E815" t="s">
        <v>10</v>
      </c>
      <c r="F815">
        <v>661</v>
      </c>
    </row>
    <row r="816" spans="1:6" x14ac:dyDescent="0.25">
      <c r="A816" t="s">
        <v>1505</v>
      </c>
      <c r="B816" t="s">
        <v>1506</v>
      </c>
      <c r="C816" s="1">
        <v>44083</v>
      </c>
      <c r="D816" t="b">
        <v>1</v>
      </c>
      <c r="E816" t="s">
        <v>10</v>
      </c>
      <c r="F816">
        <v>662</v>
      </c>
    </row>
    <row r="817" spans="1:6" x14ac:dyDescent="0.25">
      <c r="A817" t="s">
        <v>1507</v>
      </c>
      <c r="B817" t="s">
        <v>1508</v>
      </c>
      <c r="C817" s="1">
        <v>44083</v>
      </c>
      <c r="D817" t="b">
        <v>1</v>
      </c>
      <c r="E817" t="s">
        <v>10</v>
      </c>
      <c r="F817">
        <v>15126</v>
      </c>
    </row>
    <row r="818" spans="1:6" x14ac:dyDescent="0.25">
      <c r="A818" t="s">
        <v>1509</v>
      </c>
      <c r="B818" t="s">
        <v>1510</v>
      </c>
      <c r="C818" s="1">
        <v>44083</v>
      </c>
      <c r="D818" t="b">
        <v>1</v>
      </c>
      <c r="E818" t="s">
        <v>10</v>
      </c>
      <c r="F818">
        <v>17181</v>
      </c>
    </row>
    <row r="819" spans="1:6" x14ac:dyDescent="0.25">
      <c r="A819" t="s">
        <v>1511</v>
      </c>
      <c r="B819" t="s">
        <v>1512</v>
      </c>
      <c r="C819" s="1">
        <v>44083</v>
      </c>
      <c r="D819" t="b">
        <v>1</v>
      </c>
      <c r="E819" t="s">
        <v>10</v>
      </c>
      <c r="F819">
        <v>664</v>
      </c>
    </row>
    <row r="820" spans="1:6" x14ac:dyDescent="0.25">
      <c r="A820" t="s">
        <v>1513</v>
      </c>
      <c r="C820" s="1">
        <v>44083</v>
      </c>
      <c r="D820" t="b">
        <v>1</v>
      </c>
      <c r="E820" t="s">
        <v>10</v>
      </c>
      <c r="F820">
        <v>11709</v>
      </c>
    </row>
    <row r="821" spans="1:6" x14ac:dyDescent="0.25">
      <c r="A821" t="s">
        <v>1514</v>
      </c>
      <c r="B821" t="s">
        <v>1515</v>
      </c>
      <c r="C821" s="1">
        <v>44083</v>
      </c>
      <c r="D821" t="b">
        <v>1</v>
      </c>
      <c r="E821" t="s">
        <v>10</v>
      </c>
      <c r="F821">
        <v>665</v>
      </c>
    </row>
    <row r="822" spans="1:6" x14ac:dyDescent="0.25">
      <c r="A822" t="s">
        <v>1516</v>
      </c>
      <c r="B822" t="s">
        <v>1517</v>
      </c>
      <c r="C822" s="1">
        <v>44083</v>
      </c>
      <c r="D822" t="b">
        <v>1</v>
      </c>
      <c r="E822" t="s">
        <v>10</v>
      </c>
      <c r="F822">
        <v>15669</v>
      </c>
    </row>
    <row r="823" spans="1:6" x14ac:dyDescent="0.25">
      <c r="A823" t="s">
        <v>1518</v>
      </c>
      <c r="B823" t="s">
        <v>1519</v>
      </c>
      <c r="C823" s="1">
        <v>44083</v>
      </c>
      <c r="D823" t="b">
        <v>1</v>
      </c>
      <c r="E823" t="s">
        <v>10</v>
      </c>
      <c r="F823">
        <v>667</v>
      </c>
    </row>
    <row r="824" spans="1:6" x14ac:dyDescent="0.25">
      <c r="A824" t="s">
        <v>1520</v>
      </c>
      <c r="B824" t="s">
        <v>1521</v>
      </c>
      <c r="C824" s="1">
        <v>44083</v>
      </c>
      <c r="D824" t="b">
        <v>1</v>
      </c>
      <c r="E824" t="s">
        <v>10</v>
      </c>
      <c r="F824">
        <v>669</v>
      </c>
    </row>
    <row r="825" spans="1:6" x14ac:dyDescent="0.25">
      <c r="A825" t="s">
        <v>1522</v>
      </c>
      <c r="B825" t="s">
        <v>1523</v>
      </c>
      <c r="C825" s="1">
        <v>44083</v>
      </c>
      <c r="D825" t="b">
        <v>1</v>
      </c>
      <c r="E825" t="s">
        <v>10</v>
      </c>
      <c r="F825">
        <v>16774</v>
      </c>
    </row>
    <row r="826" spans="1:6" x14ac:dyDescent="0.25">
      <c r="A826" t="s">
        <v>1524</v>
      </c>
      <c r="B826" t="s">
        <v>1525</v>
      </c>
      <c r="C826" s="1">
        <v>44083</v>
      </c>
      <c r="D826" t="b">
        <v>1</v>
      </c>
      <c r="E826" t="s">
        <v>10</v>
      </c>
      <c r="F826">
        <v>16221</v>
      </c>
    </row>
    <row r="827" spans="1:6" x14ac:dyDescent="0.25">
      <c r="A827" t="s">
        <v>1526</v>
      </c>
      <c r="B827" t="s">
        <v>1527</v>
      </c>
      <c r="C827" s="1">
        <v>44083</v>
      </c>
      <c r="D827" t="b">
        <v>1</v>
      </c>
      <c r="E827" t="s">
        <v>10</v>
      </c>
      <c r="F827">
        <v>10676</v>
      </c>
    </row>
    <row r="828" spans="1:6" x14ac:dyDescent="0.25">
      <c r="A828" t="s">
        <v>1528</v>
      </c>
      <c r="B828" t="s">
        <v>1529</v>
      </c>
      <c r="C828" s="1">
        <v>44083</v>
      </c>
      <c r="D828" t="b">
        <v>1</v>
      </c>
      <c r="E828" t="s">
        <v>10</v>
      </c>
      <c r="F828">
        <v>16334</v>
      </c>
    </row>
    <row r="829" spans="1:6" x14ac:dyDescent="0.25">
      <c r="A829" t="s">
        <v>1530</v>
      </c>
      <c r="B829" t="s">
        <v>1531</v>
      </c>
      <c r="C829" s="1">
        <v>44083</v>
      </c>
      <c r="D829" t="b">
        <v>1</v>
      </c>
      <c r="E829" t="s">
        <v>10</v>
      </c>
      <c r="F829">
        <v>673</v>
      </c>
    </row>
    <row r="830" spans="1:6" x14ac:dyDescent="0.25">
      <c r="A830" t="s">
        <v>1532</v>
      </c>
      <c r="B830" t="s">
        <v>1533</v>
      </c>
      <c r="C830" s="1">
        <v>44083</v>
      </c>
      <c r="D830" t="b">
        <v>1</v>
      </c>
      <c r="E830" t="s">
        <v>10</v>
      </c>
      <c r="F830">
        <v>674</v>
      </c>
    </row>
    <row r="831" spans="1:6" x14ac:dyDescent="0.25">
      <c r="A831" t="s">
        <v>1534</v>
      </c>
      <c r="B831" t="s">
        <v>1535</v>
      </c>
      <c r="C831" s="1">
        <v>44083</v>
      </c>
      <c r="D831" t="b">
        <v>1</v>
      </c>
      <c r="E831" t="s">
        <v>10</v>
      </c>
      <c r="F831">
        <v>675</v>
      </c>
    </row>
    <row r="832" spans="1:6" x14ac:dyDescent="0.25">
      <c r="A832" t="s">
        <v>1536</v>
      </c>
      <c r="B832" t="s">
        <v>1537</v>
      </c>
      <c r="C832" s="1">
        <v>44083</v>
      </c>
      <c r="D832" t="b">
        <v>1</v>
      </c>
      <c r="E832" t="s">
        <v>10</v>
      </c>
      <c r="F832">
        <v>677</v>
      </c>
    </row>
    <row r="833" spans="1:6" x14ac:dyDescent="0.25">
      <c r="A833" t="s">
        <v>1538</v>
      </c>
      <c r="B833" t="s">
        <v>1539</v>
      </c>
      <c r="C833" s="1">
        <v>44083</v>
      </c>
      <c r="D833" t="b">
        <v>1</v>
      </c>
      <c r="E833" t="s">
        <v>10</v>
      </c>
      <c r="F833">
        <v>679</v>
      </c>
    </row>
    <row r="834" spans="1:6" x14ac:dyDescent="0.25">
      <c r="A834" t="s">
        <v>1540</v>
      </c>
      <c r="B834" t="s">
        <v>1541</v>
      </c>
      <c r="C834" s="1">
        <v>44083</v>
      </c>
      <c r="D834" t="b">
        <v>1</v>
      </c>
      <c r="E834" t="s">
        <v>10</v>
      </c>
      <c r="F834">
        <v>14269</v>
      </c>
    </row>
    <row r="835" spans="1:6" x14ac:dyDescent="0.25">
      <c r="A835" t="s">
        <v>1542</v>
      </c>
      <c r="B835" t="s">
        <v>1543</v>
      </c>
      <c r="C835" s="1">
        <v>44083</v>
      </c>
      <c r="D835" t="b">
        <v>1</v>
      </c>
      <c r="E835" t="s">
        <v>10</v>
      </c>
      <c r="F835">
        <v>680</v>
      </c>
    </row>
    <row r="836" spans="1:6" x14ac:dyDescent="0.25">
      <c r="A836" t="s">
        <v>1544</v>
      </c>
      <c r="B836" t="s">
        <v>1545</v>
      </c>
      <c r="C836" s="1">
        <v>44083</v>
      </c>
      <c r="D836" t="b">
        <v>1</v>
      </c>
      <c r="E836" t="s">
        <v>10</v>
      </c>
      <c r="F836">
        <v>16477</v>
      </c>
    </row>
    <row r="837" spans="1:6" x14ac:dyDescent="0.25">
      <c r="A837" t="s">
        <v>1546</v>
      </c>
      <c r="B837" t="s">
        <v>1547</v>
      </c>
      <c r="C837" s="1">
        <v>44083</v>
      </c>
      <c r="D837" t="b">
        <v>1</v>
      </c>
      <c r="E837" t="s">
        <v>10</v>
      </c>
      <c r="F837">
        <v>681</v>
      </c>
    </row>
    <row r="838" spans="1:6" x14ac:dyDescent="0.25">
      <c r="A838" t="s">
        <v>1548</v>
      </c>
      <c r="C838" s="1">
        <v>44083</v>
      </c>
      <c r="D838" t="b">
        <v>1</v>
      </c>
      <c r="E838" t="s">
        <v>10</v>
      </c>
      <c r="F838">
        <v>16785</v>
      </c>
    </row>
    <row r="839" spans="1:6" x14ac:dyDescent="0.25">
      <c r="A839" t="s">
        <v>1549</v>
      </c>
      <c r="B839" t="s">
        <v>1550</v>
      </c>
      <c r="C839" s="1">
        <v>44083</v>
      </c>
      <c r="D839" t="b">
        <v>1</v>
      </c>
      <c r="E839" t="s">
        <v>10</v>
      </c>
      <c r="F839">
        <v>14735</v>
      </c>
    </row>
    <row r="840" spans="1:6" x14ac:dyDescent="0.25">
      <c r="A840" t="s">
        <v>1551</v>
      </c>
      <c r="B840" t="s">
        <v>1552</v>
      </c>
      <c r="C840" s="1">
        <v>44083</v>
      </c>
      <c r="D840" t="b">
        <v>1</v>
      </c>
      <c r="E840" t="s">
        <v>10</v>
      </c>
      <c r="F840">
        <v>16134</v>
      </c>
    </row>
    <row r="841" spans="1:6" x14ac:dyDescent="0.25">
      <c r="A841" t="s">
        <v>1553</v>
      </c>
      <c r="B841" t="s">
        <v>1554</v>
      </c>
      <c r="C841" s="1">
        <v>44083</v>
      </c>
      <c r="D841" t="b">
        <v>1</v>
      </c>
      <c r="E841" t="s">
        <v>10</v>
      </c>
      <c r="F841">
        <v>683</v>
      </c>
    </row>
    <row r="842" spans="1:6" x14ac:dyDescent="0.25">
      <c r="A842" t="s">
        <v>1555</v>
      </c>
      <c r="B842" t="s">
        <v>1556</v>
      </c>
      <c r="C842" s="1">
        <v>44083</v>
      </c>
      <c r="D842" t="b">
        <v>1</v>
      </c>
      <c r="E842" t="s">
        <v>10</v>
      </c>
      <c r="F842">
        <v>686</v>
      </c>
    </row>
    <row r="843" spans="1:6" x14ac:dyDescent="0.25">
      <c r="A843" t="s">
        <v>1557</v>
      </c>
      <c r="B843" t="s">
        <v>1558</v>
      </c>
      <c r="C843" s="1">
        <v>44083</v>
      </c>
      <c r="D843" t="b">
        <v>1</v>
      </c>
      <c r="E843" t="s">
        <v>10</v>
      </c>
      <c r="F843">
        <v>12916</v>
      </c>
    </row>
    <row r="844" spans="1:6" x14ac:dyDescent="0.25">
      <c r="A844" t="s">
        <v>1559</v>
      </c>
      <c r="B844" t="s">
        <v>1560</v>
      </c>
      <c r="C844" s="1">
        <v>44083</v>
      </c>
      <c r="D844" t="b">
        <v>1</v>
      </c>
      <c r="E844" t="s">
        <v>10</v>
      </c>
      <c r="F844">
        <v>17007</v>
      </c>
    </row>
    <row r="845" spans="1:6" x14ac:dyDescent="0.25">
      <c r="A845" t="s">
        <v>1561</v>
      </c>
      <c r="B845" t="s">
        <v>1562</v>
      </c>
      <c r="C845" s="1">
        <v>44083</v>
      </c>
      <c r="D845" t="b">
        <v>1</v>
      </c>
      <c r="E845" t="s">
        <v>10</v>
      </c>
      <c r="F845">
        <v>691</v>
      </c>
    </row>
    <row r="846" spans="1:6" x14ac:dyDescent="0.25">
      <c r="A846" t="s">
        <v>1563</v>
      </c>
      <c r="B846" t="s">
        <v>1564</v>
      </c>
      <c r="C846" s="1">
        <v>44083</v>
      </c>
      <c r="D846" t="b">
        <v>1</v>
      </c>
      <c r="E846" t="s">
        <v>10</v>
      </c>
      <c r="F846">
        <v>692</v>
      </c>
    </row>
    <row r="847" spans="1:6" x14ac:dyDescent="0.25">
      <c r="A847" t="s">
        <v>1565</v>
      </c>
      <c r="B847" t="s">
        <v>1566</v>
      </c>
      <c r="C847" s="1">
        <v>44083</v>
      </c>
      <c r="D847" t="b">
        <v>1</v>
      </c>
      <c r="E847" t="s">
        <v>10</v>
      </c>
      <c r="F847">
        <v>693</v>
      </c>
    </row>
    <row r="848" spans="1:6" x14ac:dyDescent="0.25">
      <c r="A848" t="s">
        <v>1567</v>
      </c>
      <c r="B848" t="s">
        <v>1568</v>
      </c>
      <c r="C848" s="1">
        <v>44083</v>
      </c>
      <c r="D848" t="b">
        <v>1</v>
      </c>
      <c r="E848" t="s">
        <v>10</v>
      </c>
      <c r="F848">
        <v>694</v>
      </c>
    </row>
    <row r="849" spans="1:6" x14ac:dyDescent="0.25">
      <c r="A849" t="s">
        <v>1569</v>
      </c>
      <c r="C849" s="1">
        <v>44083</v>
      </c>
      <c r="D849" t="b">
        <v>1</v>
      </c>
      <c r="E849" t="s">
        <v>10</v>
      </c>
      <c r="F849">
        <v>16567</v>
      </c>
    </row>
    <row r="850" spans="1:6" x14ac:dyDescent="0.25">
      <c r="A850" t="s">
        <v>1570</v>
      </c>
      <c r="B850" t="s">
        <v>1571</v>
      </c>
      <c r="C850" s="1">
        <v>44083</v>
      </c>
      <c r="D850" t="b">
        <v>1</v>
      </c>
      <c r="E850" t="s">
        <v>10</v>
      </c>
      <c r="F850">
        <v>17006</v>
      </c>
    </row>
    <row r="851" spans="1:6" x14ac:dyDescent="0.25">
      <c r="A851" t="s">
        <v>1572</v>
      </c>
      <c r="B851" t="s">
        <v>1573</v>
      </c>
      <c r="C851" s="1">
        <v>44083</v>
      </c>
      <c r="D851" t="b">
        <v>1</v>
      </c>
      <c r="E851" t="s">
        <v>10</v>
      </c>
      <c r="F851">
        <v>696</v>
      </c>
    </row>
    <row r="852" spans="1:6" x14ac:dyDescent="0.25">
      <c r="A852" t="s">
        <v>1574</v>
      </c>
      <c r="B852" t="s">
        <v>1575</v>
      </c>
      <c r="C852" s="1">
        <v>44083</v>
      </c>
      <c r="D852" t="b">
        <v>1</v>
      </c>
      <c r="E852" t="s">
        <v>10</v>
      </c>
      <c r="F852">
        <v>13406</v>
      </c>
    </row>
    <row r="853" spans="1:6" x14ac:dyDescent="0.25">
      <c r="A853" t="s">
        <v>1576</v>
      </c>
      <c r="B853" t="s">
        <v>1577</v>
      </c>
      <c r="C853" s="1">
        <v>44083</v>
      </c>
      <c r="D853" t="b">
        <v>1</v>
      </c>
      <c r="E853" t="s">
        <v>10</v>
      </c>
      <c r="F853">
        <v>16788</v>
      </c>
    </row>
    <row r="854" spans="1:6" x14ac:dyDescent="0.25">
      <c r="A854" t="s">
        <v>1578</v>
      </c>
      <c r="B854" t="s">
        <v>1579</v>
      </c>
      <c r="C854" s="1">
        <v>44083</v>
      </c>
      <c r="D854" t="b">
        <v>1</v>
      </c>
      <c r="E854" t="s">
        <v>10</v>
      </c>
      <c r="F854">
        <v>697</v>
      </c>
    </row>
    <row r="855" spans="1:6" x14ac:dyDescent="0.25">
      <c r="A855" t="s">
        <v>1580</v>
      </c>
      <c r="B855" t="s">
        <v>1581</v>
      </c>
      <c r="C855" s="1">
        <v>44083</v>
      </c>
      <c r="D855" t="b">
        <v>1</v>
      </c>
      <c r="E855" t="s">
        <v>10</v>
      </c>
      <c r="F855">
        <v>698</v>
      </c>
    </row>
    <row r="856" spans="1:6" x14ac:dyDescent="0.25">
      <c r="A856" t="s">
        <v>1582</v>
      </c>
      <c r="B856" t="s">
        <v>1583</v>
      </c>
      <c r="C856" s="1">
        <v>44083</v>
      </c>
      <c r="D856" t="b">
        <v>1</v>
      </c>
      <c r="E856" t="s">
        <v>10</v>
      </c>
      <c r="F856">
        <v>699</v>
      </c>
    </row>
    <row r="857" spans="1:6" x14ac:dyDescent="0.25">
      <c r="A857" t="s">
        <v>1584</v>
      </c>
      <c r="B857" t="s">
        <v>1585</v>
      </c>
      <c r="C857" s="1">
        <v>44083</v>
      </c>
      <c r="D857" t="b">
        <v>1</v>
      </c>
      <c r="E857" t="s">
        <v>10</v>
      </c>
      <c r="F857">
        <v>15174</v>
      </c>
    </row>
    <row r="858" spans="1:6" x14ac:dyDescent="0.25">
      <c r="A858" t="s">
        <v>1586</v>
      </c>
      <c r="B858" t="s">
        <v>1587</v>
      </c>
      <c r="C858" s="1">
        <v>44083</v>
      </c>
      <c r="D858" t="b">
        <v>1</v>
      </c>
      <c r="E858" t="s">
        <v>10</v>
      </c>
      <c r="F858">
        <v>16494</v>
      </c>
    </row>
    <row r="859" spans="1:6" x14ac:dyDescent="0.25">
      <c r="A859" t="s">
        <v>1588</v>
      </c>
      <c r="B859" t="s">
        <v>1589</v>
      </c>
      <c r="C859" s="1">
        <v>44083</v>
      </c>
      <c r="D859" t="b">
        <v>1</v>
      </c>
      <c r="E859" t="s">
        <v>10</v>
      </c>
      <c r="F859">
        <v>700</v>
      </c>
    </row>
    <row r="860" spans="1:6" x14ac:dyDescent="0.25">
      <c r="A860" t="s">
        <v>1590</v>
      </c>
      <c r="B860" t="s">
        <v>1591</v>
      </c>
      <c r="C860" s="1">
        <v>44083</v>
      </c>
      <c r="D860" t="b">
        <v>1</v>
      </c>
      <c r="E860" t="s">
        <v>10</v>
      </c>
      <c r="F860">
        <v>11330</v>
      </c>
    </row>
    <row r="861" spans="1:6" x14ac:dyDescent="0.25">
      <c r="A861" t="s">
        <v>1592</v>
      </c>
      <c r="B861" t="s">
        <v>1593</v>
      </c>
      <c r="C861" s="1">
        <v>44083</v>
      </c>
      <c r="D861" t="b">
        <v>1</v>
      </c>
      <c r="E861" t="s">
        <v>10</v>
      </c>
      <c r="F861">
        <v>701</v>
      </c>
    </row>
    <row r="862" spans="1:6" x14ac:dyDescent="0.25">
      <c r="A862" t="s">
        <v>1594</v>
      </c>
      <c r="B862" t="s">
        <v>1595</v>
      </c>
      <c r="C862" s="1">
        <v>44083</v>
      </c>
      <c r="D862" t="b">
        <v>1</v>
      </c>
      <c r="E862" t="s">
        <v>10</v>
      </c>
      <c r="F862">
        <v>702</v>
      </c>
    </row>
    <row r="863" spans="1:6" x14ac:dyDescent="0.25">
      <c r="A863" t="s">
        <v>1596</v>
      </c>
      <c r="B863" t="s">
        <v>1597</v>
      </c>
      <c r="C863" s="1">
        <v>44083</v>
      </c>
      <c r="D863" t="b">
        <v>1</v>
      </c>
      <c r="E863" t="s">
        <v>10</v>
      </c>
      <c r="F863">
        <v>703</v>
      </c>
    </row>
    <row r="864" spans="1:6" x14ac:dyDescent="0.25">
      <c r="A864" t="s">
        <v>1598</v>
      </c>
      <c r="B864" t="s">
        <v>1599</v>
      </c>
      <c r="C864" s="1">
        <v>44083</v>
      </c>
      <c r="D864" t="b">
        <v>1</v>
      </c>
      <c r="E864" t="s">
        <v>10</v>
      </c>
      <c r="F864">
        <v>14087</v>
      </c>
    </row>
    <row r="865" spans="1:6" x14ac:dyDescent="0.25">
      <c r="A865" t="s">
        <v>1600</v>
      </c>
      <c r="B865" t="s">
        <v>1601</v>
      </c>
      <c r="C865" s="1">
        <v>44083</v>
      </c>
      <c r="D865" t="b">
        <v>1</v>
      </c>
      <c r="E865" t="s">
        <v>10</v>
      </c>
      <c r="F865">
        <v>705</v>
      </c>
    </row>
    <row r="866" spans="1:6" x14ac:dyDescent="0.25">
      <c r="A866" t="s">
        <v>1602</v>
      </c>
      <c r="C866" s="1">
        <v>44083</v>
      </c>
      <c r="D866" t="b">
        <v>1</v>
      </c>
      <c r="E866" t="s">
        <v>10</v>
      </c>
      <c r="F866">
        <v>14082</v>
      </c>
    </row>
    <row r="867" spans="1:6" x14ac:dyDescent="0.25">
      <c r="A867" t="s">
        <v>1603</v>
      </c>
      <c r="C867" s="1">
        <v>44083</v>
      </c>
      <c r="D867" t="b">
        <v>1</v>
      </c>
      <c r="E867" t="s">
        <v>10</v>
      </c>
      <c r="F867">
        <v>16095</v>
      </c>
    </row>
    <row r="868" spans="1:6" x14ac:dyDescent="0.25">
      <c r="A868" t="s">
        <v>1604</v>
      </c>
      <c r="B868" t="s">
        <v>1605</v>
      </c>
      <c r="C868" s="1">
        <v>44083</v>
      </c>
      <c r="D868" t="b">
        <v>1</v>
      </c>
      <c r="E868" t="s">
        <v>10</v>
      </c>
      <c r="F868">
        <v>14348</v>
      </c>
    </row>
    <row r="869" spans="1:6" x14ac:dyDescent="0.25">
      <c r="A869" t="s">
        <v>1606</v>
      </c>
      <c r="B869" t="s">
        <v>1607</v>
      </c>
      <c r="C869" s="1">
        <v>44083</v>
      </c>
      <c r="D869" t="b">
        <v>1</v>
      </c>
      <c r="E869" t="s">
        <v>10</v>
      </c>
      <c r="F869">
        <v>17047</v>
      </c>
    </row>
    <row r="870" spans="1:6" x14ac:dyDescent="0.25">
      <c r="A870" t="s">
        <v>1608</v>
      </c>
      <c r="B870" t="s">
        <v>1609</v>
      </c>
      <c r="C870" s="1">
        <v>44083</v>
      </c>
      <c r="D870" t="b">
        <v>1</v>
      </c>
      <c r="E870" t="s">
        <v>10</v>
      </c>
      <c r="F870">
        <v>708</v>
      </c>
    </row>
    <row r="871" spans="1:6" x14ac:dyDescent="0.25">
      <c r="A871" t="s">
        <v>1610</v>
      </c>
      <c r="B871" t="s">
        <v>1611</v>
      </c>
      <c r="C871" s="1">
        <v>44083</v>
      </c>
      <c r="D871" t="b">
        <v>1</v>
      </c>
      <c r="E871" t="s">
        <v>10</v>
      </c>
      <c r="F871">
        <v>709</v>
      </c>
    </row>
    <row r="872" spans="1:6" x14ac:dyDescent="0.25">
      <c r="A872" t="s">
        <v>1612</v>
      </c>
      <c r="B872" t="s">
        <v>1613</v>
      </c>
      <c r="C872" s="1">
        <v>44083</v>
      </c>
      <c r="D872" t="b">
        <v>1</v>
      </c>
      <c r="E872" t="s">
        <v>10</v>
      </c>
      <c r="F872">
        <v>710</v>
      </c>
    </row>
    <row r="873" spans="1:6" x14ac:dyDescent="0.25">
      <c r="A873" t="s">
        <v>1614</v>
      </c>
      <c r="B873" t="s">
        <v>1615</v>
      </c>
      <c r="C873" s="1">
        <v>44083</v>
      </c>
      <c r="D873" t="b">
        <v>1</v>
      </c>
      <c r="E873" t="s">
        <v>10</v>
      </c>
      <c r="F873">
        <v>711</v>
      </c>
    </row>
    <row r="874" spans="1:6" x14ac:dyDescent="0.25">
      <c r="A874" t="s">
        <v>1616</v>
      </c>
      <c r="B874" t="s">
        <v>1617</v>
      </c>
      <c r="C874" s="1">
        <v>44083</v>
      </c>
      <c r="D874" t="b">
        <v>1</v>
      </c>
      <c r="E874" t="s">
        <v>10</v>
      </c>
      <c r="F874">
        <v>714</v>
      </c>
    </row>
    <row r="875" spans="1:6" x14ac:dyDescent="0.25">
      <c r="A875" t="s">
        <v>1618</v>
      </c>
      <c r="B875" t="s">
        <v>1619</v>
      </c>
      <c r="C875" s="1">
        <v>44083</v>
      </c>
      <c r="D875" t="b">
        <v>1</v>
      </c>
      <c r="E875" t="s">
        <v>10</v>
      </c>
      <c r="F875">
        <v>716</v>
      </c>
    </row>
    <row r="876" spans="1:6" x14ac:dyDescent="0.25">
      <c r="A876" t="s">
        <v>1620</v>
      </c>
      <c r="B876" t="s">
        <v>1621</v>
      </c>
      <c r="C876" s="1">
        <v>44083</v>
      </c>
      <c r="D876" t="b">
        <v>1</v>
      </c>
      <c r="E876" t="s">
        <v>10</v>
      </c>
      <c r="F876">
        <v>718</v>
      </c>
    </row>
    <row r="877" spans="1:6" x14ac:dyDescent="0.25">
      <c r="A877" t="s">
        <v>1622</v>
      </c>
      <c r="B877" t="s">
        <v>1623</v>
      </c>
      <c r="C877" s="1">
        <v>44083</v>
      </c>
      <c r="D877" t="b">
        <v>1</v>
      </c>
      <c r="E877" t="s">
        <v>10</v>
      </c>
      <c r="F877">
        <v>814</v>
      </c>
    </row>
    <row r="878" spans="1:6" x14ac:dyDescent="0.25">
      <c r="A878" t="s">
        <v>1624</v>
      </c>
      <c r="B878" t="s">
        <v>1625</v>
      </c>
      <c r="C878" s="1">
        <v>44083</v>
      </c>
      <c r="D878" t="b">
        <v>1</v>
      </c>
      <c r="E878" t="s">
        <v>10</v>
      </c>
      <c r="F878">
        <v>12318</v>
      </c>
    </row>
    <row r="879" spans="1:6" x14ac:dyDescent="0.25">
      <c r="A879" t="s">
        <v>1626</v>
      </c>
      <c r="B879" t="s">
        <v>1627</v>
      </c>
      <c r="C879" s="1">
        <v>44083</v>
      </c>
      <c r="D879" t="b">
        <v>1</v>
      </c>
      <c r="E879" t="s">
        <v>10</v>
      </c>
      <c r="F879">
        <v>11046</v>
      </c>
    </row>
    <row r="880" spans="1:6" x14ac:dyDescent="0.25">
      <c r="A880" t="s">
        <v>1628</v>
      </c>
      <c r="B880" t="s">
        <v>1629</v>
      </c>
      <c r="C880" s="1">
        <v>44083</v>
      </c>
      <c r="D880" t="b">
        <v>1</v>
      </c>
      <c r="E880" t="s">
        <v>10</v>
      </c>
      <c r="F880">
        <v>720</v>
      </c>
    </row>
    <row r="881" spans="1:6" x14ac:dyDescent="0.25">
      <c r="A881" t="s">
        <v>1630</v>
      </c>
      <c r="B881" t="s">
        <v>1631</v>
      </c>
      <c r="C881" s="1">
        <v>44083</v>
      </c>
      <c r="D881" t="b">
        <v>1</v>
      </c>
      <c r="E881" t="s">
        <v>10</v>
      </c>
      <c r="F881">
        <v>15232</v>
      </c>
    </row>
    <row r="882" spans="1:6" x14ac:dyDescent="0.25">
      <c r="A882" t="s">
        <v>1632</v>
      </c>
      <c r="B882" t="s">
        <v>1633</v>
      </c>
      <c r="C882" s="1">
        <v>44083</v>
      </c>
      <c r="D882" t="b">
        <v>1</v>
      </c>
      <c r="E882" t="s">
        <v>10</v>
      </c>
      <c r="F882">
        <v>721</v>
      </c>
    </row>
    <row r="883" spans="1:6" x14ac:dyDescent="0.25">
      <c r="A883" t="s">
        <v>1634</v>
      </c>
      <c r="B883" t="s">
        <v>1635</v>
      </c>
      <c r="C883" s="1">
        <v>44083</v>
      </c>
      <c r="D883" t="b">
        <v>1</v>
      </c>
      <c r="E883" t="s">
        <v>10</v>
      </c>
      <c r="F883">
        <v>9428</v>
      </c>
    </row>
    <row r="884" spans="1:6" x14ac:dyDescent="0.25">
      <c r="A884" t="s">
        <v>1636</v>
      </c>
      <c r="B884" t="s">
        <v>1637</v>
      </c>
      <c r="C884" s="1">
        <v>44083</v>
      </c>
      <c r="D884" t="b">
        <v>1</v>
      </c>
      <c r="E884" t="s">
        <v>10</v>
      </c>
      <c r="F884">
        <v>724</v>
      </c>
    </row>
    <row r="885" spans="1:6" x14ac:dyDescent="0.25">
      <c r="A885" t="s">
        <v>1638</v>
      </c>
      <c r="B885" t="s">
        <v>1639</v>
      </c>
      <c r="C885" s="1">
        <v>44083</v>
      </c>
      <c r="D885" t="b">
        <v>1</v>
      </c>
      <c r="E885" t="s">
        <v>10</v>
      </c>
      <c r="F885">
        <v>725</v>
      </c>
    </row>
    <row r="886" spans="1:6" x14ac:dyDescent="0.25">
      <c r="A886" t="s">
        <v>1640</v>
      </c>
      <c r="B886" t="s">
        <v>1641</v>
      </c>
      <c r="C886" s="1">
        <v>44083</v>
      </c>
      <c r="D886" t="b">
        <v>1</v>
      </c>
      <c r="E886" t="s">
        <v>10</v>
      </c>
      <c r="F886">
        <v>726</v>
      </c>
    </row>
    <row r="887" spans="1:6" x14ac:dyDescent="0.25">
      <c r="A887" t="s">
        <v>1642</v>
      </c>
      <c r="B887" t="s">
        <v>1643</v>
      </c>
      <c r="C887" s="1">
        <v>44083</v>
      </c>
      <c r="D887" t="b">
        <v>1</v>
      </c>
      <c r="E887" t="s">
        <v>10</v>
      </c>
      <c r="F887">
        <v>14504</v>
      </c>
    </row>
    <row r="888" spans="1:6" x14ac:dyDescent="0.25">
      <c r="A888" t="s">
        <v>1644</v>
      </c>
      <c r="B888" t="s">
        <v>1645</v>
      </c>
      <c r="C888" s="1">
        <v>44083</v>
      </c>
      <c r="D888" t="b">
        <v>1</v>
      </c>
      <c r="E888" t="s">
        <v>10</v>
      </c>
      <c r="F888">
        <v>14357</v>
      </c>
    </row>
    <row r="889" spans="1:6" x14ac:dyDescent="0.25">
      <c r="A889" t="s">
        <v>1646</v>
      </c>
      <c r="B889" t="s">
        <v>1647</v>
      </c>
      <c r="C889" s="1">
        <v>44083</v>
      </c>
      <c r="D889" t="b">
        <v>1</v>
      </c>
      <c r="E889" t="s">
        <v>10</v>
      </c>
      <c r="F889">
        <v>15478</v>
      </c>
    </row>
    <row r="890" spans="1:6" x14ac:dyDescent="0.25">
      <c r="A890" t="s">
        <v>1648</v>
      </c>
      <c r="B890" t="s">
        <v>1649</v>
      </c>
      <c r="C890" s="1">
        <v>44083</v>
      </c>
      <c r="D890" t="b">
        <v>1</v>
      </c>
      <c r="E890" t="s">
        <v>10</v>
      </c>
      <c r="F890">
        <v>728</v>
      </c>
    </row>
    <row r="891" spans="1:6" x14ac:dyDescent="0.25">
      <c r="A891" t="s">
        <v>1650</v>
      </c>
      <c r="B891" t="s">
        <v>1651</v>
      </c>
      <c r="C891" s="1">
        <v>44083</v>
      </c>
      <c r="D891" t="b">
        <v>1</v>
      </c>
      <c r="E891" t="s">
        <v>10</v>
      </c>
      <c r="F891">
        <v>7355</v>
      </c>
    </row>
    <row r="892" spans="1:6" x14ac:dyDescent="0.25">
      <c r="A892" t="s">
        <v>1652</v>
      </c>
      <c r="B892" t="s">
        <v>1653</v>
      </c>
      <c r="C892" s="1">
        <v>44083</v>
      </c>
      <c r="D892" t="b">
        <v>1</v>
      </c>
      <c r="E892" t="s">
        <v>10</v>
      </c>
      <c r="F892">
        <v>730</v>
      </c>
    </row>
    <row r="893" spans="1:6" x14ac:dyDescent="0.25">
      <c r="A893" t="s">
        <v>1654</v>
      </c>
      <c r="B893" t="s">
        <v>1655</v>
      </c>
      <c r="C893" s="1">
        <v>44083</v>
      </c>
      <c r="D893" t="b">
        <v>1</v>
      </c>
      <c r="E893" t="s">
        <v>10</v>
      </c>
      <c r="F893">
        <v>13024</v>
      </c>
    </row>
    <row r="894" spans="1:6" x14ac:dyDescent="0.25">
      <c r="A894" t="s">
        <v>1656</v>
      </c>
      <c r="C894" s="1">
        <v>44083</v>
      </c>
      <c r="D894" t="b">
        <v>1</v>
      </c>
      <c r="E894" t="s">
        <v>10</v>
      </c>
      <c r="F894">
        <v>15026</v>
      </c>
    </row>
    <row r="895" spans="1:6" x14ac:dyDescent="0.25">
      <c r="A895" t="s">
        <v>1657</v>
      </c>
      <c r="C895" s="1">
        <v>44083</v>
      </c>
      <c r="D895" t="b">
        <v>1</v>
      </c>
      <c r="E895" t="s">
        <v>10</v>
      </c>
      <c r="F895">
        <v>16747</v>
      </c>
    </row>
    <row r="896" spans="1:6" x14ac:dyDescent="0.25">
      <c r="A896" t="s">
        <v>1658</v>
      </c>
      <c r="C896" s="1">
        <v>44083</v>
      </c>
      <c r="D896" t="b">
        <v>1</v>
      </c>
      <c r="E896" t="s">
        <v>10</v>
      </c>
      <c r="F896">
        <v>15559</v>
      </c>
    </row>
    <row r="897" spans="1:6" x14ac:dyDescent="0.25">
      <c r="A897" t="s">
        <v>1659</v>
      </c>
      <c r="B897" t="s">
        <v>1660</v>
      </c>
      <c r="C897" s="1">
        <v>44083</v>
      </c>
      <c r="D897" t="b">
        <v>1</v>
      </c>
      <c r="E897" t="s">
        <v>10</v>
      </c>
      <c r="F897">
        <v>732</v>
      </c>
    </row>
    <row r="898" spans="1:6" x14ac:dyDescent="0.25">
      <c r="A898" t="s">
        <v>1661</v>
      </c>
      <c r="B898" t="s">
        <v>1662</v>
      </c>
      <c r="C898" s="1">
        <v>44083</v>
      </c>
      <c r="D898" t="b">
        <v>1</v>
      </c>
      <c r="E898" t="s">
        <v>10</v>
      </c>
      <c r="F898">
        <v>734</v>
      </c>
    </row>
    <row r="899" spans="1:6" x14ac:dyDescent="0.25">
      <c r="A899" t="s">
        <v>1663</v>
      </c>
      <c r="B899" t="s">
        <v>1664</v>
      </c>
      <c r="C899" s="1">
        <v>44083</v>
      </c>
      <c r="D899" t="b">
        <v>1</v>
      </c>
      <c r="E899" t="s">
        <v>10</v>
      </c>
      <c r="F899">
        <v>735</v>
      </c>
    </row>
    <row r="900" spans="1:6" x14ac:dyDescent="0.25">
      <c r="A900" t="s">
        <v>1665</v>
      </c>
      <c r="B900" t="s">
        <v>1666</v>
      </c>
      <c r="C900" s="1">
        <v>44083</v>
      </c>
      <c r="D900" t="b">
        <v>1</v>
      </c>
      <c r="E900" t="s">
        <v>10</v>
      </c>
      <c r="F900">
        <v>7816</v>
      </c>
    </row>
    <row r="901" spans="1:6" x14ac:dyDescent="0.25">
      <c r="A901" t="s">
        <v>1667</v>
      </c>
      <c r="C901" s="1">
        <v>44083</v>
      </c>
      <c r="D901" t="b">
        <v>1</v>
      </c>
      <c r="E901" t="s">
        <v>10</v>
      </c>
      <c r="F901">
        <v>11317</v>
      </c>
    </row>
    <row r="902" spans="1:6" x14ac:dyDescent="0.25">
      <c r="A902" t="s">
        <v>1668</v>
      </c>
      <c r="C902" s="1">
        <v>44083</v>
      </c>
      <c r="D902" t="b">
        <v>1</v>
      </c>
      <c r="E902" t="s">
        <v>10</v>
      </c>
      <c r="F902">
        <v>15255</v>
      </c>
    </row>
    <row r="903" spans="1:6" x14ac:dyDescent="0.25">
      <c r="A903" t="s">
        <v>1669</v>
      </c>
      <c r="B903" t="s">
        <v>1670</v>
      </c>
      <c r="C903" s="1">
        <v>44083</v>
      </c>
      <c r="D903" t="b">
        <v>1</v>
      </c>
      <c r="E903" t="s">
        <v>10</v>
      </c>
      <c r="F903">
        <v>14358</v>
      </c>
    </row>
    <row r="904" spans="1:6" x14ac:dyDescent="0.25">
      <c r="A904" t="s">
        <v>1671</v>
      </c>
      <c r="B904" t="s">
        <v>1672</v>
      </c>
      <c r="C904" s="1">
        <v>44083</v>
      </c>
      <c r="D904" t="b">
        <v>1</v>
      </c>
      <c r="E904" t="s">
        <v>10</v>
      </c>
      <c r="F904">
        <v>736</v>
      </c>
    </row>
    <row r="905" spans="1:6" x14ac:dyDescent="0.25">
      <c r="A905" t="s">
        <v>1673</v>
      </c>
      <c r="B905" t="s">
        <v>1674</v>
      </c>
      <c r="C905" s="1">
        <v>44083</v>
      </c>
      <c r="D905" t="b">
        <v>1</v>
      </c>
      <c r="E905" t="s">
        <v>10</v>
      </c>
      <c r="F905">
        <v>12857</v>
      </c>
    </row>
    <row r="906" spans="1:6" x14ac:dyDescent="0.25">
      <c r="A906" t="s">
        <v>1675</v>
      </c>
      <c r="B906" t="s">
        <v>1676</v>
      </c>
      <c r="C906" s="1">
        <v>44083</v>
      </c>
      <c r="D906" t="b">
        <v>1</v>
      </c>
      <c r="E906" t="s">
        <v>10</v>
      </c>
      <c r="F906">
        <v>738</v>
      </c>
    </row>
    <row r="907" spans="1:6" x14ac:dyDescent="0.25">
      <c r="A907" t="s">
        <v>1677</v>
      </c>
      <c r="B907" t="s">
        <v>1678</v>
      </c>
      <c r="C907" s="1">
        <v>44083</v>
      </c>
      <c r="D907" t="b">
        <v>1</v>
      </c>
      <c r="E907" t="s">
        <v>10</v>
      </c>
      <c r="F907">
        <v>13665</v>
      </c>
    </row>
    <row r="908" spans="1:6" x14ac:dyDescent="0.25">
      <c r="A908" t="s">
        <v>1679</v>
      </c>
      <c r="B908" t="s">
        <v>1680</v>
      </c>
      <c r="C908" s="1">
        <v>44083</v>
      </c>
      <c r="D908" t="b">
        <v>1</v>
      </c>
      <c r="E908" t="s">
        <v>10</v>
      </c>
      <c r="F908">
        <v>739</v>
      </c>
    </row>
    <row r="909" spans="1:6" x14ac:dyDescent="0.25">
      <c r="A909" t="s">
        <v>1681</v>
      </c>
      <c r="B909" t="s">
        <v>1682</v>
      </c>
      <c r="C909" s="1">
        <v>44083</v>
      </c>
      <c r="D909" t="b">
        <v>1</v>
      </c>
      <c r="E909" t="s">
        <v>10</v>
      </c>
      <c r="F909">
        <v>741</v>
      </c>
    </row>
    <row r="910" spans="1:6" x14ac:dyDescent="0.25">
      <c r="A910" t="s">
        <v>1683</v>
      </c>
      <c r="B910" t="s">
        <v>1684</v>
      </c>
      <c r="C910" s="1">
        <v>44083</v>
      </c>
      <c r="D910" t="b">
        <v>1</v>
      </c>
      <c r="E910" t="s">
        <v>10</v>
      </c>
      <c r="F910">
        <v>743</v>
      </c>
    </row>
    <row r="911" spans="1:6" x14ac:dyDescent="0.25">
      <c r="A911" t="s">
        <v>1685</v>
      </c>
      <c r="B911" t="s">
        <v>1686</v>
      </c>
      <c r="C911" s="1">
        <v>44083</v>
      </c>
      <c r="D911" t="b">
        <v>1</v>
      </c>
      <c r="E911" t="s">
        <v>10</v>
      </c>
      <c r="F911">
        <v>744</v>
      </c>
    </row>
    <row r="912" spans="1:6" x14ac:dyDescent="0.25">
      <c r="A912" t="s">
        <v>1687</v>
      </c>
      <c r="B912" t="s">
        <v>1688</v>
      </c>
      <c r="C912" s="1">
        <v>44083</v>
      </c>
      <c r="D912" t="b">
        <v>1</v>
      </c>
      <c r="E912" t="s">
        <v>10</v>
      </c>
      <c r="F912">
        <v>16965</v>
      </c>
    </row>
    <row r="913" spans="1:6" x14ac:dyDescent="0.25">
      <c r="A913" t="s">
        <v>1689</v>
      </c>
      <c r="B913" t="s">
        <v>1690</v>
      </c>
      <c r="C913" s="1">
        <v>44083</v>
      </c>
      <c r="D913" t="b">
        <v>1</v>
      </c>
      <c r="E913" t="s">
        <v>10</v>
      </c>
      <c r="F913">
        <v>745</v>
      </c>
    </row>
    <row r="914" spans="1:6" x14ac:dyDescent="0.25">
      <c r="A914" t="s">
        <v>1691</v>
      </c>
      <c r="B914" t="s">
        <v>1692</v>
      </c>
      <c r="C914" s="1">
        <v>44083</v>
      </c>
      <c r="D914" t="b">
        <v>1</v>
      </c>
      <c r="E914" t="s">
        <v>10</v>
      </c>
      <c r="F914">
        <v>747</v>
      </c>
    </row>
    <row r="915" spans="1:6" x14ac:dyDescent="0.25">
      <c r="A915" t="s">
        <v>1693</v>
      </c>
      <c r="B915" t="s">
        <v>1694</v>
      </c>
      <c r="C915" s="1">
        <v>44083</v>
      </c>
      <c r="D915" t="b">
        <v>1</v>
      </c>
      <c r="E915" t="s">
        <v>10</v>
      </c>
      <c r="F915">
        <v>14219</v>
      </c>
    </row>
    <row r="916" spans="1:6" x14ac:dyDescent="0.25">
      <c r="A916" t="s">
        <v>1695</v>
      </c>
      <c r="B916" t="s">
        <v>1696</v>
      </c>
      <c r="C916" s="1">
        <v>44083</v>
      </c>
      <c r="D916" t="b">
        <v>1</v>
      </c>
      <c r="E916" t="s">
        <v>10</v>
      </c>
      <c r="F916">
        <v>16307</v>
      </c>
    </row>
    <row r="917" spans="1:6" x14ac:dyDescent="0.25">
      <c r="A917" t="s">
        <v>1697</v>
      </c>
      <c r="B917" t="s">
        <v>1698</v>
      </c>
      <c r="C917" s="1">
        <v>44083</v>
      </c>
      <c r="D917" t="b">
        <v>1</v>
      </c>
      <c r="E917" t="s">
        <v>10</v>
      </c>
      <c r="F917">
        <v>4781</v>
      </c>
    </row>
    <row r="918" spans="1:6" x14ac:dyDescent="0.25">
      <c r="A918" t="s">
        <v>1699</v>
      </c>
      <c r="B918" t="s">
        <v>1700</v>
      </c>
      <c r="C918" s="1">
        <v>44083</v>
      </c>
      <c r="D918" t="b">
        <v>1</v>
      </c>
      <c r="E918" t="s">
        <v>10</v>
      </c>
      <c r="F918">
        <v>749</v>
      </c>
    </row>
    <row r="919" spans="1:6" x14ac:dyDescent="0.25">
      <c r="A919" t="s">
        <v>1701</v>
      </c>
      <c r="B919" t="s">
        <v>1702</v>
      </c>
      <c r="C919" s="1">
        <v>44083</v>
      </c>
      <c r="D919" t="b">
        <v>1</v>
      </c>
      <c r="E919" t="s">
        <v>10</v>
      </c>
      <c r="F919">
        <v>750</v>
      </c>
    </row>
    <row r="920" spans="1:6" x14ac:dyDescent="0.25">
      <c r="A920" t="s">
        <v>1703</v>
      </c>
      <c r="B920" t="s">
        <v>1704</v>
      </c>
      <c r="C920" s="1">
        <v>44083</v>
      </c>
      <c r="D920" t="b">
        <v>1</v>
      </c>
      <c r="E920" t="s">
        <v>10</v>
      </c>
      <c r="F920">
        <v>7783</v>
      </c>
    </row>
    <row r="921" spans="1:6" x14ac:dyDescent="0.25">
      <c r="A921" t="s">
        <v>1705</v>
      </c>
      <c r="B921" t="s">
        <v>1706</v>
      </c>
      <c r="C921" s="1">
        <v>44083</v>
      </c>
      <c r="D921" t="b">
        <v>1</v>
      </c>
      <c r="E921" t="s">
        <v>10</v>
      </c>
      <c r="F921">
        <v>754</v>
      </c>
    </row>
    <row r="922" spans="1:6" x14ac:dyDescent="0.25">
      <c r="A922" t="s">
        <v>1707</v>
      </c>
      <c r="B922" t="s">
        <v>1708</v>
      </c>
      <c r="C922" s="1">
        <v>44083</v>
      </c>
      <c r="D922" t="b">
        <v>1</v>
      </c>
      <c r="E922" t="s">
        <v>10</v>
      </c>
      <c r="F922">
        <v>14228</v>
      </c>
    </row>
    <row r="923" spans="1:6" x14ac:dyDescent="0.25">
      <c r="A923" t="s">
        <v>1709</v>
      </c>
      <c r="B923" t="s">
        <v>1710</v>
      </c>
      <c r="C923" s="1">
        <v>44083</v>
      </c>
      <c r="D923" t="b">
        <v>1</v>
      </c>
      <c r="E923" t="s">
        <v>10</v>
      </c>
      <c r="F923">
        <v>756</v>
      </c>
    </row>
    <row r="924" spans="1:6" x14ac:dyDescent="0.25">
      <c r="A924" t="s">
        <v>1711</v>
      </c>
      <c r="B924" t="s">
        <v>1712</v>
      </c>
      <c r="C924" s="1">
        <v>44083</v>
      </c>
      <c r="D924" t="b">
        <v>1</v>
      </c>
      <c r="E924" t="s">
        <v>10</v>
      </c>
      <c r="F924">
        <v>16633</v>
      </c>
    </row>
    <row r="925" spans="1:6" x14ac:dyDescent="0.25">
      <c r="A925" t="s">
        <v>1713</v>
      </c>
      <c r="B925" t="s">
        <v>1714</v>
      </c>
      <c r="C925" s="1">
        <v>44083</v>
      </c>
      <c r="D925" t="b">
        <v>1</v>
      </c>
      <c r="E925" t="s">
        <v>10</v>
      </c>
      <c r="F925">
        <v>759</v>
      </c>
    </row>
    <row r="926" spans="1:6" x14ac:dyDescent="0.25">
      <c r="A926" t="s">
        <v>1715</v>
      </c>
      <c r="B926" t="s">
        <v>1716</v>
      </c>
      <c r="C926" s="1">
        <v>44083</v>
      </c>
      <c r="D926" t="b">
        <v>1</v>
      </c>
      <c r="E926" t="s">
        <v>10</v>
      </c>
      <c r="F926">
        <v>760</v>
      </c>
    </row>
    <row r="927" spans="1:6" x14ac:dyDescent="0.25">
      <c r="A927" t="s">
        <v>1717</v>
      </c>
      <c r="B927" t="s">
        <v>1718</v>
      </c>
      <c r="C927" s="1">
        <v>44083</v>
      </c>
      <c r="D927" t="b">
        <v>1</v>
      </c>
      <c r="E927" t="s">
        <v>10</v>
      </c>
      <c r="F927">
        <v>761</v>
      </c>
    </row>
    <row r="928" spans="1:6" x14ac:dyDescent="0.25">
      <c r="A928" t="s">
        <v>1719</v>
      </c>
      <c r="B928" t="s">
        <v>1720</v>
      </c>
      <c r="C928" s="1">
        <v>44083</v>
      </c>
      <c r="D928" t="b">
        <v>1</v>
      </c>
      <c r="E928" t="s">
        <v>10</v>
      </c>
      <c r="F928">
        <v>762</v>
      </c>
    </row>
    <row r="929" spans="1:6" x14ac:dyDescent="0.25">
      <c r="A929" t="s">
        <v>1721</v>
      </c>
      <c r="B929" t="s">
        <v>1722</v>
      </c>
      <c r="C929" s="1">
        <v>44083</v>
      </c>
      <c r="D929" t="b">
        <v>1</v>
      </c>
      <c r="E929" t="s">
        <v>10</v>
      </c>
      <c r="F929">
        <v>763</v>
      </c>
    </row>
    <row r="930" spans="1:6" x14ac:dyDescent="0.25">
      <c r="A930" t="s">
        <v>1723</v>
      </c>
      <c r="B930" t="s">
        <v>1724</v>
      </c>
      <c r="C930" s="1">
        <v>44083</v>
      </c>
      <c r="D930" t="b">
        <v>1</v>
      </c>
      <c r="E930" t="s">
        <v>10</v>
      </c>
      <c r="F930">
        <v>14566</v>
      </c>
    </row>
    <row r="931" spans="1:6" x14ac:dyDescent="0.25">
      <c r="A931" t="s">
        <v>1725</v>
      </c>
      <c r="B931" t="s">
        <v>1726</v>
      </c>
      <c r="C931" s="1">
        <v>44083</v>
      </c>
      <c r="D931" t="b">
        <v>1</v>
      </c>
      <c r="E931" t="s">
        <v>10</v>
      </c>
      <c r="F931">
        <v>15343</v>
      </c>
    </row>
    <row r="932" spans="1:6" x14ac:dyDescent="0.25">
      <c r="A932" t="s">
        <v>1727</v>
      </c>
      <c r="B932" t="s">
        <v>1728</v>
      </c>
      <c r="C932" s="1">
        <v>44083</v>
      </c>
      <c r="D932" t="b">
        <v>1</v>
      </c>
      <c r="E932" t="s">
        <v>10</v>
      </c>
      <c r="F932">
        <v>764</v>
      </c>
    </row>
    <row r="933" spans="1:6" x14ac:dyDescent="0.25">
      <c r="A933" t="s">
        <v>1729</v>
      </c>
      <c r="B933" t="s">
        <v>1730</v>
      </c>
      <c r="C933" s="1">
        <v>44083</v>
      </c>
      <c r="D933" t="b">
        <v>1</v>
      </c>
      <c r="E933" t="s">
        <v>10</v>
      </c>
      <c r="F933">
        <v>765</v>
      </c>
    </row>
    <row r="934" spans="1:6" x14ac:dyDescent="0.25">
      <c r="A934" t="s">
        <v>1731</v>
      </c>
      <c r="B934" t="s">
        <v>1732</v>
      </c>
      <c r="C934" s="1">
        <v>44083</v>
      </c>
      <c r="D934" t="b">
        <v>1</v>
      </c>
      <c r="E934" t="s">
        <v>10</v>
      </c>
      <c r="F934">
        <v>14959</v>
      </c>
    </row>
    <row r="935" spans="1:6" x14ac:dyDescent="0.25">
      <c r="A935" t="s">
        <v>1733</v>
      </c>
      <c r="B935" t="s">
        <v>1734</v>
      </c>
      <c r="C935" s="1">
        <v>44083</v>
      </c>
      <c r="D935" t="b">
        <v>1</v>
      </c>
      <c r="E935" t="s">
        <v>10</v>
      </c>
      <c r="F935">
        <v>15796</v>
      </c>
    </row>
    <row r="936" spans="1:6" x14ac:dyDescent="0.25">
      <c r="A936" t="s">
        <v>1735</v>
      </c>
      <c r="B936" t="s">
        <v>1736</v>
      </c>
      <c r="C936" s="1">
        <v>44083</v>
      </c>
      <c r="D936" t="b">
        <v>1</v>
      </c>
      <c r="E936" t="s">
        <v>10</v>
      </c>
      <c r="F936">
        <v>767</v>
      </c>
    </row>
    <row r="937" spans="1:6" x14ac:dyDescent="0.25">
      <c r="A937" t="s">
        <v>1737</v>
      </c>
      <c r="C937" s="1">
        <v>44083</v>
      </c>
      <c r="D937" t="b">
        <v>1</v>
      </c>
      <c r="E937" t="s">
        <v>10</v>
      </c>
      <c r="F937">
        <v>768</v>
      </c>
    </row>
    <row r="938" spans="1:6" x14ac:dyDescent="0.25">
      <c r="A938" t="s">
        <v>1738</v>
      </c>
      <c r="B938" t="s">
        <v>1739</v>
      </c>
      <c r="C938" s="1">
        <v>44083</v>
      </c>
      <c r="D938" t="b">
        <v>1</v>
      </c>
      <c r="E938" t="s">
        <v>10</v>
      </c>
      <c r="F938">
        <v>16684</v>
      </c>
    </row>
    <row r="939" spans="1:6" x14ac:dyDescent="0.25">
      <c r="A939" t="s">
        <v>1740</v>
      </c>
      <c r="B939" t="s">
        <v>1741</v>
      </c>
      <c r="C939" s="1">
        <v>44083</v>
      </c>
      <c r="D939" t="b">
        <v>1</v>
      </c>
      <c r="E939" t="s">
        <v>10</v>
      </c>
      <c r="F939">
        <v>769</v>
      </c>
    </row>
    <row r="940" spans="1:6" x14ac:dyDescent="0.25">
      <c r="A940" t="s">
        <v>1742</v>
      </c>
      <c r="B940" t="s">
        <v>1743</v>
      </c>
      <c r="C940" s="1">
        <v>44083</v>
      </c>
      <c r="D940" t="b">
        <v>1</v>
      </c>
      <c r="E940" t="s">
        <v>10</v>
      </c>
      <c r="F940">
        <v>770</v>
      </c>
    </row>
    <row r="941" spans="1:6" x14ac:dyDescent="0.25">
      <c r="A941" t="s">
        <v>1744</v>
      </c>
      <c r="B941" t="s">
        <v>1745</v>
      </c>
      <c r="C941" s="1">
        <v>44083</v>
      </c>
      <c r="D941" t="b">
        <v>1</v>
      </c>
      <c r="E941" t="s">
        <v>10</v>
      </c>
      <c r="F941">
        <v>771</v>
      </c>
    </row>
    <row r="942" spans="1:6" x14ac:dyDescent="0.25">
      <c r="A942" t="s">
        <v>1746</v>
      </c>
      <c r="B942" t="s">
        <v>1747</v>
      </c>
      <c r="C942" s="1">
        <v>44083</v>
      </c>
      <c r="D942" t="b">
        <v>1</v>
      </c>
      <c r="E942" t="s">
        <v>10</v>
      </c>
      <c r="F942">
        <v>16685</v>
      </c>
    </row>
    <row r="943" spans="1:6" x14ac:dyDescent="0.25">
      <c r="A943" t="s">
        <v>1748</v>
      </c>
      <c r="B943" t="s">
        <v>1749</v>
      </c>
      <c r="C943" s="1">
        <v>44083</v>
      </c>
      <c r="D943" t="b">
        <v>1</v>
      </c>
      <c r="E943" t="s">
        <v>10</v>
      </c>
      <c r="F943">
        <v>772</v>
      </c>
    </row>
    <row r="944" spans="1:6" x14ac:dyDescent="0.25">
      <c r="A944" t="s">
        <v>1750</v>
      </c>
      <c r="C944" s="1">
        <v>44083</v>
      </c>
      <c r="D944" t="b">
        <v>1</v>
      </c>
      <c r="E944" t="s">
        <v>10</v>
      </c>
      <c r="F944">
        <v>773</v>
      </c>
    </row>
    <row r="945" spans="1:6" x14ac:dyDescent="0.25">
      <c r="A945" t="s">
        <v>1751</v>
      </c>
      <c r="B945" t="s">
        <v>1752</v>
      </c>
      <c r="C945" s="1">
        <v>44083</v>
      </c>
      <c r="D945" t="b">
        <v>1</v>
      </c>
      <c r="E945" t="s">
        <v>10</v>
      </c>
      <c r="F945">
        <v>774</v>
      </c>
    </row>
    <row r="946" spans="1:6" x14ac:dyDescent="0.25">
      <c r="A946" t="s">
        <v>1753</v>
      </c>
      <c r="B946" t="s">
        <v>1754</v>
      </c>
      <c r="C946" s="1">
        <v>44083</v>
      </c>
      <c r="D946" t="b">
        <v>1</v>
      </c>
      <c r="E946" t="s">
        <v>10</v>
      </c>
      <c r="F946">
        <v>775</v>
      </c>
    </row>
    <row r="947" spans="1:6" x14ac:dyDescent="0.25">
      <c r="A947" t="s">
        <v>1755</v>
      </c>
      <c r="B947" t="s">
        <v>1756</v>
      </c>
      <c r="C947" s="1">
        <v>44083</v>
      </c>
      <c r="D947" t="b">
        <v>1</v>
      </c>
      <c r="E947" t="s">
        <v>10</v>
      </c>
      <c r="F947">
        <v>16686</v>
      </c>
    </row>
    <row r="948" spans="1:6" x14ac:dyDescent="0.25">
      <c r="A948" t="s">
        <v>1757</v>
      </c>
      <c r="B948" t="s">
        <v>1758</v>
      </c>
      <c r="C948" s="1">
        <v>44083</v>
      </c>
      <c r="D948" t="b">
        <v>1</v>
      </c>
      <c r="E948" t="s">
        <v>10</v>
      </c>
      <c r="F948">
        <v>13413</v>
      </c>
    </row>
    <row r="949" spans="1:6" x14ac:dyDescent="0.25">
      <c r="A949" t="s">
        <v>1759</v>
      </c>
      <c r="B949" t="s">
        <v>1760</v>
      </c>
      <c r="C949" s="1">
        <v>44083</v>
      </c>
      <c r="D949" t="b">
        <v>1</v>
      </c>
      <c r="E949" t="s">
        <v>10</v>
      </c>
      <c r="F949">
        <v>16687</v>
      </c>
    </row>
    <row r="950" spans="1:6" x14ac:dyDescent="0.25">
      <c r="A950" t="s">
        <v>1761</v>
      </c>
      <c r="B950" t="s">
        <v>1762</v>
      </c>
      <c r="C950" s="1">
        <v>44083</v>
      </c>
      <c r="D950" t="b">
        <v>1</v>
      </c>
      <c r="E950" t="s">
        <v>10</v>
      </c>
      <c r="F950">
        <v>778</v>
      </c>
    </row>
    <row r="951" spans="1:6" x14ac:dyDescent="0.25">
      <c r="A951" t="s">
        <v>1763</v>
      </c>
      <c r="B951" t="s">
        <v>1764</v>
      </c>
      <c r="C951" s="1">
        <v>44083</v>
      </c>
      <c r="D951" t="b">
        <v>1</v>
      </c>
      <c r="E951" t="s">
        <v>10</v>
      </c>
      <c r="F951">
        <v>16668</v>
      </c>
    </row>
    <row r="952" spans="1:6" x14ac:dyDescent="0.25">
      <c r="A952" t="s">
        <v>1765</v>
      </c>
      <c r="B952" t="s">
        <v>1766</v>
      </c>
      <c r="C952" s="1">
        <v>44083</v>
      </c>
      <c r="D952" t="b">
        <v>1</v>
      </c>
      <c r="E952" t="s">
        <v>10</v>
      </c>
      <c r="F952">
        <v>779</v>
      </c>
    </row>
    <row r="953" spans="1:6" x14ac:dyDescent="0.25">
      <c r="A953" t="s">
        <v>1767</v>
      </c>
      <c r="B953" t="s">
        <v>1768</v>
      </c>
      <c r="C953" s="1">
        <v>44083</v>
      </c>
      <c r="D953" t="b">
        <v>1</v>
      </c>
      <c r="E953" t="s">
        <v>10</v>
      </c>
      <c r="F953">
        <v>16669</v>
      </c>
    </row>
    <row r="954" spans="1:6" x14ac:dyDescent="0.25">
      <c r="A954" t="s">
        <v>1769</v>
      </c>
      <c r="B954" t="s">
        <v>1770</v>
      </c>
      <c r="C954" s="1">
        <v>44083</v>
      </c>
      <c r="D954" t="b">
        <v>1</v>
      </c>
      <c r="E954" t="s">
        <v>10</v>
      </c>
      <c r="F954">
        <v>781</v>
      </c>
    </row>
    <row r="955" spans="1:6" x14ac:dyDescent="0.25">
      <c r="A955" t="s">
        <v>1771</v>
      </c>
      <c r="B955" t="s">
        <v>1772</v>
      </c>
      <c r="C955" s="1">
        <v>44083</v>
      </c>
      <c r="D955" t="b">
        <v>1</v>
      </c>
      <c r="E955" t="s">
        <v>10</v>
      </c>
      <c r="F955">
        <v>5299</v>
      </c>
    </row>
    <row r="956" spans="1:6" x14ac:dyDescent="0.25">
      <c r="A956" t="s">
        <v>1773</v>
      </c>
      <c r="B956" t="s">
        <v>1774</v>
      </c>
      <c r="C956" s="1">
        <v>44083</v>
      </c>
      <c r="D956" t="b">
        <v>1</v>
      </c>
      <c r="E956" t="s">
        <v>10</v>
      </c>
      <c r="F956">
        <v>12984</v>
      </c>
    </row>
    <row r="957" spans="1:6" x14ac:dyDescent="0.25">
      <c r="A957" t="s">
        <v>1775</v>
      </c>
      <c r="B957" t="s">
        <v>1776</v>
      </c>
      <c r="C957" s="1">
        <v>44083</v>
      </c>
      <c r="D957" t="b">
        <v>1</v>
      </c>
      <c r="E957" t="s">
        <v>10</v>
      </c>
      <c r="F957">
        <v>16688</v>
      </c>
    </row>
    <row r="958" spans="1:6" x14ac:dyDescent="0.25">
      <c r="A958" t="s">
        <v>1777</v>
      </c>
      <c r="B958" t="s">
        <v>1778</v>
      </c>
      <c r="C958" s="1">
        <v>44083</v>
      </c>
      <c r="D958" t="b">
        <v>1</v>
      </c>
      <c r="E958" t="s">
        <v>10</v>
      </c>
      <c r="F958">
        <v>784</v>
      </c>
    </row>
    <row r="959" spans="1:6" x14ac:dyDescent="0.25">
      <c r="A959" t="s">
        <v>1779</v>
      </c>
      <c r="B959" t="s">
        <v>1780</v>
      </c>
      <c r="C959" s="1">
        <v>44083</v>
      </c>
      <c r="D959" t="b">
        <v>1</v>
      </c>
      <c r="E959" t="s">
        <v>10</v>
      </c>
      <c r="F959">
        <v>16670</v>
      </c>
    </row>
    <row r="960" spans="1:6" x14ac:dyDescent="0.25">
      <c r="A960" t="s">
        <v>1781</v>
      </c>
      <c r="B960" t="s">
        <v>1782</v>
      </c>
      <c r="C960" s="1">
        <v>44083</v>
      </c>
      <c r="D960" t="b">
        <v>1</v>
      </c>
      <c r="E960" t="s">
        <v>10</v>
      </c>
      <c r="F960">
        <v>785</v>
      </c>
    </row>
    <row r="961" spans="1:6" x14ac:dyDescent="0.25">
      <c r="A961" t="s">
        <v>1783</v>
      </c>
      <c r="B961" t="s">
        <v>1784</v>
      </c>
      <c r="C961" s="1">
        <v>44083</v>
      </c>
      <c r="D961" t="b">
        <v>1</v>
      </c>
      <c r="E961" t="s">
        <v>10</v>
      </c>
      <c r="F961">
        <v>15573</v>
      </c>
    </row>
    <row r="962" spans="1:6" x14ac:dyDescent="0.25">
      <c r="A962" t="s">
        <v>1785</v>
      </c>
      <c r="B962" t="s">
        <v>1786</v>
      </c>
      <c r="C962" s="1">
        <v>44083</v>
      </c>
      <c r="D962" t="b">
        <v>1</v>
      </c>
      <c r="E962" t="s">
        <v>10</v>
      </c>
      <c r="F962">
        <v>786</v>
      </c>
    </row>
    <row r="963" spans="1:6" x14ac:dyDescent="0.25">
      <c r="A963" t="s">
        <v>1787</v>
      </c>
      <c r="B963" t="s">
        <v>1788</v>
      </c>
      <c r="C963" s="1">
        <v>44083</v>
      </c>
      <c r="D963" t="b">
        <v>1</v>
      </c>
      <c r="E963" t="s">
        <v>10</v>
      </c>
      <c r="F963">
        <v>13178</v>
      </c>
    </row>
    <row r="964" spans="1:6" x14ac:dyDescent="0.25">
      <c r="A964" t="s">
        <v>1789</v>
      </c>
      <c r="B964" t="s">
        <v>1790</v>
      </c>
      <c r="C964" s="1">
        <v>44083</v>
      </c>
      <c r="D964" t="b">
        <v>1</v>
      </c>
      <c r="E964" t="s">
        <v>10</v>
      </c>
      <c r="F964">
        <v>11920</v>
      </c>
    </row>
    <row r="965" spans="1:6" x14ac:dyDescent="0.25">
      <c r="A965" t="s">
        <v>1791</v>
      </c>
      <c r="B965" t="s">
        <v>1792</v>
      </c>
      <c r="C965" s="1">
        <v>44083</v>
      </c>
      <c r="D965" t="b">
        <v>1</v>
      </c>
      <c r="E965" t="s">
        <v>10</v>
      </c>
      <c r="F965">
        <v>8326</v>
      </c>
    </row>
    <row r="966" spans="1:6" x14ac:dyDescent="0.25">
      <c r="A966" t="s">
        <v>1793</v>
      </c>
      <c r="B966" t="s">
        <v>1794</v>
      </c>
      <c r="C966" s="1">
        <v>44083</v>
      </c>
      <c r="D966" t="b">
        <v>1</v>
      </c>
      <c r="E966" t="s">
        <v>10</v>
      </c>
      <c r="F966">
        <v>9525</v>
      </c>
    </row>
    <row r="967" spans="1:6" x14ac:dyDescent="0.25">
      <c r="A967" t="s">
        <v>1795</v>
      </c>
      <c r="B967" t="s">
        <v>1796</v>
      </c>
      <c r="C967" s="1">
        <v>44083</v>
      </c>
      <c r="D967" t="b">
        <v>1</v>
      </c>
      <c r="E967" t="s">
        <v>10</v>
      </c>
      <c r="F967">
        <v>14026</v>
      </c>
    </row>
    <row r="968" spans="1:6" x14ac:dyDescent="0.25">
      <c r="A968" t="s">
        <v>1797</v>
      </c>
      <c r="B968" t="s">
        <v>1798</v>
      </c>
      <c r="C968" s="1">
        <v>44083</v>
      </c>
      <c r="D968" t="b">
        <v>1</v>
      </c>
      <c r="E968" t="s">
        <v>10</v>
      </c>
      <c r="F968">
        <v>16832</v>
      </c>
    </row>
    <row r="969" spans="1:6" x14ac:dyDescent="0.25">
      <c r="A969" t="s">
        <v>1799</v>
      </c>
      <c r="B969" t="s">
        <v>1800</v>
      </c>
      <c r="C969" s="1">
        <v>44083</v>
      </c>
      <c r="D969" t="b">
        <v>1</v>
      </c>
      <c r="E969" t="s">
        <v>10</v>
      </c>
      <c r="F969">
        <v>10103</v>
      </c>
    </row>
    <row r="970" spans="1:6" x14ac:dyDescent="0.25">
      <c r="A970" t="s">
        <v>1801</v>
      </c>
      <c r="B970" t="s">
        <v>1802</v>
      </c>
      <c r="C970" s="1">
        <v>44083</v>
      </c>
      <c r="D970" t="b">
        <v>1</v>
      </c>
      <c r="E970" t="s">
        <v>10</v>
      </c>
      <c r="F970">
        <v>790</v>
      </c>
    </row>
    <row r="971" spans="1:6" x14ac:dyDescent="0.25">
      <c r="A971" t="s">
        <v>1803</v>
      </c>
      <c r="B971" t="s">
        <v>1804</v>
      </c>
      <c r="C971" s="1">
        <v>44083</v>
      </c>
      <c r="D971" t="b">
        <v>1</v>
      </c>
      <c r="E971" t="s">
        <v>10</v>
      </c>
      <c r="F971">
        <v>791</v>
      </c>
    </row>
    <row r="972" spans="1:6" x14ac:dyDescent="0.25">
      <c r="A972" t="s">
        <v>1805</v>
      </c>
      <c r="B972" t="s">
        <v>1806</v>
      </c>
      <c r="C972" s="1">
        <v>44083</v>
      </c>
      <c r="D972" t="b">
        <v>1</v>
      </c>
      <c r="E972" t="s">
        <v>10</v>
      </c>
      <c r="F972">
        <v>792</v>
      </c>
    </row>
    <row r="973" spans="1:6" x14ac:dyDescent="0.25">
      <c r="A973" t="s">
        <v>1807</v>
      </c>
      <c r="B973" t="s">
        <v>1808</v>
      </c>
      <c r="C973" s="1">
        <v>44083</v>
      </c>
      <c r="D973" t="b">
        <v>1</v>
      </c>
      <c r="E973" t="s">
        <v>10</v>
      </c>
      <c r="F973">
        <v>12413</v>
      </c>
    </row>
    <row r="974" spans="1:6" x14ac:dyDescent="0.25">
      <c r="A974" t="s">
        <v>1809</v>
      </c>
      <c r="B974" t="s">
        <v>1810</v>
      </c>
      <c r="C974" s="1">
        <v>44083</v>
      </c>
      <c r="D974" t="b">
        <v>1</v>
      </c>
      <c r="E974" t="s">
        <v>10</v>
      </c>
      <c r="F974">
        <v>8496</v>
      </c>
    </row>
    <row r="975" spans="1:6" x14ac:dyDescent="0.25">
      <c r="A975" t="s">
        <v>1811</v>
      </c>
      <c r="B975" t="s">
        <v>1812</v>
      </c>
      <c r="C975" s="1">
        <v>44083</v>
      </c>
      <c r="D975" t="b">
        <v>1</v>
      </c>
      <c r="E975" t="s">
        <v>10</v>
      </c>
      <c r="F975">
        <v>12151</v>
      </c>
    </row>
    <row r="976" spans="1:6" x14ac:dyDescent="0.25">
      <c r="A976" t="s">
        <v>1813</v>
      </c>
      <c r="B976" t="s">
        <v>1814</v>
      </c>
      <c r="C976" s="1">
        <v>44083</v>
      </c>
      <c r="D976" t="b">
        <v>1</v>
      </c>
      <c r="E976" t="s">
        <v>10</v>
      </c>
      <c r="F976">
        <v>16893</v>
      </c>
    </row>
    <row r="977" spans="1:6" x14ac:dyDescent="0.25">
      <c r="A977" t="s">
        <v>1815</v>
      </c>
      <c r="B977" t="s">
        <v>1816</v>
      </c>
      <c r="C977" s="1">
        <v>44083</v>
      </c>
      <c r="D977" t="b">
        <v>1</v>
      </c>
      <c r="E977" t="s">
        <v>10</v>
      </c>
      <c r="F977">
        <v>794</v>
      </c>
    </row>
    <row r="978" spans="1:6" x14ac:dyDescent="0.25">
      <c r="A978" t="s">
        <v>1817</v>
      </c>
      <c r="B978" t="s">
        <v>1818</v>
      </c>
      <c r="C978" s="1">
        <v>44083</v>
      </c>
      <c r="D978" t="b">
        <v>1</v>
      </c>
      <c r="E978" t="s">
        <v>10</v>
      </c>
      <c r="F978">
        <v>796</v>
      </c>
    </row>
    <row r="979" spans="1:6" x14ac:dyDescent="0.25">
      <c r="A979" t="s">
        <v>1819</v>
      </c>
      <c r="B979" t="s">
        <v>1820</v>
      </c>
      <c r="C979" s="1">
        <v>44083</v>
      </c>
      <c r="D979" t="b">
        <v>1</v>
      </c>
      <c r="E979" t="s">
        <v>10</v>
      </c>
      <c r="F979">
        <v>797</v>
      </c>
    </row>
    <row r="980" spans="1:6" x14ac:dyDescent="0.25">
      <c r="A980" t="s">
        <v>1821</v>
      </c>
      <c r="B980" t="s">
        <v>1822</v>
      </c>
      <c r="C980" s="1">
        <v>44083</v>
      </c>
      <c r="D980" t="b">
        <v>1</v>
      </c>
      <c r="E980" t="s">
        <v>10</v>
      </c>
      <c r="F980">
        <v>799</v>
      </c>
    </row>
    <row r="981" spans="1:6" x14ac:dyDescent="0.25">
      <c r="A981" t="s">
        <v>1823</v>
      </c>
      <c r="B981" t="s">
        <v>1824</v>
      </c>
      <c r="C981" s="1">
        <v>44083</v>
      </c>
      <c r="D981" t="b">
        <v>1</v>
      </c>
      <c r="E981" t="s">
        <v>10</v>
      </c>
      <c r="F981">
        <v>800</v>
      </c>
    </row>
    <row r="982" spans="1:6" x14ac:dyDescent="0.25">
      <c r="A982" t="s">
        <v>1825</v>
      </c>
      <c r="B982" t="s">
        <v>1826</v>
      </c>
      <c r="C982" s="1">
        <v>44083</v>
      </c>
      <c r="D982" t="b">
        <v>1</v>
      </c>
      <c r="E982" t="s">
        <v>10</v>
      </c>
      <c r="F982">
        <v>14156</v>
      </c>
    </row>
    <row r="983" spans="1:6" x14ac:dyDescent="0.25">
      <c r="A983" t="s">
        <v>1827</v>
      </c>
      <c r="C983" s="1">
        <v>44083</v>
      </c>
      <c r="D983" t="b">
        <v>1</v>
      </c>
      <c r="E983" t="s">
        <v>10</v>
      </c>
      <c r="F983">
        <v>14157</v>
      </c>
    </row>
    <row r="984" spans="1:6" x14ac:dyDescent="0.25">
      <c r="A984" t="s">
        <v>1828</v>
      </c>
      <c r="B984" t="s">
        <v>1829</v>
      </c>
      <c r="C984" s="1">
        <v>44083</v>
      </c>
      <c r="D984" t="b">
        <v>1</v>
      </c>
      <c r="E984" t="s">
        <v>10</v>
      </c>
      <c r="F984">
        <v>14021</v>
      </c>
    </row>
    <row r="985" spans="1:6" x14ac:dyDescent="0.25">
      <c r="A985" t="s">
        <v>1830</v>
      </c>
      <c r="B985" t="s">
        <v>1831</v>
      </c>
      <c r="C985" s="1">
        <v>44083</v>
      </c>
      <c r="D985" t="b">
        <v>1</v>
      </c>
      <c r="E985" t="s">
        <v>10</v>
      </c>
      <c r="F985">
        <v>9660</v>
      </c>
    </row>
    <row r="986" spans="1:6" x14ac:dyDescent="0.25">
      <c r="A986" t="s">
        <v>1832</v>
      </c>
      <c r="B986" t="s">
        <v>1833</v>
      </c>
      <c r="C986" s="1">
        <v>44083</v>
      </c>
      <c r="D986" t="b">
        <v>1</v>
      </c>
      <c r="E986" t="s">
        <v>10</v>
      </c>
      <c r="F986">
        <v>804</v>
      </c>
    </row>
    <row r="987" spans="1:6" x14ac:dyDescent="0.25">
      <c r="A987" t="s">
        <v>1834</v>
      </c>
      <c r="B987" t="s">
        <v>1835</v>
      </c>
      <c r="C987" s="1">
        <v>44083</v>
      </c>
      <c r="D987" t="b">
        <v>1</v>
      </c>
      <c r="E987" t="s">
        <v>10</v>
      </c>
      <c r="F987">
        <v>16046</v>
      </c>
    </row>
    <row r="988" spans="1:6" x14ac:dyDescent="0.25">
      <c r="A988" t="s">
        <v>1836</v>
      </c>
      <c r="B988" t="s">
        <v>1837</v>
      </c>
      <c r="C988" s="1">
        <v>44083</v>
      </c>
      <c r="D988" t="b">
        <v>1</v>
      </c>
      <c r="E988" t="s">
        <v>10</v>
      </c>
      <c r="F988">
        <v>806</v>
      </c>
    </row>
    <row r="989" spans="1:6" x14ac:dyDescent="0.25">
      <c r="A989" t="s">
        <v>1838</v>
      </c>
      <c r="B989" t="s">
        <v>1839</v>
      </c>
      <c r="C989" s="1">
        <v>44083</v>
      </c>
      <c r="D989" t="b">
        <v>1</v>
      </c>
      <c r="E989" t="s">
        <v>10</v>
      </c>
      <c r="F989">
        <v>807</v>
      </c>
    </row>
    <row r="990" spans="1:6" x14ac:dyDescent="0.25">
      <c r="A990" t="s">
        <v>1840</v>
      </c>
      <c r="B990" t="s">
        <v>1841</v>
      </c>
      <c r="C990" s="1">
        <v>44083</v>
      </c>
      <c r="D990" t="b">
        <v>1</v>
      </c>
      <c r="E990" t="s">
        <v>10</v>
      </c>
      <c r="F990">
        <v>808</v>
      </c>
    </row>
    <row r="991" spans="1:6" x14ac:dyDescent="0.25">
      <c r="A991" t="s">
        <v>1842</v>
      </c>
      <c r="B991" t="s">
        <v>1843</v>
      </c>
      <c r="C991" s="1">
        <v>44083</v>
      </c>
      <c r="D991" t="b">
        <v>1</v>
      </c>
      <c r="E991" t="s">
        <v>10</v>
      </c>
      <c r="F991">
        <v>809</v>
      </c>
    </row>
    <row r="992" spans="1:6" x14ac:dyDescent="0.25">
      <c r="A992" t="s">
        <v>1844</v>
      </c>
      <c r="B992" t="s">
        <v>1845</v>
      </c>
      <c r="C992" s="1">
        <v>44083</v>
      </c>
      <c r="D992" t="b">
        <v>1</v>
      </c>
      <c r="E992" t="s">
        <v>10</v>
      </c>
      <c r="F992">
        <v>810</v>
      </c>
    </row>
    <row r="993" spans="1:6" x14ac:dyDescent="0.25">
      <c r="A993" t="s">
        <v>1846</v>
      </c>
      <c r="B993" t="s">
        <v>1380</v>
      </c>
      <c r="C993" s="1">
        <v>44083</v>
      </c>
      <c r="D993" t="b">
        <v>1</v>
      </c>
      <c r="E993" t="s">
        <v>10</v>
      </c>
      <c r="F993">
        <v>16569</v>
      </c>
    </row>
    <row r="994" spans="1:6" x14ac:dyDescent="0.25">
      <c r="A994" t="s">
        <v>1847</v>
      </c>
      <c r="B994" t="s">
        <v>1848</v>
      </c>
      <c r="C994" s="1">
        <v>44083</v>
      </c>
      <c r="D994" t="b">
        <v>1</v>
      </c>
      <c r="E994" t="s">
        <v>10</v>
      </c>
      <c r="F994">
        <v>16697</v>
      </c>
    </row>
    <row r="995" spans="1:6" x14ac:dyDescent="0.25">
      <c r="A995" t="s">
        <v>1849</v>
      </c>
      <c r="B995" t="s">
        <v>1850</v>
      </c>
      <c r="C995" s="1">
        <v>44083</v>
      </c>
      <c r="D995" t="b">
        <v>1</v>
      </c>
      <c r="E995" t="s">
        <v>10</v>
      </c>
      <c r="F995">
        <v>7720</v>
      </c>
    </row>
    <row r="996" spans="1:6" x14ac:dyDescent="0.25">
      <c r="A996" t="s">
        <v>1851</v>
      </c>
      <c r="B996" t="s">
        <v>1852</v>
      </c>
      <c r="C996" s="1">
        <v>44083</v>
      </c>
      <c r="D996" t="b">
        <v>1</v>
      </c>
      <c r="E996" t="s">
        <v>10</v>
      </c>
      <c r="F996">
        <v>812</v>
      </c>
    </row>
    <row r="997" spans="1:6" x14ac:dyDescent="0.25">
      <c r="A997" t="s">
        <v>1853</v>
      </c>
      <c r="B997" t="s">
        <v>1854</v>
      </c>
      <c r="C997" s="1">
        <v>44083</v>
      </c>
      <c r="D997" t="b">
        <v>1</v>
      </c>
      <c r="E997" t="s">
        <v>10</v>
      </c>
      <c r="F997">
        <v>16485</v>
      </c>
    </row>
    <row r="998" spans="1:6" x14ac:dyDescent="0.25">
      <c r="A998" t="s">
        <v>1855</v>
      </c>
      <c r="B998" t="s">
        <v>1856</v>
      </c>
      <c r="C998" s="1">
        <v>44083</v>
      </c>
      <c r="D998" t="b">
        <v>1</v>
      </c>
      <c r="E998" t="s">
        <v>10</v>
      </c>
      <c r="F998">
        <v>813</v>
      </c>
    </row>
    <row r="999" spans="1:6" x14ac:dyDescent="0.25">
      <c r="A999" t="s">
        <v>1857</v>
      </c>
      <c r="C999" s="1">
        <v>44083</v>
      </c>
      <c r="D999" t="b">
        <v>1</v>
      </c>
      <c r="E999" t="s">
        <v>10</v>
      </c>
      <c r="F999">
        <v>815</v>
      </c>
    </row>
    <row r="1000" spans="1:6" x14ac:dyDescent="0.25">
      <c r="A1000" t="s">
        <v>1858</v>
      </c>
      <c r="C1000" s="1">
        <v>44083</v>
      </c>
      <c r="D1000" t="b">
        <v>1</v>
      </c>
      <c r="E1000" t="s">
        <v>10</v>
      </c>
      <c r="F1000">
        <v>816</v>
      </c>
    </row>
    <row r="1001" spans="1:6" x14ac:dyDescent="0.25">
      <c r="A1001" t="s">
        <v>1859</v>
      </c>
      <c r="C1001" s="1">
        <v>44083</v>
      </c>
      <c r="D1001" t="b">
        <v>1</v>
      </c>
      <c r="E1001" t="s">
        <v>10</v>
      </c>
      <c r="F1001">
        <v>818</v>
      </c>
    </row>
    <row r="1002" spans="1:6" x14ac:dyDescent="0.25">
      <c r="A1002" t="s">
        <v>1860</v>
      </c>
      <c r="C1002" s="1">
        <v>44083</v>
      </c>
      <c r="D1002" t="b">
        <v>1</v>
      </c>
      <c r="E1002" t="s">
        <v>10</v>
      </c>
      <c r="F1002">
        <v>819</v>
      </c>
    </row>
    <row r="1003" spans="1:6" x14ac:dyDescent="0.25">
      <c r="A1003" t="s">
        <v>1861</v>
      </c>
      <c r="B1003" t="s">
        <v>1862</v>
      </c>
      <c r="C1003" s="1">
        <v>44083</v>
      </c>
      <c r="D1003" t="b">
        <v>1</v>
      </c>
      <c r="E1003" t="s">
        <v>10</v>
      </c>
      <c r="F1003">
        <v>12207</v>
      </c>
    </row>
    <row r="1004" spans="1:6" x14ac:dyDescent="0.25">
      <c r="A1004" t="s">
        <v>1863</v>
      </c>
      <c r="B1004" t="s">
        <v>1864</v>
      </c>
      <c r="C1004" s="1">
        <v>44083</v>
      </c>
      <c r="D1004" t="b">
        <v>1</v>
      </c>
      <c r="E1004" t="s">
        <v>10</v>
      </c>
      <c r="F1004">
        <v>820</v>
      </c>
    </row>
    <row r="1005" spans="1:6" x14ac:dyDescent="0.25">
      <c r="A1005" t="s">
        <v>1865</v>
      </c>
      <c r="B1005" t="s">
        <v>1866</v>
      </c>
      <c r="C1005" s="1">
        <v>44083</v>
      </c>
      <c r="D1005" t="b">
        <v>1</v>
      </c>
      <c r="E1005" t="s">
        <v>10</v>
      </c>
      <c r="F1005">
        <v>11763</v>
      </c>
    </row>
    <row r="1006" spans="1:6" x14ac:dyDescent="0.25">
      <c r="A1006" t="s">
        <v>1867</v>
      </c>
      <c r="B1006" t="s">
        <v>1868</v>
      </c>
      <c r="C1006" s="1">
        <v>44083</v>
      </c>
      <c r="D1006" t="b">
        <v>1</v>
      </c>
      <c r="E1006" t="s">
        <v>10</v>
      </c>
      <c r="F1006">
        <v>822</v>
      </c>
    </row>
    <row r="1007" spans="1:6" x14ac:dyDescent="0.25">
      <c r="A1007" t="s">
        <v>1869</v>
      </c>
      <c r="B1007" t="s">
        <v>1870</v>
      </c>
      <c r="C1007" s="1">
        <v>44083</v>
      </c>
      <c r="D1007" t="b">
        <v>1</v>
      </c>
      <c r="E1007" t="s">
        <v>10</v>
      </c>
      <c r="F1007">
        <v>16766</v>
      </c>
    </row>
    <row r="1008" spans="1:6" x14ac:dyDescent="0.25">
      <c r="A1008" t="s">
        <v>1871</v>
      </c>
      <c r="C1008" s="1">
        <v>44083</v>
      </c>
      <c r="D1008" t="b">
        <v>1</v>
      </c>
      <c r="E1008" t="s">
        <v>10</v>
      </c>
      <c r="F1008">
        <v>16786</v>
      </c>
    </row>
    <row r="1009" spans="1:6" x14ac:dyDescent="0.25">
      <c r="A1009" t="s">
        <v>1872</v>
      </c>
      <c r="B1009" t="s">
        <v>1873</v>
      </c>
      <c r="C1009" s="1">
        <v>44083</v>
      </c>
      <c r="D1009" t="b">
        <v>1</v>
      </c>
      <c r="E1009" t="s">
        <v>10</v>
      </c>
      <c r="F1009">
        <v>16689</v>
      </c>
    </row>
    <row r="1010" spans="1:6" x14ac:dyDescent="0.25">
      <c r="A1010" t="s">
        <v>1874</v>
      </c>
      <c r="B1010" t="s">
        <v>1875</v>
      </c>
      <c r="C1010" s="1">
        <v>44083</v>
      </c>
      <c r="D1010" t="b">
        <v>1</v>
      </c>
      <c r="E1010" t="s">
        <v>10</v>
      </c>
      <c r="F1010">
        <v>823</v>
      </c>
    </row>
    <row r="1011" spans="1:6" x14ac:dyDescent="0.25">
      <c r="A1011" t="s">
        <v>1876</v>
      </c>
      <c r="B1011" t="s">
        <v>1877</v>
      </c>
      <c r="C1011" s="1">
        <v>44083</v>
      </c>
      <c r="D1011" t="b">
        <v>1</v>
      </c>
      <c r="E1011" t="s">
        <v>10</v>
      </c>
      <c r="F1011">
        <v>825</v>
      </c>
    </row>
    <row r="1012" spans="1:6" x14ac:dyDescent="0.25">
      <c r="A1012" t="s">
        <v>1878</v>
      </c>
      <c r="B1012" t="s">
        <v>1879</v>
      </c>
      <c r="C1012" s="1">
        <v>44083</v>
      </c>
      <c r="D1012" t="b">
        <v>1</v>
      </c>
      <c r="E1012" t="s">
        <v>10</v>
      </c>
      <c r="F1012">
        <v>826</v>
      </c>
    </row>
    <row r="1013" spans="1:6" x14ac:dyDescent="0.25">
      <c r="A1013" t="s">
        <v>1880</v>
      </c>
      <c r="B1013" t="s">
        <v>1881</v>
      </c>
      <c r="C1013" s="1">
        <v>44083</v>
      </c>
      <c r="D1013" t="b">
        <v>1</v>
      </c>
      <c r="E1013" t="s">
        <v>10</v>
      </c>
      <c r="F1013">
        <v>16320</v>
      </c>
    </row>
    <row r="1014" spans="1:6" x14ac:dyDescent="0.25">
      <c r="A1014" t="s">
        <v>1882</v>
      </c>
      <c r="B1014" t="s">
        <v>1883</v>
      </c>
      <c r="C1014" s="1">
        <v>44083</v>
      </c>
      <c r="D1014" t="b">
        <v>1</v>
      </c>
      <c r="E1014" t="s">
        <v>10</v>
      </c>
      <c r="F1014">
        <v>830</v>
      </c>
    </row>
    <row r="1015" spans="1:6" x14ac:dyDescent="0.25">
      <c r="A1015" t="s">
        <v>1884</v>
      </c>
      <c r="B1015" t="s">
        <v>1885</v>
      </c>
      <c r="C1015" s="1">
        <v>44083</v>
      </c>
      <c r="D1015" t="b">
        <v>1</v>
      </c>
      <c r="E1015" t="s">
        <v>10</v>
      </c>
      <c r="F1015">
        <v>12107</v>
      </c>
    </row>
    <row r="1016" spans="1:6" x14ac:dyDescent="0.25">
      <c r="A1016" t="s">
        <v>1886</v>
      </c>
      <c r="B1016" t="s">
        <v>1887</v>
      </c>
      <c r="C1016" s="1">
        <v>44083</v>
      </c>
      <c r="D1016" t="b">
        <v>1</v>
      </c>
      <c r="E1016" t="s">
        <v>10</v>
      </c>
      <c r="F1016">
        <v>14983</v>
      </c>
    </row>
    <row r="1017" spans="1:6" x14ac:dyDescent="0.25">
      <c r="A1017" t="s">
        <v>1888</v>
      </c>
      <c r="B1017" t="s">
        <v>1889</v>
      </c>
      <c r="C1017" s="1">
        <v>44083</v>
      </c>
      <c r="D1017" t="b">
        <v>1</v>
      </c>
      <c r="E1017" t="s">
        <v>10</v>
      </c>
      <c r="F1017">
        <v>831</v>
      </c>
    </row>
    <row r="1018" spans="1:6" x14ac:dyDescent="0.25">
      <c r="A1018" t="s">
        <v>1890</v>
      </c>
      <c r="B1018" t="s">
        <v>1891</v>
      </c>
      <c r="C1018" s="1">
        <v>44083</v>
      </c>
      <c r="D1018" t="b">
        <v>1</v>
      </c>
      <c r="E1018" t="s">
        <v>10</v>
      </c>
      <c r="F1018">
        <v>10308</v>
      </c>
    </row>
    <row r="1019" spans="1:6" x14ac:dyDescent="0.25">
      <c r="A1019" t="s">
        <v>1892</v>
      </c>
      <c r="B1019" t="s">
        <v>1893</v>
      </c>
      <c r="C1019" s="1">
        <v>44083</v>
      </c>
      <c r="D1019" t="b">
        <v>1</v>
      </c>
      <c r="E1019" t="s">
        <v>10</v>
      </c>
      <c r="F1019">
        <v>7771</v>
      </c>
    </row>
    <row r="1020" spans="1:6" x14ac:dyDescent="0.25">
      <c r="A1020" t="s">
        <v>1894</v>
      </c>
      <c r="B1020" t="s">
        <v>1895</v>
      </c>
      <c r="C1020" s="1">
        <v>44083</v>
      </c>
      <c r="D1020" t="b">
        <v>1</v>
      </c>
      <c r="E1020" t="s">
        <v>10</v>
      </c>
      <c r="F1020">
        <v>14794</v>
      </c>
    </row>
    <row r="1021" spans="1:6" x14ac:dyDescent="0.25">
      <c r="A1021" t="s">
        <v>1896</v>
      </c>
      <c r="C1021" s="1">
        <v>44083</v>
      </c>
      <c r="D1021" t="b">
        <v>1</v>
      </c>
      <c r="E1021" t="s">
        <v>10</v>
      </c>
      <c r="F1021">
        <v>15059</v>
      </c>
    </row>
    <row r="1022" spans="1:6" x14ac:dyDescent="0.25">
      <c r="A1022" t="s">
        <v>1897</v>
      </c>
      <c r="B1022" t="s">
        <v>1898</v>
      </c>
      <c r="C1022" s="1">
        <v>44083</v>
      </c>
      <c r="D1022" t="b">
        <v>1</v>
      </c>
      <c r="E1022" t="s">
        <v>10</v>
      </c>
      <c r="F1022">
        <v>15580</v>
      </c>
    </row>
    <row r="1023" spans="1:6" x14ac:dyDescent="0.25">
      <c r="A1023" t="s">
        <v>1899</v>
      </c>
      <c r="B1023" t="s">
        <v>1900</v>
      </c>
      <c r="C1023" s="1">
        <v>44083</v>
      </c>
      <c r="D1023" t="b">
        <v>1</v>
      </c>
      <c r="E1023" t="s">
        <v>10</v>
      </c>
      <c r="F1023">
        <v>15581</v>
      </c>
    </row>
    <row r="1024" spans="1:6" x14ac:dyDescent="0.25">
      <c r="A1024" t="s">
        <v>1901</v>
      </c>
      <c r="B1024" t="s">
        <v>1902</v>
      </c>
      <c r="C1024" s="1">
        <v>44083</v>
      </c>
      <c r="D1024" t="b">
        <v>1</v>
      </c>
      <c r="E1024" t="s">
        <v>10</v>
      </c>
      <c r="F1024">
        <v>15582</v>
      </c>
    </row>
    <row r="1025" spans="1:6" x14ac:dyDescent="0.25">
      <c r="A1025" t="s">
        <v>1903</v>
      </c>
      <c r="B1025" t="s">
        <v>1904</v>
      </c>
      <c r="C1025" s="1">
        <v>44083</v>
      </c>
      <c r="D1025" t="b">
        <v>1</v>
      </c>
      <c r="E1025" t="s">
        <v>10</v>
      </c>
      <c r="F1025">
        <v>15583</v>
      </c>
    </row>
    <row r="1026" spans="1:6" x14ac:dyDescent="0.25">
      <c r="A1026" t="s">
        <v>1905</v>
      </c>
      <c r="B1026" t="s">
        <v>1906</v>
      </c>
      <c r="C1026" s="1">
        <v>44083</v>
      </c>
      <c r="D1026" t="b">
        <v>1</v>
      </c>
      <c r="E1026" t="s">
        <v>10</v>
      </c>
      <c r="F1026">
        <v>834</v>
      </c>
    </row>
    <row r="1027" spans="1:6" x14ac:dyDescent="0.25">
      <c r="A1027" t="s">
        <v>1907</v>
      </c>
      <c r="B1027" t="s">
        <v>1908</v>
      </c>
      <c r="C1027" s="1">
        <v>44083</v>
      </c>
      <c r="D1027" t="b">
        <v>1</v>
      </c>
      <c r="E1027" t="s">
        <v>10</v>
      </c>
      <c r="F1027">
        <v>16247</v>
      </c>
    </row>
    <row r="1028" spans="1:6" x14ac:dyDescent="0.25">
      <c r="A1028" t="s">
        <v>1909</v>
      </c>
      <c r="B1028" t="s">
        <v>1910</v>
      </c>
      <c r="C1028" s="1">
        <v>44083</v>
      </c>
      <c r="D1028" t="b">
        <v>1</v>
      </c>
      <c r="E1028" t="s">
        <v>10</v>
      </c>
      <c r="F1028">
        <v>16767</v>
      </c>
    </row>
    <row r="1029" spans="1:6" x14ac:dyDescent="0.25">
      <c r="A1029" t="s">
        <v>1911</v>
      </c>
      <c r="B1029" t="s">
        <v>1912</v>
      </c>
      <c r="C1029" s="1">
        <v>44083</v>
      </c>
      <c r="D1029" t="b">
        <v>1</v>
      </c>
      <c r="E1029" t="s">
        <v>10</v>
      </c>
      <c r="F1029">
        <v>835</v>
      </c>
    </row>
    <row r="1030" spans="1:6" x14ac:dyDescent="0.25">
      <c r="A1030" t="s">
        <v>1913</v>
      </c>
      <c r="B1030" t="s">
        <v>1914</v>
      </c>
      <c r="C1030" s="1">
        <v>44083</v>
      </c>
      <c r="D1030" t="b">
        <v>1</v>
      </c>
      <c r="E1030" t="s">
        <v>10</v>
      </c>
      <c r="F1030">
        <v>836</v>
      </c>
    </row>
    <row r="1031" spans="1:6" x14ac:dyDescent="0.25">
      <c r="A1031" t="s">
        <v>1915</v>
      </c>
      <c r="B1031" t="s">
        <v>1916</v>
      </c>
      <c r="C1031" s="1">
        <v>44083</v>
      </c>
      <c r="D1031" t="b">
        <v>1</v>
      </c>
      <c r="E1031" t="s">
        <v>10</v>
      </c>
      <c r="F1031">
        <v>16680</v>
      </c>
    </row>
    <row r="1032" spans="1:6" x14ac:dyDescent="0.25">
      <c r="A1032" t="s">
        <v>1917</v>
      </c>
      <c r="B1032" t="s">
        <v>1918</v>
      </c>
      <c r="C1032" s="1">
        <v>44083</v>
      </c>
      <c r="D1032" t="b">
        <v>1</v>
      </c>
      <c r="E1032" t="s">
        <v>10</v>
      </c>
      <c r="F1032">
        <v>16059</v>
      </c>
    </row>
    <row r="1033" spans="1:6" x14ac:dyDescent="0.25">
      <c r="A1033" t="s">
        <v>1919</v>
      </c>
      <c r="B1033" t="s">
        <v>1920</v>
      </c>
      <c r="C1033" s="1">
        <v>44083</v>
      </c>
      <c r="D1033" t="b">
        <v>1</v>
      </c>
      <c r="E1033" t="s">
        <v>10</v>
      </c>
      <c r="F1033">
        <v>837</v>
      </c>
    </row>
    <row r="1034" spans="1:6" x14ac:dyDescent="0.25">
      <c r="A1034" t="s">
        <v>1921</v>
      </c>
      <c r="B1034" t="s">
        <v>1922</v>
      </c>
      <c r="C1034" s="1">
        <v>44083</v>
      </c>
      <c r="D1034" t="b">
        <v>1</v>
      </c>
      <c r="E1034" t="s">
        <v>10</v>
      </c>
      <c r="F1034">
        <v>839</v>
      </c>
    </row>
    <row r="1035" spans="1:6" x14ac:dyDescent="0.25">
      <c r="A1035" t="s">
        <v>1923</v>
      </c>
      <c r="B1035" t="s">
        <v>1924</v>
      </c>
      <c r="C1035" s="1">
        <v>44083</v>
      </c>
      <c r="D1035" t="b">
        <v>1</v>
      </c>
      <c r="E1035" t="s">
        <v>10</v>
      </c>
      <c r="F1035">
        <v>15088</v>
      </c>
    </row>
    <row r="1036" spans="1:6" x14ac:dyDescent="0.25">
      <c r="A1036" t="s">
        <v>1925</v>
      </c>
      <c r="B1036" t="s">
        <v>1926</v>
      </c>
      <c r="C1036" s="1">
        <v>44083</v>
      </c>
      <c r="D1036" t="b">
        <v>1</v>
      </c>
      <c r="E1036" t="s">
        <v>10</v>
      </c>
      <c r="F1036">
        <v>841</v>
      </c>
    </row>
    <row r="1037" spans="1:6" x14ac:dyDescent="0.25">
      <c r="A1037" t="s">
        <v>1927</v>
      </c>
      <c r="B1037" t="s">
        <v>1928</v>
      </c>
      <c r="C1037" s="1">
        <v>44083</v>
      </c>
      <c r="D1037" t="b">
        <v>1</v>
      </c>
      <c r="E1037" t="s">
        <v>10</v>
      </c>
      <c r="F1037">
        <v>843</v>
      </c>
    </row>
    <row r="1038" spans="1:6" x14ac:dyDescent="0.25">
      <c r="A1038" t="s">
        <v>1929</v>
      </c>
      <c r="B1038" t="s">
        <v>1930</v>
      </c>
      <c r="C1038" s="1">
        <v>44083</v>
      </c>
      <c r="D1038" t="b">
        <v>1</v>
      </c>
      <c r="E1038" t="s">
        <v>10</v>
      </c>
      <c r="F1038">
        <v>845</v>
      </c>
    </row>
    <row r="1039" spans="1:6" x14ac:dyDescent="0.25">
      <c r="A1039" t="s">
        <v>1931</v>
      </c>
      <c r="B1039" t="s">
        <v>1932</v>
      </c>
      <c r="C1039" s="1">
        <v>44083</v>
      </c>
      <c r="D1039" t="b">
        <v>1</v>
      </c>
      <c r="E1039" t="s">
        <v>10</v>
      </c>
      <c r="F1039">
        <v>846</v>
      </c>
    </row>
    <row r="1040" spans="1:6" x14ac:dyDescent="0.25">
      <c r="A1040" t="s">
        <v>1933</v>
      </c>
      <c r="C1040" s="1">
        <v>44083</v>
      </c>
      <c r="D1040" t="b">
        <v>1</v>
      </c>
      <c r="E1040" t="s">
        <v>10</v>
      </c>
      <c r="F1040">
        <v>11540</v>
      </c>
    </row>
    <row r="1041" spans="1:6" x14ac:dyDescent="0.25">
      <c r="A1041" t="s">
        <v>1934</v>
      </c>
      <c r="B1041" t="s">
        <v>1935</v>
      </c>
      <c r="C1041" s="1">
        <v>44083</v>
      </c>
      <c r="D1041" t="b">
        <v>1</v>
      </c>
      <c r="E1041" t="s">
        <v>10</v>
      </c>
      <c r="F1041">
        <v>13030</v>
      </c>
    </row>
    <row r="1042" spans="1:6" x14ac:dyDescent="0.25">
      <c r="A1042" t="s">
        <v>1936</v>
      </c>
      <c r="B1042" t="s">
        <v>1937</v>
      </c>
      <c r="C1042" s="1">
        <v>44083</v>
      </c>
      <c r="D1042" t="b">
        <v>1</v>
      </c>
      <c r="E1042" t="s">
        <v>10</v>
      </c>
      <c r="F1042">
        <v>850</v>
      </c>
    </row>
    <row r="1043" spans="1:6" x14ac:dyDescent="0.25">
      <c r="A1043" t="s">
        <v>1938</v>
      </c>
      <c r="B1043" t="s">
        <v>1939</v>
      </c>
      <c r="C1043" s="1">
        <v>44083</v>
      </c>
      <c r="D1043" t="b">
        <v>1</v>
      </c>
      <c r="E1043" t="s">
        <v>10</v>
      </c>
      <c r="F1043">
        <v>854</v>
      </c>
    </row>
    <row r="1044" spans="1:6" x14ac:dyDescent="0.25">
      <c r="A1044" t="s">
        <v>1940</v>
      </c>
      <c r="B1044" t="s">
        <v>1941</v>
      </c>
      <c r="C1044" s="1">
        <v>44083</v>
      </c>
      <c r="D1044" t="b">
        <v>1</v>
      </c>
      <c r="E1044" t="s">
        <v>10</v>
      </c>
      <c r="F1044">
        <v>9434</v>
      </c>
    </row>
    <row r="1045" spans="1:6" x14ac:dyDescent="0.25">
      <c r="A1045" t="s">
        <v>1942</v>
      </c>
      <c r="B1045" t="s">
        <v>1943</v>
      </c>
      <c r="C1045" s="1">
        <v>44083</v>
      </c>
      <c r="D1045" t="b">
        <v>1</v>
      </c>
      <c r="E1045" t="s">
        <v>10</v>
      </c>
      <c r="F1045">
        <v>15982</v>
      </c>
    </row>
    <row r="1046" spans="1:6" x14ac:dyDescent="0.25">
      <c r="A1046" t="s">
        <v>1944</v>
      </c>
      <c r="B1046" t="s">
        <v>1945</v>
      </c>
      <c r="C1046" s="1">
        <v>44083</v>
      </c>
      <c r="D1046" t="b">
        <v>1</v>
      </c>
      <c r="E1046" t="s">
        <v>10</v>
      </c>
      <c r="F1046">
        <v>857</v>
      </c>
    </row>
    <row r="1047" spans="1:6" x14ac:dyDescent="0.25">
      <c r="A1047" t="s">
        <v>1946</v>
      </c>
      <c r="B1047" t="s">
        <v>1947</v>
      </c>
      <c r="C1047" s="1">
        <v>44083</v>
      </c>
      <c r="D1047" t="b">
        <v>1</v>
      </c>
      <c r="E1047" t="s">
        <v>10</v>
      </c>
      <c r="F1047">
        <v>12380</v>
      </c>
    </row>
    <row r="1048" spans="1:6" x14ac:dyDescent="0.25">
      <c r="A1048" t="s">
        <v>1948</v>
      </c>
      <c r="B1048" t="s">
        <v>1949</v>
      </c>
      <c r="C1048" s="1">
        <v>44083</v>
      </c>
      <c r="D1048" t="b">
        <v>1</v>
      </c>
      <c r="E1048" t="s">
        <v>10</v>
      </c>
      <c r="F1048">
        <v>859</v>
      </c>
    </row>
    <row r="1049" spans="1:6" x14ac:dyDescent="0.25">
      <c r="A1049" t="s">
        <v>1950</v>
      </c>
      <c r="B1049" t="s">
        <v>1951</v>
      </c>
      <c r="C1049" s="1">
        <v>44083</v>
      </c>
      <c r="D1049" t="b">
        <v>1</v>
      </c>
      <c r="E1049" t="s">
        <v>10</v>
      </c>
      <c r="F1049">
        <v>11808</v>
      </c>
    </row>
    <row r="1050" spans="1:6" x14ac:dyDescent="0.25">
      <c r="A1050" t="s">
        <v>1952</v>
      </c>
      <c r="B1050" t="s">
        <v>1953</v>
      </c>
      <c r="C1050" s="1">
        <v>44083</v>
      </c>
      <c r="D1050" t="b">
        <v>1</v>
      </c>
      <c r="E1050" t="s">
        <v>10</v>
      </c>
      <c r="F1050">
        <v>15017</v>
      </c>
    </row>
    <row r="1051" spans="1:6" x14ac:dyDescent="0.25">
      <c r="A1051" t="s">
        <v>1954</v>
      </c>
      <c r="B1051" t="s">
        <v>1955</v>
      </c>
      <c r="C1051" s="1">
        <v>44083</v>
      </c>
      <c r="D1051" t="b">
        <v>1</v>
      </c>
      <c r="E1051" t="s">
        <v>10</v>
      </c>
      <c r="F1051">
        <v>16990</v>
      </c>
    </row>
    <row r="1052" spans="1:6" x14ac:dyDescent="0.25">
      <c r="A1052" t="s">
        <v>1956</v>
      </c>
      <c r="B1052" t="s">
        <v>1957</v>
      </c>
      <c r="C1052" s="1">
        <v>44083</v>
      </c>
      <c r="D1052" t="b">
        <v>1</v>
      </c>
      <c r="E1052" t="s">
        <v>10</v>
      </c>
      <c r="F1052">
        <v>8491</v>
      </c>
    </row>
    <row r="1053" spans="1:6" x14ac:dyDescent="0.25">
      <c r="A1053" t="s">
        <v>1958</v>
      </c>
      <c r="B1053" t="s">
        <v>1959</v>
      </c>
      <c r="C1053" s="1">
        <v>44083</v>
      </c>
      <c r="D1053" t="b">
        <v>1</v>
      </c>
      <c r="E1053" t="s">
        <v>10</v>
      </c>
      <c r="F1053">
        <v>10091</v>
      </c>
    </row>
    <row r="1054" spans="1:6" x14ac:dyDescent="0.25">
      <c r="A1054" t="s">
        <v>1960</v>
      </c>
      <c r="B1054" t="s">
        <v>1961</v>
      </c>
      <c r="C1054" s="1">
        <v>44083</v>
      </c>
      <c r="D1054" t="b">
        <v>1</v>
      </c>
      <c r="E1054" t="s">
        <v>10</v>
      </c>
      <c r="F1054">
        <v>861</v>
      </c>
    </row>
    <row r="1055" spans="1:6" x14ac:dyDescent="0.25">
      <c r="A1055" t="s">
        <v>1962</v>
      </c>
      <c r="B1055" t="s">
        <v>1963</v>
      </c>
      <c r="C1055" s="1">
        <v>44083</v>
      </c>
      <c r="D1055" t="b">
        <v>1</v>
      </c>
      <c r="E1055" t="s">
        <v>10</v>
      </c>
      <c r="F1055">
        <v>862</v>
      </c>
    </row>
    <row r="1056" spans="1:6" x14ac:dyDescent="0.25">
      <c r="A1056" t="s">
        <v>1964</v>
      </c>
      <c r="B1056" t="s">
        <v>1965</v>
      </c>
      <c r="C1056" s="1">
        <v>44083</v>
      </c>
      <c r="D1056" t="b">
        <v>1</v>
      </c>
      <c r="E1056" t="s">
        <v>10</v>
      </c>
      <c r="F1056">
        <v>9865</v>
      </c>
    </row>
    <row r="1057" spans="1:6" x14ac:dyDescent="0.25">
      <c r="A1057" t="s">
        <v>1966</v>
      </c>
      <c r="B1057" t="s">
        <v>1967</v>
      </c>
      <c r="C1057" s="1">
        <v>44083</v>
      </c>
      <c r="D1057" t="b">
        <v>1</v>
      </c>
      <c r="E1057" t="s">
        <v>10</v>
      </c>
      <c r="F1057">
        <v>13367</v>
      </c>
    </row>
    <row r="1058" spans="1:6" x14ac:dyDescent="0.25">
      <c r="A1058" t="s">
        <v>1968</v>
      </c>
      <c r="B1058" t="s">
        <v>1969</v>
      </c>
      <c r="C1058" s="1">
        <v>44083</v>
      </c>
      <c r="D1058" t="b">
        <v>1</v>
      </c>
      <c r="E1058" t="s">
        <v>10</v>
      </c>
      <c r="F1058">
        <v>869</v>
      </c>
    </row>
    <row r="1059" spans="1:6" x14ac:dyDescent="0.25">
      <c r="A1059" t="s">
        <v>1970</v>
      </c>
      <c r="C1059" s="1">
        <v>44083</v>
      </c>
      <c r="D1059" t="b">
        <v>1</v>
      </c>
      <c r="E1059" t="s">
        <v>10</v>
      </c>
      <c r="F1059">
        <v>870</v>
      </c>
    </row>
    <row r="1060" spans="1:6" x14ac:dyDescent="0.25">
      <c r="A1060" t="s">
        <v>1971</v>
      </c>
      <c r="C1060" s="1">
        <v>44083</v>
      </c>
      <c r="D1060" t="b">
        <v>1</v>
      </c>
      <c r="E1060" t="s">
        <v>10</v>
      </c>
      <c r="F1060">
        <v>871</v>
      </c>
    </row>
    <row r="1061" spans="1:6" x14ac:dyDescent="0.25">
      <c r="A1061" t="s">
        <v>1972</v>
      </c>
      <c r="B1061" t="s">
        <v>1973</v>
      </c>
      <c r="C1061" s="1">
        <v>44083</v>
      </c>
      <c r="D1061" t="b">
        <v>1</v>
      </c>
      <c r="E1061" t="s">
        <v>10</v>
      </c>
      <c r="F1061">
        <v>13201</v>
      </c>
    </row>
    <row r="1062" spans="1:6" x14ac:dyDescent="0.25">
      <c r="A1062" t="s">
        <v>1974</v>
      </c>
      <c r="B1062" t="s">
        <v>1975</v>
      </c>
      <c r="C1062" s="1">
        <v>44083</v>
      </c>
      <c r="D1062" t="b">
        <v>1</v>
      </c>
      <c r="E1062" t="s">
        <v>10</v>
      </c>
      <c r="F1062">
        <v>873</v>
      </c>
    </row>
    <row r="1063" spans="1:6" x14ac:dyDescent="0.25">
      <c r="A1063" t="s">
        <v>1976</v>
      </c>
      <c r="B1063" t="s">
        <v>1977</v>
      </c>
      <c r="C1063" s="1">
        <v>44083</v>
      </c>
      <c r="D1063" t="b">
        <v>1</v>
      </c>
      <c r="E1063" t="s">
        <v>10</v>
      </c>
      <c r="F1063">
        <v>8324</v>
      </c>
    </row>
    <row r="1064" spans="1:6" x14ac:dyDescent="0.25">
      <c r="A1064" t="s">
        <v>1978</v>
      </c>
      <c r="B1064" t="s">
        <v>1979</v>
      </c>
      <c r="C1064" s="1">
        <v>44083</v>
      </c>
      <c r="D1064" t="b">
        <v>1</v>
      </c>
      <c r="E1064" t="s">
        <v>10</v>
      </c>
      <c r="F1064">
        <v>874</v>
      </c>
    </row>
    <row r="1065" spans="1:6" x14ac:dyDescent="0.25">
      <c r="A1065" t="s">
        <v>1980</v>
      </c>
      <c r="C1065" s="1">
        <v>44083</v>
      </c>
      <c r="D1065" t="b">
        <v>1</v>
      </c>
      <c r="E1065" t="s">
        <v>10</v>
      </c>
      <c r="F1065">
        <v>16538</v>
      </c>
    </row>
    <row r="1066" spans="1:6" x14ac:dyDescent="0.25">
      <c r="A1066" t="s">
        <v>1981</v>
      </c>
      <c r="C1066" s="1">
        <v>44083</v>
      </c>
      <c r="D1066" t="b">
        <v>1</v>
      </c>
      <c r="E1066" t="s">
        <v>10</v>
      </c>
      <c r="F1066">
        <v>16021</v>
      </c>
    </row>
    <row r="1067" spans="1:6" x14ac:dyDescent="0.25">
      <c r="A1067" t="s">
        <v>1982</v>
      </c>
      <c r="C1067" s="1">
        <v>44083</v>
      </c>
      <c r="D1067" t="b">
        <v>1</v>
      </c>
      <c r="E1067" t="s">
        <v>10</v>
      </c>
      <c r="F1067">
        <v>15549</v>
      </c>
    </row>
    <row r="1068" spans="1:6" x14ac:dyDescent="0.25">
      <c r="A1068" t="s">
        <v>1983</v>
      </c>
      <c r="B1068" t="s">
        <v>1984</v>
      </c>
      <c r="C1068" s="1">
        <v>44083</v>
      </c>
      <c r="D1068" t="b">
        <v>1</v>
      </c>
      <c r="E1068" t="s">
        <v>10</v>
      </c>
      <c r="F1068">
        <v>14960</v>
      </c>
    </row>
    <row r="1069" spans="1:6" x14ac:dyDescent="0.25">
      <c r="A1069" t="s">
        <v>1985</v>
      </c>
      <c r="C1069" s="1">
        <v>44083</v>
      </c>
      <c r="D1069" t="b">
        <v>1</v>
      </c>
      <c r="E1069" t="s">
        <v>10</v>
      </c>
      <c r="F1069">
        <v>14966</v>
      </c>
    </row>
    <row r="1070" spans="1:6" x14ac:dyDescent="0.25">
      <c r="A1070" t="s">
        <v>1986</v>
      </c>
      <c r="B1070" t="s">
        <v>1987</v>
      </c>
      <c r="C1070" s="1">
        <v>44083</v>
      </c>
      <c r="D1070" t="b">
        <v>1</v>
      </c>
      <c r="E1070" t="s">
        <v>10</v>
      </c>
      <c r="F1070">
        <v>876</v>
      </c>
    </row>
    <row r="1071" spans="1:6" x14ac:dyDescent="0.25">
      <c r="A1071" t="s">
        <v>1988</v>
      </c>
      <c r="B1071" t="s">
        <v>1989</v>
      </c>
      <c r="C1071" s="1">
        <v>44083</v>
      </c>
      <c r="D1071" t="b">
        <v>1</v>
      </c>
      <c r="E1071" t="s">
        <v>10</v>
      </c>
      <c r="F1071">
        <v>879</v>
      </c>
    </row>
    <row r="1072" spans="1:6" x14ac:dyDescent="0.25">
      <c r="A1072" t="s">
        <v>1990</v>
      </c>
      <c r="B1072" t="s">
        <v>1991</v>
      </c>
      <c r="C1072" s="1">
        <v>44083</v>
      </c>
      <c r="D1072" t="b">
        <v>1</v>
      </c>
      <c r="E1072" t="s">
        <v>10</v>
      </c>
      <c r="F1072">
        <v>16099</v>
      </c>
    </row>
    <row r="1073" spans="1:6" x14ac:dyDescent="0.25">
      <c r="A1073" t="s">
        <v>1992</v>
      </c>
      <c r="B1073" t="s">
        <v>1993</v>
      </c>
      <c r="C1073" s="1">
        <v>44083</v>
      </c>
      <c r="D1073" t="b">
        <v>1</v>
      </c>
      <c r="E1073" t="s">
        <v>10</v>
      </c>
      <c r="F1073">
        <v>16404</v>
      </c>
    </row>
    <row r="1074" spans="1:6" x14ac:dyDescent="0.25">
      <c r="A1074" t="s">
        <v>1994</v>
      </c>
      <c r="B1074" t="s">
        <v>1995</v>
      </c>
      <c r="C1074" s="1">
        <v>44083</v>
      </c>
      <c r="D1074" t="b">
        <v>1</v>
      </c>
      <c r="E1074" t="s">
        <v>10</v>
      </c>
      <c r="F1074">
        <v>883</v>
      </c>
    </row>
    <row r="1075" spans="1:6" x14ac:dyDescent="0.25">
      <c r="A1075" t="s">
        <v>1996</v>
      </c>
      <c r="B1075" t="s">
        <v>1997</v>
      </c>
      <c r="C1075" s="1">
        <v>44083</v>
      </c>
      <c r="D1075" t="b">
        <v>1</v>
      </c>
      <c r="E1075" t="s">
        <v>10</v>
      </c>
      <c r="F1075">
        <v>889</v>
      </c>
    </row>
    <row r="1076" spans="1:6" x14ac:dyDescent="0.25">
      <c r="A1076" t="s">
        <v>1998</v>
      </c>
      <c r="B1076" t="s">
        <v>1999</v>
      </c>
      <c r="C1076" s="1">
        <v>44083</v>
      </c>
      <c r="D1076" t="b">
        <v>1</v>
      </c>
      <c r="E1076" t="s">
        <v>10</v>
      </c>
      <c r="F1076">
        <v>890</v>
      </c>
    </row>
    <row r="1077" spans="1:6" x14ac:dyDescent="0.25">
      <c r="A1077" t="s">
        <v>2000</v>
      </c>
      <c r="B1077" t="s">
        <v>2001</v>
      </c>
      <c r="C1077" s="1">
        <v>44083</v>
      </c>
      <c r="D1077" t="b">
        <v>1</v>
      </c>
      <c r="E1077" t="s">
        <v>10</v>
      </c>
      <c r="F1077">
        <v>891</v>
      </c>
    </row>
    <row r="1078" spans="1:6" x14ac:dyDescent="0.25">
      <c r="A1078" t="s">
        <v>2002</v>
      </c>
      <c r="B1078" t="s">
        <v>2003</v>
      </c>
      <c r="C1078" s="1">
        <v>44083</v>
      </c>
      <c r="D1078" t="b">
        <v>1</v>
      </c>
      <c r="E1078" t="s">
        <v>10</v>
      </c>
      <c r="F1078">
        <v>8463</v>
      </c>
    </row>
    <row r="1079" spans="1:6" x14ac:dyDescent="0.25">
      <c r="A1079" t="s">
        <v>2004</v>
      </c>
      <c r="C1079" s="1">
        <v>44083</v>
      </c>
      <c r="D1079" t="b">
        <v>1</v>
      </c>
      <c r="E1079" t="s">
        <v>10</v>
      </c>
      <c r="F1079">
        <v>10749</v>
      </c>
    </row>
    <row r="1080" spans="1:6" x14ac:dyDescent="0.25">
      <c r="A1080" t="s">
        <v>2005</v>
      </c>
      <c r="C1080" s="1">
        <v>44083</v>
      </c>
      <c r="D1080" t="b">
        <v>1</v>
      </c>
      <c r="E1080" t="s">
        <v>10</v>
      </c>
      <c r="F1080">
        <v>11639</v>
      </c>
    </row>
    <row r="1081" spans="1:6" x14ac:dyDescent="0.25">
      <c r="A1081" t="s">
        <v>2006</v>
      </c>
      <c r="C1081" s="1">
        <v>44083</v>
      </c>
      <c r="D1081" t="b">
        <v>1</v>
      </c>
      <c r="E1081" t="s">
        <v>10</v>
      </c>
      <c r="F1081">
        <v>11982</v>
      </c>
    </row>
    <row r="1082" spans="1:6" x14ac:dyDescent="0.25">
      <c r="A1082" t="s">
        <v>2007</v>
      </c>
      <c r="B1082" t="s">
        <v>2008</v>
      </c>
      <c r="C1082" s="1">
        <v>44083</v>
      </c>
      <c r="D1082" t="b">
        <v>1</v>
      </c>
      <c r="E1082" t="s">
        <v>10</v>
      </c>
      <c r="F1082">
        <v>892</v>
      </c>
    </row>
    <row r="1083" spans="1:6" x14ac:dyDescent="0.25">
      <c r="A1083" t="s">
        <v>2009</v>
      </c>
      <c r="B1083" t="s">
        <v>2010</v>
      </c>
      <c r="C1083" s="1">
        <v>44083</v>
      </c>
      <c r="D1083" t="b">
        <v>1</v>
      </c>
      <c r="E1083" t="s">
        <v>10</v>
      </c>
      <c r="F1083">
        <v>893</v>
      </c>
    </row>
    <row r="1084" spans="1:6" x14ac:dyDescent="0.25">
      <c r="A1084" t="s">
        <v>2011</v>
      </c>
      <c r="B1084" t="s">
        <v>2012</v>
      </c>
      <c r="C1084" s="1">
        <v>44083</v>
      </c>
      <c r="D1084" t="b">
        <v>1</v>
      </c>
      <c r="E1084" t="s">
        <v>10</v>
      </c>
      <c r="F1084">
        <v>894</v>
      </c>
    </row>
    <row r="1085" spans="1:6" x14ac:dyDescent="0.25">
      <c r="A1085" t="s">
        <v>2013</v>
      </c>
      <c r="B1085" t="s">
        <v>2014</v>
      </c>
      <c r="C1085" s="1">
        <v>44083</v>
      </c>
      <c r="D1085" t="b">
        <v>1</v>
      </c>
      <c r="E1085" t="s">
        <v>10</v>
      </c>
      <c r="F1085">
        <v>895</v>
      </c>
    </row>
    <row r="1086" spans="1:6" x14ac:dyDescent="0.25">
      <c r="A1086" t="s">
        <v>2015</v>
      </c>
      <c r="B1086" t="s">
        <v>2016</v>
      </c>
      <c r="C1086" s="1">
        <v>44083</v>
      </c>
      <c r="D1086" t="b">
        <v>1</v>
      </c>
      <c r="E1086" t="s">
        <v>10</v>
      </c>
      <c r="F1086">
        <v>896</v>
      </c>
    </row>
    <row r="1087" spans="1:6" x14ac:dyDescent="0.25">
      <c r="A1087" t="s">
        <v>2017</v>
      </c>
      <c r="B1087" t="s">
        <v>2018</v>
      </c>
      <c r="C1087" s="1">
        <v>44083</v>
      </c>
      <c r="D1087" t="b">
        <v>1</v>
      </c>
      <c r="E1087" t="s">
        <v>10</v>
      </c>
      <c r="F1087">
        <v>897</v>
      </c>
    </row>
    <row r="1088" spans="1:6" x14ac:dyDescent="0.25">
      <c r="A1088" t="s">
        <v>2019</v>
      </c>
      <c r="B1088" t="s">
        <v>2020</v>
      </c>
      <c r="C1088" s="1">
        <v>44083</v>
      </c>
      <c r="D1088" t="b">
        <v>1</v>
      </c>
      <c r="E1088" t="s">
        <v>10</v>
      </c>
      <c r="F1088">
        <v>16991</v>
      </c>
    </row>
    <row r="1089" spans="1:6" x14ac:dyDescent="0.25">
      <c r="A1089" t="s">
        <v>2021</v>
      </c>
      <c r="B1089" t="s">
        <v>2022</v>
      </c>
      <c r="C1089" s="1">
        <v>44083</v>
      </c>
      <c r="D1089" t="b">
        <v>1</v>
      </c>
      <c r="E1089" t="s">
        <v>10</v>
      </c>
      <c r="F1089">
        <v>16992</v>
      </c>
    </row>
    <row r="1090" spans="1:6" x14ac:dyDescent="0.25">
      <c r="A1090" t="s">
        <v>2023</v>
      </c>
      <c r="B1090" t="s">
        <v>2020</v>
      </c>
      <c r="C1090" s="1">
        <v>44083</v>
      </c>
      <c r="D1090" t="b">
        <v>1</v>
      </c>
      <c r="E1090" t="s">
        <v>10</v>
      </c>
      <c r="F1090">
        <v>16617</v>
      </c>
    </row>
    <row r="1091" spans="1:6" x14ac:dyDescent="0.25">
      <c r="A1091" t="s">
        <v>2024</v>
      </c>
      <c r="C1091" s="1">
        <v>44083</v>
      </c>
      <c r="D1091" t="b">
        <v>1</v>
      </c>
      <c r="E1091" t="s">
        <v>10</v>
      </c>
      <c r="F1091">
        <v>17000</v>
      </c>
    </row>
    <row r="1092" spans="1:6" x14ac:dyDescent="0.25">
      <c r="A1092" t="s">
        <v>2025</v>
      </c>
      <c r="B1092" t="s">
        <v>2026</v>
      </c>
      <c r="C1092" s="1">
        <v>44083</v>
      </c>
      <c r="D1092" t="b">
        <v>1</v>
      </c>
      <c r="E1092" t="s">
        <v>10</v>
      </c>
      <c r="F1092">
        <v>16295</v>
      </c>
    </row>
    <row r="1093" spans="1:6" x14ac:dyDescent="0.25">
      <c r="A1093" t="s">
        <v>2027</v>
      </c>
      <c r="C1093" s="1">
        <v>44083</v>
      </c>
      <c r="D1093" t="b">
        <v>1</v>
      </c>
      <c r="E1093" t="s">
        <v>10</v>
      </c>
      <c r="F1093">
        <v>16306</v>
      </c>
    </row>
    <row r="1094" spans="1:6" x14ac:dyDescent="0.25">
      <c r="A1094" t="s">
        <v>2028</v>
      </c>
      <c r="B1094" t="s">
        <v>2029</v>
      </c>
      <c r="C1094" s="1">
        <v>44083</v>
      </c>
      <c r="D1094" t="b">
        <v>1</v>
      </c>
      <c r="E1094" t="s">
        <v>10</v>
      </c>
      <c r="F1094">
        <v>899</v>
      </c>
    </row>
    <row r="1095" spans="1:6" x14ac:dyDescent="0.25">
      <c r="A1095" t="s">
        <v>2030</v>
      </c>
      <c r="B1095" t="s">
        <v>2031</v>
      </c>
      <c r="C1095" s="1">
        <v>44083</v>
      </c>
      <c r="D1095" t="b">
        <v>1</v>
      </c>
      <c r="E1095" t="s">
        <v>10</v>
      </c>
      <c r="F1095">
        <v>900</v>
      </c>
    </row>
    <row r="1096" spans="1:6" x14ac:dyDescent="0.25">
      <c r="A1096" t="s">
        <v>2032</v>
      </c>
      <c r="B1096" t="s">
        <v>2033</v>
      </c>
      <c r="C1096" s="1">
        <v>44083</v>
      </c>
      <c r="D1096" t="b">
        <v>1</v>
      </c>
      <c r="E1096" t="s">
        <v>10</v>
      </c>
      <c r="F1096">
        <v>16409</v>
      </c>
    </row>
    <row r="1097" spans="1:6" x14ac:dyDescent="0.25">
      <c r="A1097" t="s">
        <v>2034</v>
      </c>
      <c r="C1097" s="1">
        <v>44083</v>
      </c>
      <c r="D1097" t="b">
        <v>1</v>
      </c>
      <c r="E1097" t="s">
        <v>10</v>
      </c>
      <c r="F1097">
        <v>16410</v>
      </c>
    </row>
    <row r="1098" spans="1:6" x14ac:dyDescent="0.25">
      <c r="A1098" t="s">
        <v>2035</v>
      </c>
      <c r="B1098" t="s">
        <v>2036</v>
      </c>
      <c r="C1098" s="1">
        <v>44083</v>
      </c>
      <c r="D1098" t="b">
        <v>1</v>
      </c>
      <c r="E1098" t="s">
        <v>10</v>
      </c>
      <c r="F1098">
        <v>16117</v>
      </c>
    </row>
    <row r="1099" spans="1:6" x14ac:dyDescent="0.25">
      <c r="A1099" t="s">
        <v>2037</v>
      </c>
      <c r="B1099" t="s">
        <v>2038</v>
      </c>
      <c r="C1099" s="1">
        <v>44083</v>
      </c>
      <c r="D1099" t="b">
        <v>1</v>
      </c>
      <c r="E1099" t="s">
        <v>10</v>
      </c>
      <c r="F1099">
        <v>13850</v>
      </c>
    </row>
    <row r="1100" spans="1:6" x14ac:dyDescent="0.25">
      <c r="A1100" t="s">
        <v>2039</v>
      </c>
      <c r="B1100" t="s">
        <v>2040</v>
      </c>
      <c r="C1100" s="1">
        <v>44083</v>
      </c>
      <c r="D1100" t="b">
        <v>1</v>
      </c>
      <c r="E1100" t="s">
        <v>10</v>
      </c>
      <c r="F1100">
        <v>13851</v>
      </c>
    </row>
    <row r="1101" spans="1:6" x14ac:dyDescent="0.25">
      <c r="A1101" t="s">
        <v>2041</v>
      </c>
      <c r="B1101" t="s">
        <v>2038</v>
      </c>
      <c r="C1101" s="1">
        <v>44083</v>
      </c>
      <c r="D1101" t="b">
        <v>1</v>
      </c>
      <c r="E1101" t="s">
        <v>10</v>
      </c>
      <c r="F1101">
        <v>13558</v>
      </c>
    </row>
    <row r="1102" spans="1:6" x14ac:dyDescent="0.25">
      <c r="A1102" t="s">
        <v>2042</v>
      </c>
      <c r="C1102" s="1">
        <v>44083</v>
      </c>
      <c r="D1102" t="b">
        <v>1</v>
      </c>
      <c r="E1102" t="s">
        <v>10</v>
      </c>
      <c r="F1102">
        <v>13867</v>
      </c>
    </row>
    <row r="1103" spans="1:6" x14ac:dyDescent="0.25">
      <c r="A1103" t="s">
        <v>2043</v>
      </c>
      <c r="B1103" t="s">
        <v>2044</v>
      </c>
      <c r="C1103" s="1">
        <v>44083</v>
      </c>
      <c r="D1103" t="b">
        <v>1</v>
      </c>
      <c r="E1103" t="s">
        <v>10</v>
      </c>
      <c r="F1103">
        <v>10753</v>
      </c>
    </row>
    <row r="1104" spans="1:6" x14ac:dyDescent="0.25">
      <c r="A1104" t="s">
        <v>2045</v>
      </c>
      <c r="B1104" t="s">
        <v>2046</v>
      </c>
      <c r="C1104" s="1">
        <v>44083</v>
      </c>
      <c r="D1104" t="b">
        <v>1</v>
      </c>
      <c r="E1104" t="s">
        <v>10</v>
      </c>
      <c r="F1104">
        <v>904</v>
      </c>
    </row>
    <row r="1105" spans="1:6" x14ac:dyDescent="0.25">
      <c r="A1105" t="s">
        <v>2047</v>
      </c>
      <c r="B1105" t="s">
        <v>2048</v>
      </c>
      <c r="C1105" s="1">
        <v>44083</v>
      </c>
      <c r="D1105" t="b">
        <v>1</v>
      </c>
      <c r="E1105" t="s">
        <v>10</v>
      </c>
      <c r="F1105">
        <v>7825</v>
      </c>
    </row>
    <row r="1106" spans="1:6" x14ac:dyDescent="0.25">
      <c r="A1106" t="s">
        <v>2049</v>
      </c>
      <c r="B1106" t="s">
        <v>2050</v>
      </c>
      <c r="C1106" s="1">
        <v>44083</v>
      </c>
      <c r="D1106" t="b">
        <v>1</v>
      </c>
      <c r="E1106" t="s">
        <v>10</v>
      </c>
      <c r="F1106">
        <v>14867</v>
      </c>
    </row>
    <row r="1107" spans="1:6" x14ac:dyDescent="0.25">
      <c r="A1107" t="s">
        <v>2051</v>
      </c>
      <c r="B1107" t="s">
        <v>2052</v>
      </c>
      <c r="C1107" s="1">
        <v>44083</v>
      </c>
      <c r="D1107" t="b">
        <v>1</v>
      </c>
      <c r="E1107" t="s">
        <v>10</v>
      </c>
      <c r="F1107">
        <v>908</v>
      </c>
    </row>
    <row r="1108" spans="1:6" x14ac:dyDescent="0.25">
      <c r="A1108" t="s">
        <v>2053</v>
      </c>
      <c r="C1108" s="1">
        <v>44083</v>
      </c>
      <c r="D1108" t="b">
        <v>1</v>
      </c>
      <c r="E1108" t="s">
        <v>10</v>
      </c>
      <c r="F1108">
        <v>14585</v>
      </c>
    </row>
    <row r="1109" spans="1:6" x14ac:dyDescent="0.25">
      <c r="A1109" t="s">
        <v>2054</v>
      </c>
      <c r="B1109" t="s">
        <v>2055</v>
      </c>
      <c r="C1109" s="1">
        <v>44083</v>
      </c>
      <c r="D1109" t="b">
        <v>1</v>
      </c>
      <c r="E1109" t="s">
        <v>10</v>
      </c>
      <c r="F1109">
        <v>909</v>
      </c>
    </row>
    <row r="1110" spans="1:6" x14ac:dyDescent="0.25">
      <c r="A1110" t="s">
        <v>2056</v>
      </c>
      <c r="B1110" t="s">
        <v>2057</v>
      </c>
      <c r="C1110" s="1">
        <v>44083</v>
      </c>
      <c r="D1110" t="b">
        <v>1</v>
      </c>
      <c r="E1110" t="s">
        <v>10</v>
      </c>
      <c r="F1110">
        <v>15104</v>
      </c>
    </row>
    <row r="1111" spans="1:6" x14ac:dyDescent="0.25">
      <c r="A1111" t="s">
        <v>2058</v>
      </c>
      <c r="B1111" t="s">
        <v>2059</v>
      </c>
      <c r="C1111" s="1">
        <v>44083</v>
      </c>
      <c r="D1111" t="b">
        <v>1</v>
      </c>
      <c r="E1111" t="s">
        <v>10</v>
      </c>
      <c r="F1111">
        <v>15105</v>
      </c>
    </row>
    <row r="1112" spans="1:6" x14ac:dyDescent="0.25">
      <c r="A1112" t="s">
        <v>2060</v>
      </c>
      <c r="B1112" t="s">
        <v>2061</v>
      </c>
      <c r="C1112" s="1">
        <v>44083</v>
      </c>
      <c r="D1112" t="b">
        <v>1</v>
      </c>
      <c r="E1112" t="s">
        <v>10</v>
      </c>
      <c r="F1112">
        <v>16056</v>
      </c>
    </row>
    <row r="1113" spans="1:6" x14ac:dyDescent="0.25">
      <c r="A1113" t="s">
        <v>2062</v>
      </c>
      <c r="B1113" t="s">
        <v>2063</v>
      </c>
      <c r="C1113" s="1">
        <v>44083</v>
      </c>
      <c r="D1113" t="b">
        <v>1</v>
      </c>
      <c r="E1113" t="s">
        <v>10</v>
      </c>
      <c r="F1113">
        <v>910</v>
      </c>
    </row>
    <row r="1114" spans="1:6" x14ac:dyDescent="0.25">
      <c r="A1114" t="s">
        <v>2064</v>
      </c>
      <c r="B1114" t="s">
        <v>2065</v>
      </c>
      <c r="C1114" s="1">
        <v>44083</v>
      </c>
      <c r="D1114" t="b">
        <v>1</v>
      </c>
      <c r="E1114" t="s">
        <v>10</v>
      </c>
      <c r="F1114">
        <v>15106</v>
      </c>
    </row>
    <row r="1115" spans="1:6" x14ac:dyDescent="0.25">
      <c r="A1115" t="s">
        <v>2066</v>
      </c>
      <c r="B1115" t="s">
        <v>2067</v>
      </c>
      <c r="C1115" s="1">
        <v>44083</v>
      </c>
      <c r="D1115" t="b">
        <v>1</v>
      </c>
      <c r="E1115" t="s">
        <v>10</v>
      </c>
      <c r="F1115">
        <v>14361</v>
      </c>
    </row>
    <row r="1116" spans="1:6" x14ac:dyDescent="0.25">
      <c r="A1116" t="s">
        <v>2068</v>
      </c>
      <c r="B1116" t="s">
        <v>2069</v>
      </c>
      <c r="C1116" s="1">
        <v>44083</v>
      </c>
      <c r="D1116" t="b">
        <v>1</v>
      </c>
      <c r="E1116" t="s">
        <v>10</v>
      </c>
      <c r="F1116">
        <v>14362</v>
      </c>
    </row>
    <row r="1117" spans="1:6" x14ac:dyDescent="0.25">
      <c r="A1117" t="s">
        <v>2070</v>
      </c>
      <c r="B1117" t="s">
        <v>2071</v>
      </c>
      <c r="C1117" s="1">
        <v>44083</v>
      </c>
      <c r="D1117" t="b">
        <v>1</v>
      </c>
      <c r="E1117" t="s">
        <v>10</v>
      </c>
      <c r="F1117">
        <v>14363</v>
      </c>
    </row>
    <row r="1118" spans="1:6" x14ac:dyDescent="0.25">
      <c r="A1118" t="s">
        <v>2072</v>
      </c>
      <c r="B1118" t="s">
        <v>2073</v>
      </c>
      <c r="C1118" s="1">
        <v>44083</v>
      </c>
      <c r="D1118" t="b">
        <v>1</v>
      </c>
      <c r="E1118" t="s">
        <v>10</v>
      </c>
      <c r="F1118">
        <v>14364</v>
      </c>
    </row>
    <row r="1119" spans="1:6" x14ac:dyDescent="0.25">
      <c r="A1119" t="s">
        <v>2074</v>
      </c>
      <c r="B1119" t="s">
        <v>2075</v>
      </c>
      <c r="C1119" s="1">
        <v>44083</v>
      </c>
      <c r="D1119" t="b">
        <v>1</v>
      </c>
      <c r="E1119" t="s">
        <v>10</v>
      </c>
      <c r="F1119">
        <v>14365</v>
      </c>
    </row>
    <row r="1120" spans="1:6" x14ac:dyDescent="0.25">
      <c r="A1120" t="s">
        <v>2076</v>
      </c>
      <c r="B1120" t="s">
        <v>2077</v>
      </c>
      <c r="C1120" s="1">
        <v>44083</v>
      </c>
      <c r="D1120" t="b">
        <v>1</v>
      </c>
      <c r="E1120" t="s">
        <v>10</v>
      </c>
      <c r="F1120">
        <v>14366</v>
      </c>
    </row>
    <row r="1121" spans="1:6" x14ac:dyDescent="0.25">
      <c r="A1121" t="s">
        <v>2078</v>
      </c>
      <c r="B1121" t="s">
        <v>2079</v>
      </c>
      <c r="C1121" s="1">
        <v>44083</v>
      </c>
      <c r="D1121" t="b">
        <v>1</v>
      </c>
      <c r="E1121" t="s">
        <v>10</v>
      </c>
      <c r="F1121">
        <v>14367</v>
      </c>
    </row>
    <row r="1122" spans="1:6" x14ac:dyDescent="0.25">
      <c r="A1122" t="s">
        <v>2080</v>
      </c>
      <c r="B1122" t="s">
        <v>2081</v>
      </c>
      <c r="C1122" s="1">
        <v>44083</v>
      </c>
      <c r="D1122" t="b">
        <v>1</v>
      </c>
      <c r="E1122" t="s">
        <v>10</v>
      </c>
      <c r="F1122">
        <v>14368</v>
      </c>
    </row>
    <row r="1123" spans="1:6" x14ac:dyDescent="0.25">
      <c r="A1123" t="s">
        <v>2082</v>
      </c>
      <c r="B1123" t="s">
        <v>2083</v>
      </c>
      <c r="C1123" s="1">
        <v>44083</v>
      </c>
      <c r="D1123" t="b">
        <v>1</v>
      </c>
      <c r="E1123" t="s">
        <v>10</v>
      </c>
      <c r="F1123">
        <v>14897</v>
      </c>
    </row>
    <row r="1124" spans="1:6" x14ac:dyDescent="0.25">
      <c r="A1124" t="s">
        <v>2084</v>
      </c>
      <c r="B1124" t="s">
        <v>2085</v>
      </c>
      <c r="C1124" s="1">
        <v>44083</v>
      </c>
      <c r="D1124" t="b">
        <v>1</v>
      </c>
      <c r="E1124" t="s">
        <v>10</v>
      </c>
      <c r="F1124">
        <v>16068</v>
      </c>
    </row>
    <row r="1125" spans="1:6" x14ac:dyDescent="0.25">
      <c r="A1125" t="s">
        <v>2086</v>
      </c>
      <c r="B1125" t="s">
        <v>2087</v>
      </c>
      <c r="C1125" s="1">
        <v>44083</v>
      </c>
      <c r="D1125" t="b">
        <v>1</v>
      </c>
      <c r="E1125" t="s">
        <v>10</v>
      </c>
      <c r="F1125">
        <v>921</v>
      </c>
    </row>
    <row r="1126" spans="1:6" x14ac:dyDescent="0.25">
      <c r="A1126" t="s">
        <v>2088</v>
      </c>
      <c r="B1126" t="s">
        <v>2089</v>
      </c>
      <c r="C1126" s="1">
        <v>44083</v>
      </c>
      <c r="D1126" t="b">
        <v>1</v>
      </c>
      <c r="E1126" t="s">
        <v>10</v>
      </c>
      <c r="F1126">
        <v>15107</v>
      </c>
    </row>
    <row r="1127" spans="1:6" x14ac:dyDescent="0.25">
      <c r="A1127" t="s">
        <v>2090</v>
      </c>
      <c r="B1127" t="s">
        <v>2091</v>
      </c>
      <c r="C1127" s="1">
        <v>44083</v>
      </c>
      <c r="D1127" t="b">
        <v>1</v>
      </c>
      <c r="E1127" t="s">
        <v>10</v>
      </c>
      <c r="F1127">
        <v>923</v>
      </c>
    </row>
    <row r="1128" spans="1:6" x14ac:dyDescent="0.25">
      <c r="A1128" t="s">
        <v>2092</v>
      </c>
      <c r="B1128" t="s">
        <v>2093</v>
      </c>
      <c r="C1128" s="1">
        <v>44083</v>
      </c>
      <c r="D1128" t="b">
        <v>1</v>
      </c>
      <c r="E1128" t="s">
        <v>10</v>
      </c>
      <c r="F1128">
        <v>16030</v>
      </c>
    </row>
    <row r="1129" spans="1:6" x14ac:dyDescent="0.25">
      <c r="A1129" t="s">
        <v>2094</v>
      </c>
      <c r="B1129" t="s">
        <v>2095</v>
      </c>
      <c r="C1129" s="1">
        <v>44083</v>
      </c>
      <c r="D1129" t="b">
        <v>1</v>
      </c>
      <c r="E1129" t="s">
        <v>10</v>
      </c>
      <c r="F1129">
        <v>924</v>
      </c>
    </row>
    <row r="1130" spans="1:6" x14ac:dyDescent="0.25">
      <c r="A1130" t="s">
        <v>2096</v>
      </c>
      <c r="B1130" t="s">
        <v>2097</v>
      </c>
      <c r="C1130" s="1">
        <v>44083</v>
      </c>
      <c r="D1130" t="b">
        <v>1</v>
      </c>
      <c r="E1130" t="s">
        <v>10</v>
      </c>
      <c r="F1130">
        <v>15060</v>
      </c>
    </row>
    <row r="1131" spans="1:6" x14ac:dyDescent="0.25">
      <c r="A1131" t="s">
        <v>2098</v>
      </c>
      <c r="B1131" t="s">
        <v>2099</v>
      </c>
      <c r="C1131" s="1">
        <v>44083</v>
      </c>
      <c r="D1131" t="b">
        <v>1</v>
      </c>
      <c r="E1131" t="s">
        <v>10</v>
      </c>
      <c r="F1131">
        <v>15933</v>
      </c>
    </row>
    <row r="1132" spans="1:6" x14ac:dyDescent="0.25">
      <c r="A1132" t="s">
        <v>2100</v>
      </c>
      <c r="B1132" t="s">
        <v>2101</v>
      </c>
      <c r="C1132" s="1">
        <v>44083</v>
      </c>
      <c r="D1132" t="b">
        <v>1</v>
      </c>
      <c r="E1132" t="s">
        <v>10</v>
      </c>
      <c r="F1132">
        <v>14371</v>
      </c>
    </row>
    <row r="1133" spans="1:6" x14ac:dyDescent="0.25">
      <c r="A1133" t="s">
        <v>2102</v>
      </c>
      <c r="B1133" t="s">
        <v>2103</v>
      </c>
      <c r="C1133" s="1">
        <v>44083</v>
      </c>
      <c r="D1133" t="b">
        <v>1</v>
      </c>
      <c r="E1133" t="s">
        <v>10</v>
      </c>
      <c r="F1133">
        <v>14372</v>
      </c>
    </row>
    <row r="1134" spans="1:6" x14ac:dyDescent="0.25">
      <c r="A1134" t="s">
        <v>2104</v>
      </c>
      <c r="B1134" t="s">
        <v>2105</v>
      </c>
      <c r="C1134" s="1">
        <v>44083</v>
      </c>
      <c r="D1134" t="b">
        <v>1</v>
      </c>
      <c r="E1134" t="s">
        <v>10</v>
      </c>
      <c r="F1134">
        <v>14373</v>
      </c>
    </row>
    <row r="1135" spans="1:6" x14ac:dyDescent="0.25">
      <c r="A1135" t="s">
        <v>2106</v>
      </c>
      <c r="B1135" t="s">
        <v>2107</v>
      </c>
      <c r="C1135" s="1">
        <v>44083</v>
      </c>
      <c r="D1135" t="b">
        <v>1</v>
      </c>
      <c r="E1135" t="s">
        <v>10</v>
      </c>
      <c r="F1135">
        <v>14374</v>
      </c>
    </row>
    <row r="1136" spans="1:6" x14ac:dyDescent="0.25">
      <c r="A1136" t="s">
        <v>2108</v>
      </c>
      <c r="B1136" t="s">
        <v>2109</v>
      </c>
      <c r="C1136" s="1">
        <v>44083</v>
      </c>
      <c r="D1136" t="b">
        <v>1</v>
      </c>
      <c r="E1136" t="s">
        <v>10</v>
      </c>
      <c r="F1136">
        <v>14375</v>
      </c>
    </row>
    <row r="1137" spans="1:6" x14ac:dyDescent="0.25">
      <c r="A1137" t="s">
        <v>2110</v>
      </c>
      <c r="B1137" t="s">
        <v>2111</v>
      </c>
      <c r="C1137" s="1">
        <v>44083</v>
      </c>
      <c r="D1137" t="b">
        <v>1</v>
      </c>
      <c r="E1137" t="s">
        <v>10</v>
      </c>
      <c r="F1137">
        <v>14650</v>
      </c>
    </row>
    <row r="1138" spans="1:6" x14ac:dyDescent="0.25">
      <c r="A1138" t="s">
        <v>2112</v>
      </c>
      <c r="B1138" t="s">
        <v>2113</v>
      </c>
      <c r="C1138" s="1">
        <v>44083</v>
      </c>
      <c r="D1138" t="b">
        <v>1</v>
      </c>
      <c r="E1138" t="s">
        <v>10</v>
      </c>
      <c r="F1138">
        <v>14898</v>
      </c>
    </row>
    <row r="1139" spans="1:6" x14ac:dyDescent="0.25">
      <c r="A1139" t="s">
        <v>2114</v>
      </c>
      <c r="B1139" t="s">
        <v>2115</v>
      </c>
      <c r="C1139" s="1">
        <v>44083</v>
      </c>
      <c r="D1139" t="b">
        <v>1</v>
      </c>
      <c r="E1139" t="s">
        <v>10</v>
      </c>
      <c r="F1139">
        <v>16069</v>
      </c>
    </row>
    <row r="1140" spans="1:6" x14ac:dyDescent="0.25">
      <c r="A1140" t="s">
        <v>2116</v>
      </c>
      <c r="B1140" t="s">
        <v>2117</v>
      </c>
      <c r="C1140" s="1">
        <v>44083</v>
      </c>
      <c r="D1140" t="b">
        <v>1</v>
      </c>
      <c r="E1140" t="s">
        <v>10</v>
      </c>
      <c r="F1140">
        <v>933</v>
      </c>
    </row>
    <row r="1141" spans="1:6" x14ac:dyDescent="0.25">
      <c r="A1141" t="s">
        <v>2118</v>
      </c>
      <c r="B1141" t="s">
        <v>2119</v>
      </c>
      <c r="C1141" s="1">
        <v>44083</v>
      </c>
      <c r="D1141" t="b">
        <v>1</v>
      </c>
      <c r="E1141" t="s">
        <v>10</v>
      </c>
      <c r="F1141">
        <v>9852</v>
      </c>
    </row>
    <row r="1142" spans="1:6" x14ac:dyDescent="0.25">
      <c r="A1142" t="s">
        <v>2120</v>
      </c>
      <c r="B1142" t="s">
        <v>2121</v>
      </c>
      <c r="C1142" s="1">
        <v>44083</v>
      </c>
      <c r="D1142" t="b">
        <v>1</v>
      </c>
      <c r="E1142" t="s">
        <v>10</v>
      </c>
      <c r="F1142">
        <v>16102</v>
      </c>
    </row>
    <row r="1143" spans="1:6" x14ac:dyDescent="0.25">
      <c r="A1143" t="s">
        <v>2122</v>
      </c>
      <c r="B1143" t="s">
        <v>2123</v>
      </c>
      <c r="C1143" s="1">
        <v>44083</v>
      </c>
      <c r="D1143" t="b">
        <v>1</v>
      </c>
      <c r="E1143" t="s">
        <v>10</v>
      </c>
      <c r="F1143">
        <v>16103</v>
      </c>
    </row>
    <row r="1144" spans="1:6" x14ac:dyDescent="0.25">
      <c r="A1144" t="s">
        <v>2124</v>
      </c>
      <c r="B1144" t="s">
        <v>2125</v>
      </c>
      <c r="C1144" s="1">
        <v>44083</v>
      </c>
      <c r="D1144" t="b">
        <v>1</v>
      </c>
      <c r="E1144" t="s">
        <v>10</v>
      </c>
      <c r="F1144">
        <v>16104</v>
      </c>
    </row>
    <row r="1145" spans="1:6" x14ac:dyDescent="0.25">
      <c r="A1145" t="s">
        <v>2126</v>
      </c>
      <c r="B1145" t="s">
        <v>2127</v>
      </c>
      <c r="C1145" s="1">
        <v>44083</v>
      </c>
      <c r="D1145" t="b">
        <v>1</v>
      </c>
      <c r="E1145" t="s">
        <v>10</v>
      </c>
      <c r="F1145">
        <v>16105</v>
      </c>
    </row>
    <row r="1146" spans="1:6" x14ac:dyDescent="0.25">
      <c r="A1146" t="s">
        <v>2128</v>
      </c>
      <c r="B1146" t="s">
        <v>2129</v>
      </c>
      <c r="C1146" s="1">
        <v>44083</v>
      </c>
      <c r="D1146" t="b">
        <v>1</v>
      </c>
      <c r="E1146" t="s">
        <v>10</v>
      </c>
      <c r="F1146">
        <v>16106</v>
      </c>
    </row>
    <row r="1147" spans="1:6" x14ac:dyDescent="0.25">
      <c r="A1147" t="s">
        <v>2130</v>
      </c>
      <c r="B1147" t="s">
        <v>2131</v>
      </c>
      <c r="C1147" s="1">
        <v>44083</v>
      </c>
      <c r="D1147" t="b">
        <v>1</v>
      </c>
      <c r="E1147" t="s">
        <v>10</v>
      </c>
      <c r="F1147">
        <v>16107</v>
      </c>
    </row>
    <row r="1148" spans="1:6" x14ac:dyDescent="0.25">
      <c r="A1148" t="s">
        <v>2132</v>
      </c>
      <c r="B1148" t="s">
        <v>2133</v>
      </c>
      <c r="C1148" s="1">
        <v>44083</v>
      </c>
      <c r="D1148" t="b">
        <v>1</v>
      </c>
      <c r="E1148" t="s">
        <v>10</v>
      </c>
      <c r="F1148">
        <v>16108</v>
      </c>
    </row>
    <row r="1149" spans="1:6" x14ac:dyDescent="0.25">
      <c r="A1149" t="s">
        <v>2134</v>
      </c>
      <c r="B1149" t="s">
        <v>2135</v>
      </c>
      <c r="C1149" s="1">
        <v>44083</v>
      </c>
      <c r="D1149" t="b">
        <v>1</v>
      </c>
      <c r="E1149" t="s">
        <v>10</v>
      </c>
      <c r="F1149">
        <v>16109</v>
      </c>
    </row>
    <row r="1150" spans="1:6" x14ac:dyDescent="0.25">
      <c r="A1150" t="s">
        <v>2136</v>
      </c>
      <c r="B1150" t="s">
        <v>2137</v>
      </c>
      <c r="C1150" s="1">
        <v>44083</v>
      </c>
      <c r="D1150" t="b">
        <v>1</v>
      </c>
      <c r="E1150" t="s">
        <v>10</v>
      </c>
      <c r="F1150">
        <v>16110</v>
      </c>
    </row>
    <row r="1151" spans="1:6" x14ac:dyDescent="0.25">
      <c r="A1151" t="s">
        <v>2138</v>
      </c>
      <c r="B1151" t="s">
        <v>2139</v>
      </c>
      <c r="C1151" s="1">
        <v>44083</v>
      </c>
      <c r="D1151" t="b">
        <v>1</v>
      </c>
      <c r="E1151" t="s">
        <v>10</v>
      </c>
      <c r="F1151">
        <v>14090</v>
      </c>
    </row>
    <row r="1152" spans="1:6" x14ac:dyDescent="0.25">
      <c r="A1152" t="s">
        <v>2140</v>
      </c>
      <c r="B1152" t="s">
        <v>2141</v>
      </c>
      <c r="C1152" s="1">
        <v>44083</v>
      </c>
      <c r="D1152" t="b">
        <v>1</v>
      </c>
      <c r="E1152" t="s">
        <v>10</v>
      </c>
      <c r="F1152">
        <v>937</v>
      </c>
    </row>
    <row r="1153" spans="1:6" x14ac:dyDescent="0.25">
      <c r="A1153" t="s">
        <v>2142</v>
      </c>
      <c r="B1153" t="s">
        <v>2143</v>
      </c>
      <c r="C1153" s="1">
        <v>44083</v>
      </c>
      <c r="D1153" t="b">
        <v>1</v>
      </c>
      <c r="E1153" t="s">
        <v>10</v>
      </c>
      <c r="F1153">
        <v>938</v>
      </c>
    </row>
    <row r="1154" spans="1:6" x14ac:dyDescent="0.25">
      <c r="A1154" t="s">
        <v>2144</v>
      </c>
      <c r="B1154" t="s">
        <v>2145</v>
      </c>
      <c r="C1154" s="1">
        <v>44083</v>
      </c>
      <c r="D1154" t="b">
        <v>1</v>
      </c>
      <c r="E1154" t="s">
        <v>10</v>
      </c>
      <c r="F1154">
        <v>9432</v>
      </c>
    </row>
    <row r="1155" spans="1:6" x14ac:dyDescent="0.25">
      <c r="A1155" t="s">
        <v>2146</v>
      </c>
      <c r="B1155" t="s">
        <v>2147</v>
      </c>
      <c r="C1155" s="1">
        <v>44083</v>
      </c>
      <c r="D1155" t="b">
        <v>1</v>
      </c>
      <c r="E1155" t="s">
        <v>10</v>
      </c>
      <c r="F1155">
        <v>939</v>
      </c>
    </row>
    <row r="1156" spans="1:6" x14ac:dyDescent="0.25">
      <c r="A1156" t="s">
        <v>2148</v>
      </c>
      <c r="B1156" t="s">
        <v>2149</v>
      </c>
      <c r="C1156" s="1">
        <v>44083</v>
      </c>
      <c r="D1156" t="b">
        <v>1</v>
      </c>
      <c r="E1156" t="s">
        <v>10</v>
      </c>
      <c r="F1156">
        <v>15733</v>
      </c>
    </row>
    <row r="1157" spans="1:6" x14ac:dyDescent="0.25">
      <c r="A1157" t="s">
        <v>2150</v>
      </c>
      <c r="B1157" t="s">
        <v>2151</v>
      </c>
      <c r="C1157" s="1">
        <v>44083</v>
      </c>
      <c r="D1157" t="b">
        <v>1</v>
      </c>
      <c r="E1157" t="s">
        <v>10</v>
      </c>
      <c r="F1157">
        <v>941</v>
      </c>
    </row>
    <row r="1158" spans="1:6" x14ac:dyDescent="0.25">
      <c r="A1158" t="s">
        <v>2152</v>
      </c>
      <c r="B1158" t="s">
        <v>2153</v>
      </c>
      <c r="C1158" s="1">
        <v>44083</v>
      </c>
      <c r="D1158" t="b">
        <v>1</v>
      </c>
      <c r="E1158" t="s">
        <v>10</v>
      </c>
      <c r="F1158">
        <v>14954</v>
      </c>
    </row>
    <row r="1159" spans="1:6" x14ac:dyDescent="0.25">
      <c r="A1159" t="s">
        <v>2154</v>
      </c>
      <c r="B1159" t="s">
        <v>2155</v>
      </c>
      <c r="C1159" s="1">
        <v>44083</v>
      </c>
      <c r="D1159" t="b">
        <v>1</v>
      </c>
      <c r="E1159" t="s">
        <v>10</v>
      </c>
      <c r="F1159">
        <v>942</v>
      </c>
    </row>
    <row r="1160" spans="1:6" x14ac:dyDescent="0.25">
      <c r="A1160" t="s">
        <v>2156</v>
      </c>
      <c r="C1160" s="1">
        <v>44083</v>
      </c>
      <c r="D1160" t="b">
        <v>1</v>
      </c>
      <c r="E1160" t="s">
        <v>10</v>
      </c>
      <c r="F1160">
        <v>16773</v>
      </c>
    </row>
    <row r="1161" spans="1:6" x14ac:dyDescent="0.25">
      <c r="A1161" t="s">
        <v>2157</v>
      </c>
      <c r="B1161" t="s">
        <v>2158</v>
      </c>
      <c r="C1161" s="1">
        <v>44083</v>
      </c>
      <c r="D1161" t="b">
        <v>1</v>
      </c>
      <c r="E1161" t="s">
        <v>10</v>
      </c>
      <c r="F1161">
        <v>944</v>
      </c>
    </row>
    <row r="1162" spans="1:6" x14ac:dyDescent="0.25">
      <c r="A1162" t="s">
        <v>2159</v>
      </c>
      <c r="B1162" t="s">
        <v>2160</v>
      </c>
      <c r="C1162" s="1">
        <v>44083</v>
      </c>
      <c r="D1162" t="b">
        <v>1</v>
      </c>
      <c r="E1162" t="s">
        <v>10</v>
      </c>
      <c r="F1162">
        <v>14142</v>
      </c>
    </row>
    <row r="1163" spans="1:6" x14ac:dyDescent="0.25">
      <c r="A1163" t="s">
        <v>2161</v>
      </c>
      <c r="B1163" t="s">
        <v>2162</v>
      </c>
      <c r="C1163" s="1">
        <v>44083</v>
      </c>
      <c r="D1163" t="b">
        <v>1</v>
      </c>
      <c r="E1163" t="s">
        <v>10</v>
      </c>
      <c r="F1163">
        <v>945</v>
      </c>
    </row>
    <row r="1164" spans="1:6" x14ac:dyDescent="0.25">
      <c r="A1164" t="s">
        <v>2163</v>
      </c>
      <c r="B1164" t="s">
        <v>2164</v>
      </c>
      <c r="C1164" s="1">
        <v>44083</v>
      </c>
      <c r="D1164" t="b">
        <v>1</v>
      </c>
      <c r="E1164" t="s">
        <v>10</v>
      </c>
      <c r="F1164">
        <v>17040</v>
      </c>
    </row>
    <row r="1165" spans="1:6" x14ac:dyDescent="0.25">
      <c r="A1165" t="s">
        <v>2165</v>
      </c>
      <c r="B1165" t="s">
        <v>2166</v>
      </c>
      <c r="C1165" s="1">
        <v>44083</v>
      </c>
      <c r="D1165" t="b">
        <v>1</v>
      </c>
      <c r="E1165" t="s">
        <v>10</v>
      </c>
      <c r="F1165">
        <v>13953</v>
      </c>
    </row>
    <row r="1166" spans="1:6" x14ac:dyDescent="0.25">
      <c r="A1166" t="s">
        <v>2167</v>
      </c>
      <c r="B1166" t="s">
        <v>2168</v>
      </c>
      <c r="C1166" s="1">
        <v>44083</v>
      </c>
      <c r="D1166" t="b">
        <v>1</v>
      </c>
      <c r="E1166" t="s">
        <v>10</v>
      </c>
      <c r="F1166">
        <v>946</v>
      </c>
    </row>
    <row r="1167" spans="1:6" x14ac:dyDescent="0.25">
      <c r="A1167" t="s">
        <v>2169</v>
      </c>
      <c r="B1167" t="s">
        <v>2170</v>
      </c>
      <c r="C1167" s="1">
        <v>44083</v>
      </c>
      <c r="D1167" t="b">
        <v>1</v>
      </c>
      <c r="E1167" t="s">
        <v>10</v>
      </c>
      <c r="F1167">
        <v>11738</v>
      </c>
    </row>
    <row r="1168" spans="1:6" x14ac:dyDescent="0.25">
      <c r="A1168" t="s">
        <v>2171</v>
      </c>
      <c r="B1168" t="s">
        <v>2172</v>
      </c>
      <c r="C1168" s="1">
        <v>44083</v>
      </c>
      <c r="D1168" t="b">
        <v>1</v>
      </c>
      <c r="E1168" t="s">
        <v>10</v>
      </c>
      <c r="F1168">
        <v>948</v>
      </c>
    </row>
    <row r="1169" spans="1:6" x14ac:dyDescent="0.25">
      <c r="A1169" t="s">
        <v>2173</v>
      </c>
      <c r="B1169" t="s">
        <v>2174</v>
      </c>
      <c r="C1169" s="1">
        <v>44083</v>
      </c>
      <c r="D1169" t="b">
        <v>1</v>
      </c>
      <c r="E1169" t="s">
        <v>10</v>
      </c>
      <c r="F1169">
        <v>950</v>
      </c>
    </row>
    <row r="1170" spans="1:6" x14ac:dyDescent="0.25">
      <c r="A1170" t="s">
        <v>2175</v>
      </c>
      <c r="B1170" t="s">
        <v>2176</v>
      </c>
      <c r="C1170" s="1">
        <v>44083</v>
      </c>
      <c r="D1170" t="b">
        <v>1</v>
      </c>
      <c r="E1170" t="s">
        <v>10</v>
      </c>
      <c r="F1170">
        <v>951</v>
      </c>
    </row>
    <row r="1171" spans="1:6" x14ac:dyDescent="0.25">
      <c r="A1171" t="s">
        <v>2177</v>
      </c>
      <c r="B1171" t="s">
        <v>2178</v>
      </c>
      <c r="C1171" s="1">
        <v>44083</v>
      </c>
      <c r="D1171" t="b">
        <v>1</v>
      </c>
      <c r="E1171" t="s">
        <v>10</v>
      </c>
      <c r="F1171">
        <v>952</v>
      </c>
    </row>
    <row r="1172" spans="1:6" x14ac:dyDescent="0.25">
      <c r="A1172" t="s">
        <v>2179</v>
      </c>
      <c r="B1172" t="s">
        <v>2180</v>
      </c>
      <c r="C1172" s="1">
        <v>44083</v>
      </c>
      <c r="D1172" t="b">
        <v>1</v>
      </c>
      <c r="E1172" t="s">
        <v>10</v>
      </c>
      <c r="F1172">
        <v>953</v>
      </c>
    </row>
    <row r="1173" spans="1:6" x14ac:dyDescent="0.25">
      <c r="A1173" t="s">
        <v>2181</v>
      </c>
      <c r="B1173" t="s">
        <v>2182</v>
      </c>
      <c r="C1173" s="1">
        <v>44083</v>
      </c>
      <c r="D1173" t="b">
        <v>1</v>
      </c>
      <c r="E1173" t="s">
        <v>10</v>
      </c>
      <c r="F1173">
        <v>12755</v>
      </c>
    </row>
    <row r="1174" spans="1:6" x14ac:dyDescent="0.25">
      <c r="A1174" t="s">
        <v>2183</v>
      </c>
      <c r="B1174" t="s">
        <v>2184</v>
      </c>
      <c r="C1174" s="1">
        <v>44083</v>
      </c>
      <c r="D1174" t="b">
        <v>1</v>
      </c>
      <c r="E1174" t="s">
        <v>10</v>
      </c>
      <c r="F1174">
        <v>16501</v>
      </c>
    </row>
    <row r="1175" spans="1:6" x14ac:dyDescent="0.25">
      <c r="A1175" t="s">
        <v>2185</v>
      </c>
      <c r="B1175" t="s">
        <v>2186</v>
      </c>
      <c r="C1175" s="1">
        <v>44083</v>
      </c>
      <c r="D1175" t="b">
        <v>1</v>
      </c>
      <c r="E1175" t="s">
        <v>10</v>
      </c>
      <c r="F1175">
        <v>957</v>
      </c>
    </row>
    <row r="1176" spans="1:6" x14ac:dyDescent="0.25">
      <c r="A1176" t="s">
        <v>2187</v>
      </c>
      <c r="B1176" t="s">
        <v>2188</v>
      </c>
      <c r="C1176" s="1">
        <v>44083</v>
      </c>
      <c r="D1176" t="b">
        <v>1</v>
      </c>
      <c r="E1176" t="s">
        <v>10</v>
      </c>
      <c r="F1176">
        <v>958</v>
      </c>
    </row>
    <row r="1177" spans="1:6" x14ac:dyDescent="0.25">
      <c r="A1177" t="s">
        <v>2189</v>
      </c>
      <c r="B1177" t="s">
        <v>2190</v>
      </c>
      <c r="C1177" s="1">
        <v>44083</v>
      </c>
      <c r="D1177" t="b">
        <v>0</v>
      </c>
      <c r="E1177" t="s">
        <v>10</v>
      </c>
      <c r="F1177">
        <v>11995</v>
      </c>
    </row>
    <row r="1178" spans="1:6" x14ac:dyDescent="0.25">
      <c r="A1178" t="s">
        <v>2191</v>
      </c>
      <c r="B1178" t="s">
        <v>2192</v>
      </c>
      <c r="C1178" s="1">
        <v>44083</v>
      </c>
      <c r="D1178" t="b">
        <v>0</v>
      </c>
      <c r="E1178" t="s">
        <v>10</v>
      </c>
      <c r="F1178">
        <v>17072</v>
      </c>
    </row>
    <row r="1179" spans="1:6" x14ac:dyDescent="0.25">
      <c r="A1179" t="s">
        <v>2193</v>
      </c>
      <c r="B1179" t="s">
        <v>2194</v>
      </c>
      <c r="C1179" s="1">
        <v>44083</v>
      </c>
      <c r="D1179" t="b">
        <v>1</v>
      </c>
      <c r="E1179" t="s">
        <v>10</v>
      </c>
      <c r="F1179">
        <v>16230</v>
      </c>
    </row>
    <row r="1180" spans="1:6" x14ac:dyDescent="0.25">
      <c r="A1180" t="s">
        <v>2195</v>
      </c>
      <c r="B1180" t="s">
        <v>2196</v>
      </c>
      <c r="C1180" s="1">
        <v>44083</v>
      </c>
      <c r="D1180" t="b">
        <v>1</v>
      </c>
      <c r="E1180" t="s">
        <v>10</v>
      </c>
      <c r="F1180">
        <v>959</v>
      </c>
    </row>
    <row r="1181" spans="1:6" x14ac:dyDescent="0.25">
      <c r="A1181" t="s">
        <v>2197</v>
      </c>
      <c r="B1181" t="s">
        <v>2198</v>
      </c>
      <c r="C1181" s="1">
        <v>44083</v>
      </c>
      <c r="D1181" t="b">
        <v>1</v>
      </c>
      <c r="E1181" t="s">
        <v>10</v>
      </c>
      <c r="F1181">
        <v>15686</v>
      </c>
    </row>
    <row r="1182" spans="1:6" x14ac:dyDescent="0.25">
      <c r="A1182" t="s">
        <v>2199</v>
      </c>
      <c r="B1182" t="s">
        <v>2200</v>
      </c>
      <c r="C1182" s="1">
        <v>44083</v>
      </c>
      <c r="D1182" t="b">
        <v>1</v>
      </c>
      <c r="E1182" t="s">
        <v>10</v>
      </c>
      <c r="F1182">
        <v>7884</v>
      </c>
    </row>
    <row r="1183" spans="1:6" x14ac:dyDescent="0.25">
      <c r="A1183" t="s">
        <v>2201</v>
      </c>
      <c r="B1183" t="s">
        <v>2202</v>
      </c>
      <c r="C1183" s="1">
        <v>44083</v>
      </c>
      <c r="D1183" t="b">
        <v>1</v>
      </c>
      <c r="E1183" t="s">
        <v>10</v>
      </c>
      <c r="F1183">
        <v>964</v>
      </c>
    </row>
    <row r="1184" spans="1:6" x14ac:dyDescent="0.25">
      <c r="A1184" t="s">
        <v>2203</v>
      </c>
      <c r="B1184" t="s">
        <v>2204</v>
      </c>
      <c r="C1184" s="1">
        <v>44083</v>
      </c>
      <c r="D1184" t="b">
        <v>1</v>
      </c>
      <c r="E1184" t="s">
        <v>10</v>
      </c>
      <c r="F1184">
        <v>13858</v>
      </c>
    </row>
    <row r="1185" spans="1:6" x14ac:dyDescent="0.25">
      <c r="A1185" t="s">
        <v>2205</v>
      </c>
      <c r="B1185" t="s">
        <v>2206</v>
      </c>
      <c r="C1185" s="1">
        <v>44083</v>
      </c>
      <c r="D1185" t="b">
        <v>1</v>
      </c>
      <c r="E1185" t="s">
        <v>10</v>
      </c>
      <c r="F1185">
        <v>16552</v>
      </c>
    </row>
    <row r="1186" spans="1:6" x14ac:dyDescent="0.25">
      <c r="A1186" t="s">
        <v>2207</v>
      </c>
      <c r="B1186" t="s">
        <v>2208</v>
      </c>
      <c r="C1186" s="1">
        <v>44083</v>
      </c>
      <c r="D1186" t="b">
        <v>1</v>
      </c>
      <c r="E1186" t="s">
        <v>10</v>
      </c>
      <c r="F1186">
        <v>14687</v>
      </c>
    </row>
    <row r="1187" spans="1:6" x14ac:dyDescent="0.25">
      <c r="A1187" t="s">
        <v>2209</v>
      </c>
      <c r="B1187" t="s">
        <v>2210</v>
      </c>
      <c r="C1187" s="1">
        <v>44083</v>
      </c>
      <c r="D1187" t="b">
        <v>1</v>
      </c>
      <c r="E1187" t="s">
        <v>10</v>
      </c>
      <c r="F1187">
        <v>967</v>
      </c>
    </row>
    <row r="1188" spans="1:6" x14ac:dyDescent="0.25">
      <c r="A1188" t="s">
        <v>2211</v>
      </c>
      <c r="B1188" t="s">
        <v>2212</v>
      </c>
      <c r="C1188" s="1">
        <v>44083</v>
      </c>
      <c r="D1188" t="b">
        <v>1</v>
      </c>
      <c r="E1188" t="s">
        <v>10</v>
      </c>
      <c r="F1188">
        <v>9892</v>
      </c>
    </row>
    <row r="1189" spans="1:6" x14ac:dyDescent="0.25">
      <c r="A1189" t="s">
        <v>2213</v>
      </c>
      <c r="B1189" t="s">
        <v>2214</v>
      </c>
      <c r="C1189" s="1">
        <v>44083</v>
      </c>
      <c r="D1189" t="b">
        <v>1</v>
      </c>
      <c r="E1189" t="s">
        <v>10</v>
      </c>
      <c r="F1189">
        <v>10113</v>
      </c>
    </row>
    <row r="1190" spans="1:6" x14ac:dyDescent="0.25">
      <c r="A1190" t="s">
        <v>2215</v>
      </c>
      <c r="B1190" t="s">
        <v>2216</v>
      </c>
      <c r="C1190" s="1">
        <v>44083</v>
      </c>
      <c r="D1190" t="b">
        <v>1</v>
      </c>
      <c r="E1190" t="s">
        <v>10</v>
      </c>
      <c r="F1190">
        <v>970</v>
      </c>
    </row>
    <row r="1191" spans="1:6" x14ac:dyDescent="0.25">
      <c r="A1191" t="s">
        <v>2217</v>
      </c>
      <c r="B1191" t="s">
        <v>2218</v>
      </c>
      <c r="C1191" s="1">
        <v>44083</v>
      </c>
      <c r="D1191" t="b">
        <v>1</v>
      </c>
      <c r="E1191" t="s">
        <v>10</v>
      </c>
      <c r="F1191">
        <v>15379</v>
      </c>
    </row>
    <row r="1192" spans="1:6" x14ac:dyDescent="0.25">
      <c r="A1192" t="s">
        <v>2219</v>
      </c>
      <c r="B1192" t="s">
        <v>2220</v>
      </c>
      <c r="C1192" s="1">
        <v>44083</v>
      </c>
      <c r="D1192" t="b">
        <v>1</v>
      </c>
      <c r="E1192" t="s">
        <v>10</v>
      </c>
      <c r="F1192">
        <v>14167</v>
      </c>
    </row>
    <row r="1193" spans="1:6" x14ac:dyDescent="0.25">
      <c r="A1193" t="s">
        <v>2221</v>
      </c>
      <c r="B1193" t="s">
        <v>2222</v>
      </c>
      <c r="C1193" s="1">
        <v>44083</v>
      </c>
      <c r="D1193" t="b">
        <v>1</v>
      </c>
      <c r="E1193" t="s">
        <v>10</v>
      </c>
      <c r="F1193">
        <v>972</v>
      </c>
    </row>
    <row r="1194" spans="1:6" x14ac:dyDescent="0.25">
      <c r="A1194" t="s">
        <v>2223</v>
      </c>
      <c r="B1194" t="s">
        <v>2224</v>
      </c>
      <c r="C1194" s="1">
        <v>44083</v>
      </c>
      <c r="D1194" t="b">
        <v>1</v>
      </c>
      <c r="E1194" t="s">
        <v>10</v>
      </c>
      <c r="F1194">
        <v>8635</v>
      </c>
    </row>
    <row r="1195" spans="1:6" x14ac:dyDescent="0.25">
      <c r="A1195" t="s">
        <v>2225</v>
      </c>
      <c r="B1195" t="s">
        <v>2226</v>
      </c>
      <c r="C1195" s="1">
        <v>44083</v>
      </c>
      <c r="D1195" t="b">
        <v>1</v>
      </c>
      <c r="E1195" t="s">
        <v>10</v>
      </c>
      <c r="F1195">
        <v>973</v>
      </c>
    </row>
    <row r="1196" spans="1:6" x14ac:dyDescent="0.25">
      <c r="A1196" t="s">
        <v>2227</v>
      </c>
      <c r="B1196" t="s">
        <v>2228</v>
      </c>
      <c r="C1196" s="1">
        <v>44083</v>
      </c>
      <c r="D1196" t="b">
        <v>1</v>
      </c>
      <c r="E1196" t="s">
        <v>10</v>
      </c>
      <c r="F1196">
        <v>976</v>
      </c>
    </row>
    <row r="1197" spans="1:6" x14ac:dyDescent="0.25">
      <c r="A1197" t="s">
        <v>2229</v>
      </c>
      <c r="B1197" t="s">
        <v>2230</v>
      </c>
      <c r="C1197" s="1">
        <v>44083</v>
      </c>
      <c r="D1197" t="b">
        <v>1</v>
      </c>
      <c r="E1197" t="s">
        <v>10</v>
      </c>
      <c r="F1197">
        <v>16301</v>
      </c>
    </row>
    <row r="1198" spans="1:6" x14ac:dyDescent="0.25">
      <c r="A1198" t="s">
        <v>2231</v>
      </c>
      <c r="B1198" t="s">
        <v>2232</v>
      </c>
      <c r="C1198" s="1">
        <v>44083</v>
      </c>
      <c r="D1198" t="b">
        <v>1</v>
      </c>
      <c r="E1198" t="s">
        <v>10</v>
      </c>
      <c r="F1198">
        <v>981</v>
      </c>
    </row>
    <row r="1199" spans="1:6" x14ac:dyDescent="0.25">
      <c r="A1199" t="s">
        <v>2233</v>
      </c>
      <c r="B1199" t="s">
        <v>2234</v>
      </c>
      <c r="C1199" s="1">
        <v>44083</v>
      </c>
      <c r="D1199" t="b">
        <v>1</v>
      </c>
      <c r="E1199" t="s">
        <v>10</v>
      </c>
      <c r="F1199">
        <v>971</v>
      </c>
    </row>
    <row r="1200" spans="1:6" x14ac:dyDescent="0.25">
      <c r="A1200" t="s">
        <v>2235</v>
      </c>
      <c r="B1200" t="s">
        <v>2236</v>
      </c>
      <c r="C1200" s="1">
        <v>44083</v>
      </c>
      <c r="D1200" t="b">
        <v>1</v>
      </c>
      <c r="E1200" t="s">
        <v>10</v>
      </c>
      <c r="F1200">
        <v>982</v>
      </c>
    </row>
    <row r="1201" spans="1:6" x14ac:dyDescent="0.25">
      <c r="A1201" t="s">
        <v>2237</v>
      </c>
      <c r="B1201" t="s">
        <v>2238</v>
      </c>
      <c r="C1201" s="1">
        <v>44083</v>
      </c>
      <c r="D1201" t="b">
        <v>1</v>
      </c>
      <c r="E1201" t="s">
        <v>10</v>
      </c>
      <c r="F1201">
        <v>983</v>
      </c>
    </row>
    <row r="1202" spans="1:6" x14ac:dyDescent="0.25">
      <c r="A1202" t="s">
        <v>2239</v>
      </c>
      <c r="B1202" t="s">
        <v>2240</v>
      </c>
      <c r="C1202" s="1">
        <v>44083</v>
      </c>
      <c r="D1202" t="b">
        <v>1</v>
      </c>
      <c r="E1202" t="s">
        <v>10</v>
      </c>
      <c r="F1202">
        <v>984</v>
      </c>
    </row>
    <row r="1203" spans="1:6" x14ac:dyDescent="0.25">
      <c r="A1203" t="s">
        <v>2241</v>
      </c>
      <c r="B1203" t="s">
        <v>2242</v>
      </c>
      <c r="C1203" s="1">
        <v>44083</v>
      </c>
      <c r="D1203" t="b">
        <v>1</v>
      </c>
      <c r="E1203" t="s">
        <v>10</v>
      </c>
      <c r="F1203">
        <v>13639</v>
      </c>
    </row>
    <row r="1204" spans="1:6" x14ac:dyDescent="0.25">
      <c r="A1204" t="s">
        <v>2243</v>
      </c>
      <c r="B1204" t="s">
        <v>2244</v>
      </c>
      <c r="C1204" s="1">
        <v>44083</v>
      </c>
      <c r="D1204" t="b">
        <v>1</v>
      </c>
      <c r="E1204" t="s">
        <v>10</v>
      </c>
      <c r="F1204">
        <v>987</v>
      </c>
    </row>
    <row r="1205" spans="1:6" x14ac:dyDescent="0.25">
      <c r="A1205" t="s">
        <v>2245</v>
      </c>
      <c r="B1205" t="s">
        <v>2246</v>
      </c>
      <c r="C1205" s="1">
        <v>44083</v>
      </c>
      <c r="D1205" t="b">
        <v>1</v>
      </c>
      <c r="E1205" t="s">
        <v>10</v>
      </c>
      <c r="F1205">
        <v>3832</v>
      </c>
    </row>
    <row r="1206" spans="1:6" x14ac:dyDescent="0.25">
      <c r="A1206" t="s">
        <v>2247</v>
      </c>
      <c r="B1206" t="s">
        <v>2248</v>
      </c>
      <c r="C1206" s="1">
        <v>44083</v>
      </c>
      <c r="D1206" t="b">
        <v>1</v>
      </c>
      <c r="E1206" t="s">
        <v>10</v>
      </c>
      <c r="F1206">
        <v>988</v>
      </c>
    </row>
    <row r="1207" spans="1:6" x14ac:dyDescent="0.25">
      <c r="A1207" t="s">
        <v>2249</v>
      </c>
      <c r="C1207" s="1">
        <v>44083</v>
      </c>
      <c r="D1207" t="b">
        <v>1</v>
      </c>
      <c r="E1207" t="s">
        <v>10</v>
      </c>
      <c r="F1207">
        <v>989</v>
      </c>
    </row>
    <row r="1208" spans="1:6" x14ac:dyDescent="0.25">
      <c r="A1208" t="s">
        <v>2250</v>
      </c>
      <c r="B1208" t="s">
        <v>2251</v>
      </c>
      <c r="C1208" s="1">
        <v>44083</v>
      </c>
      <c r="D1208" t="b">
        <v>1</v>
      </c>
      <c r="E1208" t="s">
        <v>10</v>
      </c>
      <c r="F1208">
        <v>16296</v>
      </c>
    </row>
    <row r="1209" spans="1:6" x14ac:dyDescent="0.25">
      <c r="A1209" t="s">
        <v>2252</v>
      </c>
      <c r="B1209" t="s">
        <v>2253</v>
      </c>
      <c r="C1209" s="1">
        <v>44083</v>
      </c>
      <c r="D1209" t="b">
        <v>1</v>
      </c>
      <c r="E1209" t="s">
        <v>10</v>
      </c>
      <c r="F1209">
        <v>13692</v>
      </c>
    </row>
    <row r="1210" spans="1:6" x14ac:dyDescent="0.25">
      <c r="A1210" t="s">
        <v>2254</v>
      </c>
      <c r="C1210" s="1">
        <v>44083</v>
      </c>
      <c r="D1210" t="b">
        <v>1</v>
      </c>
      <c r="E1210" t="s">
        <v>10</v>
      </c>
      <c r="F1210">
        <v>16328</v>
      </c>
    </row>
    <row r="1211" spans="1:6" x14ac:dyDescent="0.25">
      <c r="A1211" t="s">
        <v>2255</v>
      </c>
      <c r="B1211" t="s">
        <v>2256</v>
      </c>
      <c r="C1211" s="1">
        <v>44083</v>
      </c>
      <c r="D1211" t="b">
        <v>1</v>
      </c>
      <c r="E1211" t="s">
        <v>10</v>
      </c>
      <c r="F1211">
        <v>13042</v>
      </c>
    </row>
    <row r="1212" spans="1:6" x14ac:dyDescent="0.25">
      <c r="A1212" t="s">
        <v>2257</v>
      </c>
      <c r="B1212" t="s">
        <v>2258</v>
      </c>
      <c r="C1212" s="1">
        <v>44083</v>
      </c>
      <c r="D1212" t="b">
        <v>1</v>
      </c>
      <c r="E1212" t="s">
        <v>10</v>
      </c>
      <c r="F1212">
        <v>994</v>
      </c>
    </row>
    <row r="1213" spans="1:6" x14ac:dyDescent="0.25">
      <c r="A1213" t="s">
        <v>2259</v>
      </c>
      <c r="B1213" t="s">
        <v>2260</v>
      </c>
      <c r="C1213" s="1">
        <v>44083</v>
      </c>
      <c r="D1213" t="b">
        <v>1</v>
      </c>
      <c r="E1213" t="s">
        <v>10</v>
      </c>
      <c r="F1213">
        <v>995</v>
      </c>
    </row>
    <row r="1214" spans="1:6" x14ac:dyDescent="0.25">
      <c r="A1214" t="s">
        <v>2261</v>
      </c>
      <c r="B1214" t="s">
        <v>2262</v>
      </c>
      <c r="C1214" s="1">
        <v>44083</v>
      </c>
      <c r="D1214" t="b">
        <v>1</v>
      </c>
      <c r="E1214" t="s">
        <v>10</v>
      </c>
      <c r="F1214">
        <v>8557</v>
      </c>
    </row>
    <row r="1215" spans="1:6" x14ac:dyDescent="0.25">
      <c r="A1215" t="s">
        <v>2263</v>
      </c>
      <c r="B1215" t="s">
        <v>2264</v>
      </c>
      <c r="C1215" s="1">
        <v>44083</v>
      </c>
      <c r="D1215" t="b">
        <v>1</v>
      </c>
      <c r="E1215" t="s">
        <v>10</v>
      </c>
      <c r="F1215">
        <v>997</v>
      </c>
    </row>
    <row r="1216" spans="1:6" x14ac:dyDescent="0.25">
      <c r="A1216" t="s">
        <v>2265</v>
      </c>
      <c r="B1216" t="s">
        <v>2266</v>
      </c>
      <c r="C1216" s="1">
        <v>44083</v>
      </c>
      <c r="D1216" t="b">
        <v>1</v>
      </c>
      <c r="E1216" t="s">
        <v>10</v>
      </c>
      <c r="F1216">
        <v>15605</v>
      </c>
    </row>
    <row r="1217" spans="1:6" x14ac:dyDescent="0.25">
      <c r="A1217" t="s">
        <v>2267</v>
      </c>
      <c r="B1217" t="s">
        <v>2268</v>
      </c>
      <c r="C1217" s="1">
        <v>44083</v>
      </c>
      <c r="D1217" t="b">
        <v>1</v>
      </c>
      <c r="E1217" t="s">
        <v>10</v>
      </c>
      <c r="F1217">
        <v>12091</v>
      </c>
    </row>
    <row r="1218" spans="1:6" x14ac:dyDescent="0.25">
      <c r="A1218" t="s">
        <v>2269</v>
      </c>
      <c r="B1218" t="s">
        <v>2270</v>
      </c>
      <c r="C1218" s="1">
        <v>44083</v>
      </c>
      <c r="D1218" t="b">
        <v>1</v>
      </c>
      <c r="E1218" t="s">
        <v>10</v>
      </c>
      <c r="F1218">
        <v>1001</v>
      </c>
    </row>
    <row r="1219" spans="1:6" x14ac:dyDescent="0.25">
      <c r="A1219" t="s">
        <v>2271</v>
      </c>
      <c r="B1219" t="s">
        <v>2272</v>
      </c>
      <c r="C1219" s="1">
        <v>44083</v>
      </c>
      <c r="D1219" t="b">
        <v>1</v>
      </c>
      <c r="E1219" t="s">
        <v>10</v>
      </c>
      <c r="F1219">
        <v>1002</v>
      </c>
    </row>
    <row r="1220" spans="1:6" x14ac:dyDescent="0.25">
      <c r="A1220" t="s">
        <v>2273</v>
      </c>
      <c r="B1220" t="s">
        <v>2274</v>
      </c>
      <c r="C1220" s="1">
        <v>44083</v>
      </c>
      <c r="D1220" t="b">
        <v>1</v>
      </c>
      <c r="E1220" t="s">
        <v>10</v>
      </c>
      <c r="F1220">
        <v>1003</v>
      </c>
    </row>
    <row r="1221" spans="1:6" x14ac:dyDescent="0.25">
      <c r="A1221" t="s">
        <v>2275</v>
      </c>
      <c r="B1221" t="s">
        <v>2276</v>
      </c>
      <c r="C1221" s="1">
        <v>44083</v>
      </c>
      <c r="D1221" t="b">
        <v>1</v>
      </c>
      <c r="E1221" t="s">
        <v>10</v>
      </c>
      <c r="F1221">
        <v>9967</v>
      </c>
    </row>
    <row r="1222" spans="1:6" x14ac:dyDescent="0.25">
      <c r="A1222" t="s">
        <v>2277</v>
      </c>
      <c r="B1222" t="s">
        <v>2278</v>
      </c>
      <c r="C1222" s="1">
        <v>44083</v>
      </c>
      <c r="D1222" t="b">
        <v>1</v>
      </c>
      <c r="E1222" t="s">
        <v>10</v>
      </c>
      <c r="F1222">
        <v>1006</v>
      </c>
    </row>
    <row r="1223" spans="1:6" x14ac:dyDescent="0.25">
      <c r="A1223" t="s">
        <v>2279</v>
      </c>
      <c r="C1223" s="1">
        <v>44083</v>
      </c>
      <c r="D1223" t="b">
        <v>1</v>
      </c>
      <c r="E1223" t="s">
        <v>10</v>
      </c>
      <c r="F1223">
        <v>7804</v>
      </c>
    </row>
    <row r="1224" spans="1:6" x14ac:dyDescent="0.25">
      <c r="A1224" t="s">
        <v>2280</v>
      </c>
      <c r="C1224" s="1">
        <v>44083</v>
      </c>
      <c r="D1224" t="b">
        <v>1</v>
      </c>
      <c r="E1224" t="s">
        <v>10</v>
      </c>
      <c r="F1224">
        <v>8087</v>
      </c>
    </row>
    <row r="1225" spans="1:6" x14ac:dyDescent="0.25">
      <c r="A1225" t="s">
        <v>2281</v>
      </c>
      <c r="C1225" s="1">
        <v>44083</v>
      </c>
      <c r="D1225" t="b">
        <v>1</v>
      </c>
      <c r="E1225" t="s">
        <v>10</v>
      </c>
      <c r="F1225">
        <v>1009</v>
      </c>
    </row>
    <row r="1226" spans="1:6" x14ac:dyDescent="0.25">
      <c r="A1226" t="s">
        <v>2282</v>
      </c>
      <c r="C1226" s="1">
        <v>44083</v>
      </c>
      <c r="D1226" t="b">
        <v>1</v>
      </c>
      <c r="E1226" t="s">
        <v>10</v>
      </c>
      <c r="F1226">
        <v>11064</v>
      </c>
    </row>
    <row r="1227" spans="1:6" x14ac:dyDescent="0.25">
      <c r="A1227" t="s">
        <v>2283</v>
      </c>
      <c r="B1227" t="s">
        <v>2284</v>
      </c>
      <c r="C1227" s="1">
        <v>44083</v>
      </c>
      <c r="D1227" t="b">
        <v>1</v>
      </c>
      <c r="E1227" t="s">
        <v>10</v>
      </c>
      <c r="F1227">
        <v>13878</v>
      </c>
    </row>
    <row r="1228" spans="1:6" x14ac:dyDescent="0.25">
      <c r="A1228" t="s">
        <v>2285</v>
      </c>
      <c r="B1228" t="s">
        <v>2286</v>
      </c>
      <c r="C1228" s="1">
        <v>44083</v>
      </c>
      <c r="D1228" t="b">
        <v>1</v>
      </c>
      <c r="E1228" t="s">
        <v>10</v>
      </c>
      <c r="F1228">
        <v>1015</v>
      </c>
    </row>
    <row r="1229" spans="1:6" x14ac:dyDescent="0.25">
      <c r="A1229" t="s">
        <v>2287</v>
      </c>
      <c r="B1229" t="s">
        <v>2288</v>
      </c>
      <c r="C1229" s="1">
        <v>44083</v>
      </c>
      <c r="D1229" t="b">
        <v>1</v>
      </c>
      <c r="E1229" t="s">
        <v>10</v>
      </c>
      <c r="F1229">
        <v>16135</v>
      </c>
    </row>
    <row r="1230" spans="1:6" x14ac:dyDescent="0.25">
      <c r="A1230" t="s">
        <v>2289</v>
      </c>
      <c r="B1230" t="s">
        <v>2290</v>
      </c>
      <c r="C1230" s="1">
        <v>44083</v>
      </c>
      <c r="D1230" t="b">
        <v>1</v>
      </c>
      <c r="E1230" t="s">
        <v>10</v>
      </c>
      <c r="F1230">
        <v>10081</v>
      </c>
    </row>
    <row r="1231" spans="1:6" x14ac:dyDescent="0.25">
      <c r="A1231" t="s">
        <v>2291</v>
      </c>
      <c r="B1231" t="s">
        <v>2292</v>
      </c>
      <c r="C1231" s="1">
        <v>44083</v>
      </c>
      <c r="D1231" t="b">
        <v>1</v>
      </c>
      <c r="E1231" t="s">
        <v>10</v>
      </c>
      <c r="F1231">
        <v>1017</v>
      </c>
    </row>
    <row r="1232" spans="1:6" x14ac:dyDescent="0.25">
      <c r="A1232" t="s">
        <v>2293</v>
      </c>
      <c r="B1232" t="s">
        <v>2294</v>
      </c>
      <c r="C1232" s="1">
        <v>44083</v>
      </c>
      <c r="D1232" t="b">
        <v>1</v>
      </c>
      <c r="E1232" t="s">
        <v>10</v>
      </c>
      <c r="F1232">
        <v>1019</v>
      </c>
    </row>
    <row r="1233" spans="1:6" x14ac:dyDescent="0.25">
      <c r="A1233" t="s">
        <v>2295</v>
      </c>
      <c r="B1233" t="s">
        <v>2296</v>
      </c>
      <c r="C1233" s="1">
        <v>44083</v>
      </c>
      <c r="D1233" t="b">
        <v>1</v>
      </c>
      <c r="E1233" t="s">
        <v>10</v>
      </c>
      <c r="F1233">
        <v>12863</v>
      </c>
    </row>
    <row r="1234" spans="1:6" x14ac:dyDescent="0.25">
      <c r="A1234" t="s">
        <v>2297</v>
      </c>
      <c r="B1234" t="s">
        <v>2298</v>
      </c>
      <c r="C1234" s="1">
        <v>44083</v>
      </c>
      <c r="D1234" t="b">
        <v>1</v>
      </c>
      <c r="E1234" t="s">
        <v>10</v>
      </c>
      <c r="F1234">
        <v>1023</v>
      </c>
    </row>
    <row r="1235" spans="1:6" x14ac:dyDescent="0.25">
      <c r="A1235" t="s">
        <v>2299</v>
      </c>
      <c r="B1235" t="s">
        <v>2300</v>
      </c>
      <c r="C1235" s="1">
        <v>44083</v>
      </c>
      <c r="D1235" t="b">
        <v>1</v>
      </c>
      <c r="E1235" t="s">
        <v>10</v>
      </c>
      <c r="F1235">
        <v>12777</v>
      </c>
    </row>
    <row r="1236" spans="1:6" x14ac:dyDescent="0.25">
      <c r="A1236" t="s">
        <v>2301</v>
      </c>
      <c r="B1236" t="s">
        <v>2302</v>
      </c>
      <c r="C1236" s="1">
        <v>44083</v>
      </c>
      <c r="D1236" t="b">
        <v>1</v>
      </c>
      <c r="E1236" t="s">
        <v>10</v>
      </c>
      <c r="F1236">
        <v>1027</v>
      </c>
    </row>
    <row r="1237" spans="1:6" x14ac:dyDescent="0.25">
      <c r="A1237" t="s">
        <v>2303</v>
      </c>
      <c r="B1237" t="s">
        <v>2304</v>
      </c>
      <c r="C1237" s="1">
        <v>44083</v>
      </c>
      <c r="D1237" t="b">
        <v>1</v>
      </c>
      <c r="E1237" t="s">
        <v>10</v>
      </c>
      <c r="F1237">
        <v>1028</v>
      </c>
    </row>
    <row r="1238" spans="1:6" x14ac:dyDescent="0.25">
      <c r="A1238" t="s">
        <v>2305</v>
      </c>
      <c r="B1238" t="s">
        <v>2306</v>
      </c>
      <c r="C1238" s="1">
        <v>44083</v>
      </c>
      <c r="D1238" t="b">
        <v>1</v>
      </c>
      <c r="E1238" t="s">
        <v>10</v>
      </c>
      <c r="F1238">
        <v>1031</v>
      </c>
    </row>
    <row r="1239" spans="1:6" x14ac:dyDescent="0.25">
      <c r="A1239" t="s">
        <v>2307</v>
      </c>
      <c r="B1239" t="s">
        <v>2308</v>
      </c>
      <c r="C1239" s="1">
        <v>44083</v>
      </c>
      <c r="D1239" t="b">
        <v>1</v>
      </c>
      <c r="E1239" t="s">
        <v>10</v>
      </c>
      <c r="F1239">
        <v>1032</v>
      </c>
    </row>
    <row r="1240" spans="1:6" x14ac:dyDescent="0.25">
      <c r="A1240" t="s">
        <v>2309</v>
      </c>
      <c r="B1240" t="s">
        <v>2310</v>
      </c>
      <c r="C1240" s="1">
        <v>44083</v>
      </c>
      <c r="D1240" t="b">
        <v>1</v>
      </c>
      <c r="E1240" t="s">
        <v>10</v>
      </c>
      <c r="F1240">
        <v>1046</v>
      </c>
    </row>
    <row r="1241" spans="1:6" x14ac:dyDescent="0.25">
      <c r="A1241" t="s">
        <v>2311</v>
      </c>
      <c r="C1241" s="1">
        <v>44083</v>
      </c>
      <c r="D1241" t="b">
        <v>1</v>
      </c>
      <c r="E1241" t="s">
        <v>10</v>
      </c>
      <c r="F1241">
        <v>14349</v>
      </c>
    </row>
    <row r="1242" spans="1:6" x14ac:dyDescent="0.25">
      <c r="A1242" t="s">
        <v>2312</v>
      </c>
      <c r="C1242" s="1">
        <v>44083</v>
      </c>
      <c r="D1242" t="b">
        <v>1</v>
      </c>
      <c r="E1242" t="s">
        <v>10</v>
      </c>
      <c r="F1242">
        <v>14934</v>
      </c>
    </row>
    <row r="1243" spans="1:6" x14ac:dyDescent="0.25">
      <c r="A1243" t="s">
        <v>2313</v>
      </c>
      <c r="B1243" t="s">
        <v>2314</v>
      </c>
      <c r="C1243" s="1">
        <v>44083</v>
      </c>
      <c r="D1243" t="b">
        <v>1</v>
      </c>
      <c r="E1243" t="s">
        <v>10</v>
      </c>
      <c r="F1243">
        <v>1034</v>
      </c>
    </row>
    <row r="1244" spans="1:6" x14ac:dyDescent="0.25">
      <c r="A1244" t="s">
        <v>2315</v>
      </c>
      <c r="B1244" t="s">
        <v>2316</v>
      </c>
      <c r="C1244" s="1">
        <v>44083</v>
      </c>
      <c r="D1244" t="b">
        <v>1</v>
      </c>
      <c r="E1244" t="s">
        <v>10</v>
      </c>
      <c r="F1244">
        <v>1036</v>
      </c>
    </row>
    <row r="1245" spans="1:6" x14ac:dyDescent="0.25">
      <c r="A1245" t="s">
        <v>2317</v>
      </c>
      <c r="B1245" t="s">
        <v>2318</v>
      </c>
      <c r="C1245" s="1">
        <v>44083</v>
      </c>
      <c r="D1245" t="b">
        <v>1</v>
      </c>
      <c r="E1245" t="s">
        <v>10</v>
      </c>
      <c r="F1245">
        <v>979</v>
      </c>
    </row>
    <row r="1246" spans="1:6" x14ac:dyDescent="0.25">
      <c r="A1246" t="s">
        <v>2319</v>
      </c>
      <c r="B1246" t="s">
        <v>2320</v>
      </c>
      <c r="C1246" s="1">
        <v>44083</v>
      </c>
      <c r="D1246" t="b">
        <v>1</v>
      </c>
      <c r="E1246" t="s">
        <v>10</v>
      </c>
      <c r="F1246">
        <v>9201</v>
      </c>
    </row>
    <row r="1247" spans="1:6" x14ac:dyDescent="0.25">
      <c r="A1247" t="s">
        <v>2321</v>
      </c>
      <c r="B1247" t="s">
        <v>2322</v>
      </c>
      <c r="C1247" s="1">
        <v>44083</v>
      </c>
      <c r="D1247" t="b">
        <v>1</v>
      </c>
      <c r="E1247" t="s">
        <v>10</v>
      </c>
      <c r="F1247">
        <v>16634</v>
      </c>
    </row>
    <row r="1248" spans="1:6" x14ac:dyDescent="0.25">
      <c r="A1248" t="s">
        <v>2323</v>
      </c>
      <c r="B1248" t="s">
        <v>2324</v>
      </c>
      <c r="C1248" s="1">
        <v>44083</v>
      </c>
      <c r="D1248" t="b">
        <v>1</v>
      </c>
      <c r="E1248" t="s">
        <v>10</v>
      </c>
      <c r="F1248">
        <v>13025</v>
      </c>
    </row>
    <row r="1249" spans="1:6" x14ac:dyDescent="0.25">
      <c r="A1249" t="s">
        <v>2325</v>
      </c>
      <c r="B1249" t="s">
        <v>2326</v>
      </c>
      <c r="C1249" s="1">
        <v>44083</v>
      </c>
      <c r="D1249" t="b">
        <v>1</v>
      </c>
      <c r="E1249" t="s">
        <v>10</v>
      </c>
      <c r="F1249">
        <v>1040</v>
      </c>
    </row>
    <row r="1250" spans="1:6" x14ac:dyDescent="0.25">
      <c r="A1250" t="s">
        <v>2327</v>
      </c>
      <c r="B1250" t="s">
        <v>2328</v>
      </c>
      <c r="C1250" s="1">
        <v>44083</v>
      </c>
      <c r="D1250" t="b">
        <v>1</v>
      </c>
      <c r="E1250" t="s">
        <v>10</v>
      </c>
      <c r="F1250">
        <v>16736</v>
      </c>
    </row>
    <row r="1251" spans="1:6" x14ac:dyDescent="0.25">
      <c r="A1251" t="s">
        <v>2329</v>
      </c>
      <c r="B1251" t="s">
        <v>2330</v>
      </c>
      <c r="C1251" s="1">
        <v>44083</v>
      </c>
      <c r="D1251" t="b">
        <v>1</v>
      </c>
      <c r="E1251" t="s">
        <v>10</v>
      </c>
      <c r="F1251">
        <v>1041</v>
      </c>
    </row>
    <row r="1252" spans="1:6" x14ac:dyDescent="0.25">
      <c r="A1252" t="s">
        <v>2331</v>
      </c>
      <c r="B1252" t="s">
        <v>2332</v>
      </c>
      <c r="C1252" s="1">
        <v>44083</v>
      </c>
      <c r="D1252" t="b">
        <v>1</v>
      </c>
      <c r="E1252" t="s">
        <v>10</v>
      </c>
      <c r="F1252">
        <v>1043</v>
      </c>
    </row>
    <row r="1253" spans="1:6" x14ac:dyDescent="0.25">
      <c r="A1253" t="s">
        <v>2333</v>
      </c>
      <c r="B1253" t="s">
        <v>2334</v>
      </c>
      <c r="C1253" s="1">
        <v>44083</v>
      </c>
      <c r="D1253" t="b">
        <v>1</v>
      </c>
      <c r="E1253" t="s">
        <v>10</v>
      </c>
      <c r="F1253">
        <v>1044</v>
      </c>
    </row>
    <row r="1254" spans="1:6" x14ac:dyDescent="0.25">
      <c r="A1254" t="s">
        <v>2335</v>
      </c>
      <c r="B1254" t="s">
        <v>2336</v>
      </c>
      <c r="C1254" s="1">
        <v>44083</v>
      </c>
      <c r="D1254" t="b">
        <v>1</v>
      </c>
      <c r="E1254" t="s">
        <v>10</v>
      </c>
      <c r="F1254">
        <v>16231</v>
      </c>
    </row>
    <row r="1255" spans="1:6" x14ac:dyDescent="0.25">
      <c r="A1255" t="s">
        <v>2337</v>
      </c>
      <c r="B1255" t="s">
        <v>2338</v>
      </c>
      <c r="C1255" s="1">
        <v>44083</v>
      </c>
      <c r="D1255" t="b">
        <v>1</v>
      </c>
      <c r="E1255" t="s">
        <v>10</v>
      </c>
      <c r="F1255">
        <v>1045</v>
      </c>
    </row>
    <row r="1256" spans="1:6" x14ac:dyDescent="0.25">
      <c r="A1256" t="s">
        <v>2339</v>
      </c>
      <c r="B1256" t="s">
        <v>2340</v>
      </c>
      <c r="C1256" s="1">
        <v>44083</v>
      </c>
      <c r="D1256" t="b">
        <v>1</v>
      </c>
      <c r="E1256" t="s">
        <v>10</v>
      </c>
      <c r="F1256">
        <v>8124</v>
      </c>
    </row>
    <row r="1257" spans="1:6" x14ac:dyDescent="0.25">
      <c r="A1257" t="s">
        <v>2341</v>
      </c>
      <c r="B1257" t="s">
        <v>2342</v>
      </c>
      <c r="C1257" s="1">
        <v>44083</v>
      </c>
      <c r="D1257" t="b">
        <v>1</v>
      </c>
      <c r="E1257" t="s">
        <v>10</v>
      </c>
      <c r="F1257">
        <v>14764</v>
      </c>
    </row>
    <row r="1258" spans="1:6" x14ac:dyDescent="0.25">
      <c r="A1258" t="s">
        <v>2343</v>
      </c>
      <c r="B1258" t="s">
        <v>2344</v>
      </c>
      <c r="C1258" s="1">
        <v>44083</v>
      </c>
      <c r="D1258" t="b">
        <v>1</v>
      </c>
      <c r="E1258" t="s">
        <v>10</v>
      </c>
      <c r="F1258">
        <v>17048</v>
      </c>
    </row>
    <row r="1259" spans="1:6" x14ac:dyDescent="0.25">
      <c r="A1259" t="s">
        <v>2345</v>
      </c>
      <c r="B1259" t="s">
        <v>2346</v>
      </c>
      <c r="C1259" s="1">
        <v>44083</v>
      </c>
      <c r="D1259" t="b">
        <v>1</v>
      </c>
      <c r="E1259" t="s">
        <v>10</v>
      </c>
      <c r="F1259">
        <v>1047</v>
      </c>
    </row>
    <row r="1260" spans="1:6" x14ac:dyDescent="0.25">
      <c r="A1260" t="s">
        <v>2347</v>
      </c>
      <c r="B1260" t="s">
        <v>2348</v>
      </c>
      <c r="C1260" s="1">
        <v>44083</v>
      </c>
      <c r="D1260" t="b">
        <v>1</v>
      </c>
      <c r="E1260" t="s">
        <v>10</v>
      </c>
      <c r="F1260">
        <v>4076</v>
      </c>
    </row>
    <row r="1261" spans="1:6" x14ac:dyDescent="0.25">
      <c r="A1261" t="s">
        <v>2349</v>
      </c>
      <c r="B1261" t="s">
        <v>2350</v>
      </c>
      <c r="C1261" s="1">
        <v>44083</v>
      </c>
      <c r="D1261" t="b">
        <v>1</v>
      </c>
      <c r="E1261" t="s">
        <v>10</v>
      </c>
      <c r="F1261">
        <v>9802</v>
      </c>
    </row>
    <row r="1262" spans="1:6" x14ac:dyDescent="0.25">
      <c r="A1262" t="s">
        <v>2351</v>
      </c>
      <c r="B1262" t="s">
        <v>2352</v>
      </c>
      <c r="C1262" s="1">
        <v>44083</v>
      </c>
      <c r="D1262" t="b">
        <v>1</v>
      </c>
      <c r="E1262" t="s">
        <v>10</v>
      </c>
      <c r="F1262">
        <v>1048</v>
      </c>
    </row>
    <row r="1263" spans="1:6" x14ac:dyDescent="0.25">
      <c r="A1263" t="s">
        <v>2353</v>
      </c>
      <c r="B1263" t="s">
        <v>2354</v>
      </c>
      <c r="C1263" s="1">
        <v>44083</v>
      </c>
      <c r="D1263" t="b">
        <v>1</v>
      </c>
      <c r="E1263" t="s">
        <v>10</v>
      </c>
      <c r="F1263">
        <v>8209</v>
      </c>
    </row>
    <row r="1264" spans="1:6" x14ac:dyDescent="0.25">
      <c r="A1264" t="s">
        <v>2355</v>
      </c>
      <c r="B1264" t="s">
        <v>2356</v>
      </c>
      <c r="C1264" s="1">
        <v>44083</v>
      </c>
      <c r="D1264" t="b">
        <v>1</v>
      </c>
      <c r="E1264" t="s">
        <v>10</v>
      </c>
      <c r="F1264">
        <v>15554</v>
      </c>
    </row>
    <row r="1265" spans="1:6" x14ac:dyDescent="0.25">
      <c r="A1265" t="s">
        <v>2357</v>
      </c>
      <c r="B1265" t="s">
        <v>2358</v>
      </c>
      <c r="C1265" s="1">
        <v>44083</v>
      </c>
      <c r="D1265" t="b">
        <v>1</v>
      </c>
      <c r="E1265" t="s">
        <v>10</v>
      </c>
      <c r="F1265">
        <v>13407</v>
      </c>
    </row>
    <row r="1266" spans="1:6" x14ac:dyDescent="0.25">
      <c r="A1266" t="s">
        <v>2359</v>
      </c>
      <c r="B1266" t="s">
        <v>2360</v>
      </c>
      <c r="C1266" s="1">
        <v>44083</v>
      </c>
      <c r="D1266" t="b">
        <v>1</v>
      </c>
      <c r="E1266" t="s">
        <v>10</v>
      </c>
      <c r="F1266">
        <v>16625</v>
      </c>
    </row>
    <row r="1267" spans="1:6" x14ac:dyDescent="0.25">
      <c r="A1267" t="s">
        <v>2361</v>
      </c>
      <c r="B1267" t="s">
        <v>2362</v>
      </c>
      <c r="C1267" s="1">
        <v>44083</v>
      </c>
      <c r="D1267" t="b">
        <v>1</v>
      </c>
      <c r="E1267" t="s">
        <v>10</v>
      </c>
      <c r="F1267">
        <v>12936</v>
      </c>
    </row>
    <row r="1268" spans="1:6" x14ac:dyDescent="0.25">
      <c r="A1268" t="s">
        <v>2363</v>
      </c>
      <c r="B1268" t="s">
        <v>2364</v>
      </c>
      <c r="C1268" s="1">
        <v>44083</v>
      </c>
      <c r="D1268" t="b">
        <v>1</v>
      </c>
      <c r="E1268" t="s">
        <v>10</v>
      </c>
      <c r="F1268">
        <v>1052</v>
      </c>
    </row>
    <row r="1269" spans="1:6" x14ac:dyDescent="0.25">
      <c r="A1269" t="s">
        <v>2365</v>
      </c>
      <c r="B1269" t="s">
        <v>2366</v>
      </c>
      <c r="C1269" s="1">
        <v>44083</v>
      </c>
      <c r="D1269" t="b">
        <v>1</v>
      </c>
      <c r="E1269" t="s">
        <v>10</v>
      </c>
      <c r="F1269">
        <v>1053</v>
      </c>
    </row>
    <row r="1270" spans="1:6" x14ac:dyDescent="0.25">
      <c r="A1270" t="s">
        <v>2367</v>
      </c>
      <c r="B1270" t="s">
        <v>2368</v>
      </c>
      <c r="C1270" s="1">
        <v>44083</v>
      </c>
      <c r="D1270" t="b">
        <v>1</v>
      </c>
      <c r="E1270" t="s">
        <v>10</v>
      </c>
      <c r="F1270">
        <v>13811</v>
      </c>
    </row>
    <row r="1271" spans="1:6" x14ac:dyDescent="0.25">
      <c r="A1271" t="s">
        <v>2369</v>
      </c>
      <c r="B1271" t="s">
        <v>2370</v>
      </c>
      <c r="C1271" s="1">
        <v>44083</v>
      </c>
      <c r="D1271" t="b">
        <v>1</v>
      </c>
      <c r="E1271" t="s">
        <v>10</v>
      </c>
      <c r="F1271">
        <v>1055</v>
      </c>
    </row>
    <row r="1272" spans="1:6" x14ac:dyDescent="0.25">
      <c r="A1272" t="s">
        <v>2371</v>
      </c>
      <c r="B1272" t="s">
        <v>2372</v>
      </c>
      <c r="C1272" s="1">
        <v>44083</v>
      </c>
      <c r="D1272" t="b">
        <v>1</v>
      </c>
      <c r="E1272" t="s">
        <v>10</v>
      </c>
      <c r="F1272">
        <v>2170</v>
      </c>
    </row>
    <row r="1273" spans="1:6" x14ac:dyDescent="0.25">
      <c r="A1273" t="s">
        <v>2373</v>
      </c>
      <c r="B1273" t="s">
        <v>2374</v>
      </c>
      <c r="C1273" s="1">
        <v>44083</v>
      </c>
      <c r="D1273" t="b">
        <v>1</v>
      </c>
      <c r="E1273" t="s">
        <v>10</v>
      </c>
      <c r="F1273">
        <v>1057</v>
      </c>
    </row>
    <row r="1274" spans="1:6" x14ac:dyDescent="0.25">
      <c r="A1274" t="s">
        <v>2375</v>
      </c>
      <c r="B1274" t="s">
        <v>2376</v>
      </c>
      <c r="C1274" s="1">
        <v>44083</v>
      </c>
      <c r="D1274" t="b">
        <v>1</v>
      </c>
      <c r="E1274" t="s">
        <v>10</v>
      </c>
      <c r="F1274">
        <v>1058</v>
      </c>
    </row>
    <row r="1275" spans="1:6" x14ac:dyDescent="0.25">
      <c r="A1275" t="s">
        <v>2377</v>
      </c>
      <c r="B1275" t="s">
        <v>2378</v>
      </c>
      <c r="C1275" s="1">
        <v>44083</v>
      </c>
      <c r="D1275" t="b">
        <v>1</v>
      </c>
      <c r="E1275" t="s">
        <v>10</v>
      </c>
      <c r="F1275">
        <v>1059</v>
      </c>
    </row>
    <row r="1276" spans="1:6" x14ac:dyDescent="0.25">
      <c r="A1276" t="s">
        <v>2379</v>
      </c>
      <c r="B1276" t="s">
        <v>2380</v>
      </c>
      <c r="C1276" s="1">
        <v>44083</v>
      </c>
      <c r="D1276" t="b">
        <v>1</v>
      </c>
      <c r="E1276" t="s">
        <v>10</v>
      </c>
      <c r="F1276">
        <v>10077</v>
      </c>
    </row>
    <row r="1277" spans="1:6" x14ac:dyDescent="0.25">
      <c r="A1277" t="s">
        <v>2381</v>
      </c>
      <c r="B1277" t="s">
        <v>2382</v>
      </c>
      <c r="C1277" s="1">
        <v>44083</v>
      </c>
      <c r="D1277" t="b">
        <v>1</v>
      </c>
      <c r="E1277" t="s">
        <v>10</v>
      </c>
      <c r="F1277">
        <v>13604</v>
      </c>
    </row>
    <row r="1278" spans="1:6" x14ac:dyDescent="0.25">
      <c r="A1278" t="s">
        <v>2383</v>
      </c>
      <c r="B1278" t="s">
        <v>2384</v>
      </c>
      <c r="C1278" s="1">
        <v>44083</v>
      </c>
      <c r="D1278" t="b">
        <v>1</v>
      </c>
      <c r="E1278" t="s">
        <v>10</v>
      </c>
      <c r="F1278">
        <v>11246</v>
      </c>
    </row>
    <row r="1279" spans="1:6" x14ac:dyDescent="0.25">
      <c r="A1279" t="s">
        <v>2385</v>
      </c>
      <c r="B1279" t="s">
        <v>2386</v>
      </c>
      <c r="C1279" s="1">
        <v>44083</v>
      </c>
      <c r="D1279" t="b">
        <v>1</v>
      </c>
      <c r="E1279" t="s">
        <v>10</v>
      </c>
      <c r="F1279">
        <v>11571</v>
      </c>
    </row>
    <row r="1280" spans="1:6" x14ac:dyDescent="0.25">
      <c r="A1280" t="s">
        <v>2387</v>
      </c>
      <c r="B1280" t="s">
        <v>2388</v>
      </c>
      <c r="C1280" s="1">
        <v>44083</v>
      </c>
      <c r="D1280" t="b">
        <v>1</v>
      </c>
      <c r="E1280" t="s">
        <v>10</v>
      </c>
      <c r="F1280">
        <v>1061</v>
      </c>
    </row>
    <row r="1281" spans="1:6" x14ac:dyDescent="0.25">
      <c r="A1281" t="s">
        <v>2389</v>
      </c>
      <c r="B1281" t="s">
        <v>2390</v>
      </c>
      <c r="C1281" s="1">
        <v>44083</v>
      </c>
      <c r="D1281" t="b">
        <v>1</v>
      </c>
      <c r="E1281" t="s">
        <v>10</v>
      </c>
      <c r="F1281">
        <v>1062</v>
      </c>
    </row>
    <row r="1282" spans="1:6" x14ac:dyDescent="0.25">
      <c r="A1282" t="s">
        <v>2391</v>
      </c>
      <c r="B1282" t="s">
        <v>2392</v>
      </c>
      <c r="C1282" s="1">
        <v>44083</v>
      </c>
      <c r="D1282" t="b">
        <v>1</v>
      </c>
      <c r="E1282" t="s">
        <v>10</v>
      </c>
      <c r="F1282">
        <v>48</v>
      </c>
    </row>
    <row r="1283" spans="1:6" x14ac:dyDescent="0.25">
      <c r="A1283" t="s">
        <v>2393</v>
      </c>
      <c r="B1283" t="s">
        <v>2394</v>
      </c>
      <c r="C1283" s="1">
        <v>44083</v>
      </c>
      <c r="D1283" t="b">
        <v>1</v>
      </c>
      <c r="E1283" t="s">
        <v>10</v>
      </c>
      <c r="F1283">
        <v>1068</v>
      </c>
    </row>
    <row r="1284" spans="1:6" x14ac:dyDescent="0.25">
      <c r="A1284" t="s">
        <v>2395</v>
      </c>
      <c r="B1284" t="s">
        <v>2396</v>
      </c>
      <c r="C1284" s="1">
        <v>44083</v>
      </c>
      <c r="D1284" t="b">
        <v>1</v>
      </c>
      <c r="E1284" t="s">
        <v>10</v>
      </c>
      <c r="F1284">
        <v>1067</v>
      </c>
    </row>
    <row r="1285" spans="1:6" x14ac:dyDescent="0.25">
      <c r="A1285" t="s">
        <v>2397</v>
      </c>
      <c r="B1285" t="s">
        <v>2398</v>
      </c>
      <c r="C1285" s="1">
        <v>44083</v>
      </c>
      <c r="D1285" t="b">
        <v>1</v>
      </c>
      <c r="E1285" t="s">
        <v>10</v>
      </c>
      <c r="F1285">
        <v>8841</v>
      </c>
    </row>
    <row r="1286" spans="1:6" x14ac:dyDescent="0.25">
      <c r="A1286" t="s">
        <v>2399</v>
      </c>
      <c r="B1286" t="s">
        <v>2400</v>
      </c>
      <c r="C1286" s="1">
        <v>44083</v>
      </c>
      <c r="D1286" t="b">
        <v>1</v>
      </c>
      <c r="E1286" t="s">
        <v>10</v>
      </c>
      <c r="F1286">
        <v>1069</v>
      </c>
    </row>
    <row r="1287" spans="1:6" x14ac:dyDescent="0.25">
      <c r="A1287" t="s">
        <v>2401</v>
      </c>
      <c r="C1287" s="1">
        <v>44083</v>
      </c>
      <c r="D1287" t="b">
        <v>1</v>
      </c>
      <c r="E1287" t="s">
        <v>10</v>
      </c>
      <c r="F1287">
        <v>1070</v>
      </c>
    </row>
    <row r="1288" spans="1:6" x14ac:dyDescent="0.25">
      <c r="A1288" t="s">
        <v>2402</v>
      </c>
      <c r="B1288" t="s">
        <v>2403</v>
      </c>
      <c r="C1288" s="1">
        <v>44083</v>
      </c>
      <c r="D1288" t="b">
        <v>1</v>
      </c>
      <c r="E1288" t="s">
        <v>10</v>
      </c>
      <c r="F1288">
        <v>1071</v>
      </c>
    </row>
    <row r="1289" spans="1:6" x14ac:dyDescent="0.25">
      <c r="A1289" t="s">
        <v>2404</v>
      </c>
      <c r="B1289" t="s">
        <v>2405</v>
      </c>
      <c r="C1289" s="1">
        <v>44083</v>
      </c>
      <c r="D1289" t="b">
        <v>1</v>
      </c>
      <c r="E1289" t="s">
        <v>10</v>
      </c>
      <c r="F1289">
        <v>9461</v>
      </c>
    </row>
    <row r="1290" spans="1:6" x14ac:dyDescent="0.25">
      <c r="A1290" t="s">
        <v>2406</v>
      </c>
      <c r="B1290" t="s">
        <v>2407</v>
      </c>
      <c r="C1290" s="1">
        <v>44083</v>
      </c>
      <c r="D1290" t="b">
        <v>1</v>
      </c>
      <c r="E1290" t="s">
        <v>10</v>
      </c>
      <c r="F1290">
        <v>13056</v>
      </c>
    </row>
    <row r="1291" spans="1:6" x14ac:dyDescent="0.25">
      <c r="A1291" t="s">
        <v>2408</v>
      </c>
      <c r="B1291" t="s">
        <v>2409</v>
      </c>
      <c r="C1291" s="1">
        <v>44083</v>
      </c>
      <c r="D1291" t="b">
        <v>1</v>
      </c>
      <c r="E1291" t="s">
        <v>10</v>
      </c>
      <c r="F1291">
        <v>6884</v>
      </c>
    </row>
    <row r="1292" spans="1:6" x14ac:dyDescent="0.25">
      <c r="A1292" t="s">
        <v>2410</v>
      </c>
      <c r="B1292" t="s">
        <v>2411</v>
      </c>
      <c r="C1292" s="1">
        <v>44083</v>
      </c>
      <c r="D1292" t="b">
        <v>1</v>
      </c>
      <c r="E1292" t="s">
        <v>10</v>
      </c>
      <c r="F1292">
        <v>1078</v>
      </c>
    </row>
    <row r="1293" spans="1:6" x14ac:dyDescent="0.25">
      <c r="A1293" t="s">
        <v>2412</v>
      </c>
      <c r="C1293" s="1">
        <v>44083</v>
      </c>
      <c r="D1293" t="b">
        <v>1</v>
      </c>
      <c r="E1293" t="s">
        <v>10</v>
      </c>
      <c r="F1293">
        <v>1079</v>
      </c>
    </row>
    <row r="1294" spans="1:6" x14ac:dyDescent="0.25">
      <c r="A1294" t="s">
        <v>2413</v>
      </c>
      <c r="C1294" s="1">
        <v>44083</v>
      </c>
      <c r="D1294" t="b">
        <v>1</v>
      </c>
      <c r="E1294" t="s">
        <v>10</v>
      </c>
      <c r="F1294">
        <v>1080</v>
      </c>
    </row>
    <row r="1295" spans="1:6" x14ac:dyDescent="0.25">
      <c r="A1295" t="s">
        <v>2414</v>
      </c>
      <c r="B1295" t="s">
        <v>2415</v>
      </c>
      <c r="C1295" s="1">
        <v>44083</v>
      </c>
      <c r="D1295" t="b">
        <v>1</v>
      </c>
      <c r="E1295" t="s">
        <v>10</v>
      </c>
      <c r="F1295">
        <v>1081</v>
      </c>
    </row>
    <row r="1296" spans="1:6" x14ac:dyDescent="0.25">
      <c r="A1296" t="s">
        <v>2416</v>
      </c>
      <c r="B1296" t="s">
        <v>2417</v>
      </c>
      <c r="C1296" s="1">
        <v>44083</v>
      </c>
      <c r="D1296" t="b">
        <v>1</v>
      </c>
      <c r="E1296" t="s">
        <v>10</v>
      </c>
      <c r="F1296">
        <v>15077</v>
      </c>
    </row>
    <row r="1297" spans="1:6" x14ac:dyDescent="0.25">
      <c r="A1297" t="s">
        <v>2418</v>
      </c>
      <c r="B1297" t="s">
        <v>2419</v>
      </c>
      <c r="C1297" s="1">
        <v>44083</v>
      </c>
      <c r="D1297" t="b">
        <v>1</v>
      </c>
      <c r="E1297" t="s">
        <v>10</v>
      </c>
      <c r="F1297">
        <v>8842</v>
      </c>
    </row>
    <row r="1298" spans="1:6" x14ac:dyDescent="0.25">
      <c r="A1298" t="s">
        <v>2420</v>
      </c>
      <c r="B1298" t="s">
        <v>2421</v>
      </c>
      <c r="C1298" s="1">
        <v>44083</v>
      </c>
      <c r="D1298" t="b">
        <v>1</v>
      </c>
      <c r="E1298" t="s">
        <v>10</v>
      </c>
      <c r="F1298">
        <v>14981</v>
      </c>
    </row>
    <row r="1299" spans="1:6" x14ac:dyDescent="0.25">
      <c r="A1299" t="s">
        <v>2422</v>
      </c>
      <c r="C1299" s="1">
        <v>44083</v>
      </c>
      <c r="D1299" t="b">
        <v>1</v>
      </c>
      <c r="E1299" t="s">
        <v>10</v>
      </c>
      <c r="F1299">
        <v>7897</v>
      </c>
    </row>
    <row r="1300" spans="1:6" x14ac:dyDescent="0.25">
      <c r="A1300" t="s">
        <v>2423</v>
      </c>
      <c r="B1300" t="s">
        <v>2424</v>
      </c>
      <c r="C1300" s="1">
        <v>44083</v>
      </c>
      <c r="D1300" t="b">
        <v>1</v>
      </c>
      <c r="E1300" t="s">
        <v>10</v>
      </c>
      <c r="F1300">
        <v>1087</v>
      </c>
    </row>
    <row r="1301" spans="1:6" x14ac:dyDescent="0.25">
      <c r="A1301" t="s">
        <v>2425</v>
      </c>
      <c r="B1301" t="s">
        <v>2426</v>
      </c>
      <c r="C1301" s="1">
        <v>44083</v>
      </c>
      <c r="D1301" t="b">
        <v>1</v>
      </c>
      <c r="E1301" t="s">
        <v>10</v>
      </c>
      <c r="F1301">
        <v>9482</v>
      </c>
    </row>
    <row r="1302" spans="1:6" x14ac:dyDescent="0.25">
      <c r="A1302" t="s">
        <v>2427</v>
      </c>
      <c r="B1302" t="s">
        <v>2428</v>
      </c>
      <c r="C1302" s="1">
        <v>44083</v>
      </c>
      <c r="D1302" t="b">
        <v>1</v>
      </c>
      <c r="E1302" t="s">
        <v>10</v>
      </c>
      <c r="F1302">
        <v>13172</v>
      </c>
    </row>
    <row r="1303" spans="1:6" x14ac:dyDescent="0.25">
      <c r="A1303" t="s">
        <v>2429</v>
      </c>
      <c r="B1303" t="s">
        <v>2430</v>
      </c>
      <c r="C1303" s="1">
        <v>44083</v>
      </c>
      <c r="D1303" t="b">
        <v>1</v>
      </c>
      <c r="E1303" t="s">
        <v>10</v>
      </c>
      <c r="F1303">
        <v>1074</v>
      </c>
    </row>
    <row r="1304" spans="1:6" x14ac:dyDescent="0.25">
      <c r="A1304" t="s">
        <v>2431</v>
      </c>
      <c r="B1304" t="s">
        <v>2432</v>
      </c>
      <c r="C1304" s="1">
        <v>44083</v>
      </c>
      <c r="D1304" t="b">
        <v>1</v>
      </c>
      <c r="E1304" t="s">
        <v>10</v>
      </c>
      <c r="F1304">
        <v>1090</v>
      </c>
    </row>
    <row r="1305" spans="1:6" x14ac:dyDescent="0.25">
      <c r="A1305" t="s">
        <v>2433</v>
      </c>
      <c r="B1305" t="s">
        <v>2434</v>
      </c>
      <c r="C1305" s="1">
        <v>44083</v>
      </c>
      <c r="D1305" t="b">
        <v>1</v>
      </c>
      <c r="E1305" t="s">
        <v>10</v>
      </c>
      <c r="F1305">
        <v>1094</v>
      </c>
    </row>
    <row r="1306" spans="1:6" x14ac:dyDescent="0.25">
      <c r="A1306" t="s">
        <v>2435</v>
      </c>
      <c r="B1306" t="s">
        <v>2436</v>
      </c>
      <c r="C1306" s="1">
        <v>44083</v>
      </c>
      <c r="D1306" t="b">
        <v>1</v>
      </c>
      <c r="E1306" t="s">
        <v>10</v>
      </c>
      <c r="F1306">
        <v>1096</v>
      </c>
    </row>
    <row r="1307" spans="1:6" x14ac:dyDescent="0.25">
      <c r="A1307" t="s">
        <v>2437</v>
      </c>
      <c r="B1307" t="s">
        <v>2438</v>
      </c>
      <c r="C1307" s="1">
        <v>44083</v>
      </c>
      <c r="D1307" t="b">
        <v>1</v>
      </c>
      <c r="E1307" t="s">
        <v>10</v>
      </c>
      <c r="F1307">
        <v>13559</v>
      </c>
    </row>
    <row r="1308" spans="1:6" x14ac:dyDescent="0.25">
      <c r="A1308" t="s">
        <v>2439</v>
      </c>
      <c r="B1308" t="s">
        <v>2440</v>
      </c>
      <c r="C1308" s="1">
        <v>44083</v>
      </c>
      <c r="D1308" t="b">
        <v>1</v>
      </c>
      <c r="E1308" t="s">
        <v>10</v>
      </c>
      <c r="F1308">
        <v>1097</v>
      </c>
    </row>
    <row r="1309" spans="1:6" x14ac:dyDescent="0.25">
      <c r="A1309" t="s">
        <v>2441</v>
      </c>
      <c r="C1309" s="1">
        <v>44083</v>
      </c>
      <c r="D1309" t="b">
        <v>1</v>
      </c>
      <c r="E1309" t="s">
        <v>10</v>
      </c>
      <c r="F1309">
        <v>7898</v>
      </c>
    </row>
    <row r="1310" spans="1:6" x14ac:dyDescent="0.25">
      <c r="A1310" t="s">
        <v>2442</v>
      </c>
      <c r="B1310" t="s">
        <v>2443</v>
      </c>
      <c r="C1310" s="1">
        <v>44083</v>
      </c>
      <c r="D1310" t="b">
        <v>1</v>
      </c>
      <c r="E1310" t="s">
        <v>10</v>
      </c>
      <c r="F1310">
        <v>1098</v>
      </c>
    </row>
    <row r="1311" spans="1:6" x14ac:dyDescent="0.25">
      <c r="A1311" t="s">
        <v>2444</v>
      </c>
      <c r="B1311" t="s">
        <v>2445</v>
      </c>
      <c r="C1311" s="1">
        <v>44083</v>
      </c>
      <c r="D1311" t="b">
        <v>1</v>
      </c>
      <c r="E1311" t="s">
        <v>10</v>
      </c>
      <c r="F1311">
        <v>10093</v>
      </c>
    </row>
    <row r="1312" spans="1:6" x14ac:dyDescent="0.25">
      <c r="A1312" t="s">
        <v>2446</v>
      </c>
      <c r="B1312" t="s">
        <v>2447</v>
      </c>
      <c r="C1312" s="1">
        <v>44083</v>
      </c>
      <c r="D1312" t="b">
        <v>1</v>
      </c>
      <c r="E1312" t="s">
        <v>10</v>
      </c>
      <c r="F1312">
        <v>16638</v>
      </c>
    </row>
    <row r="1313" spans="1:6" x14ac:dyDescent="0.25">
      <c r="A1313" t="s">
        <v>2448</v>
      </c>
      <c r="C1313" s="1">
        <v>44083</v>
      </c>
      <c r="D1313" t="b">
        <v>1</v>
      </c>
      <c r="E1313" t="s">
        <v>10</v>
      </c>
      <c r="F1313">
        <v>16655</v>
      </c>
    </row>
    <row r="1314" spans="1:6" x14ac:dyDescent="0.25">
      <c r="A1314" t="s">
        <v>2449</v>
      </c>
      <c r="B1314" t="s">
        <v>2450</v>
      </c>
      <c r="C1314" s="1">
        <v>44083</v>
      </c>
      <c r="D1314" t="b">
        <v>1</v>
      </c>
      <c r="E1314" t="s">
        <v>10</v>
      </c>
      <c r="F1314">
        <v>16481</v>
      </c>
    </row>
    <row r="1315" spans="1:6" x14ac:dyDescent="0.25">
      <c r="A1315" t="s">
        <v>2451</v>
      </c>
      <c r="B1315" t="s">
        <v>2452</v>
      </c>
      <c r="C1315" s="1">
        <v>44083</v>
      </c>
      <c r="D1315" t="b">
        <v>1</v>
      </c>
      <c r="E1315" t="s">
        <v>10</v>
      </c>
      <c r="F1315">
        <v>16495</v>
      </c>
    </row>
    <row r="1316" spans="1:6" x14ac:dyDescent="0.25">
      <c r="A1316" t="s">
        <v>2453</v>
      </c>
      <c r="B1316" t="s">
        <v>2454</v>
      </c>
      <c r="C1316" s="1">
        <v>44083</v>
      </c>
      <c r="D1316" t="b">
        <v>1</v>
      </c>
      <c r="E1316" t="s">
        <v>10</v>
      </c>
      <c r="F1316">
        <v>14753</v>
      </c>
    </row>
    <row r="1317" spans="1:6" x14ac:dyDescent="0.25">
      <c r="A1317" t="s">
        <v>2455</v>
      </c>
      <c r="B1317" t="s">
        <v>2456</v>
      </c>
      <c r="C1317" s="1">
        <v>44083</v>
      </c>
      <c r="D1317" t="b">
        <v>1</v>
      </c>
      <c r="E1317" t="s">
        <v>10</v>
      </c>
      <c r="F1317">
        <v>1100</v>
      </c>
    </row>
    <row r="1318" spans="1:6" x14ac:dyDescent="0.25">
      <c r="A1318" t="s">
        <v>2457</v>
      </c>
      <c r="B1318" t="s">
        <v>2458</v>
      </c>
      <c r="C1318" s="1">
        <v>44083</v>
      </c>
      <c r="D1318" t="b">
        <v>1</v>
      </c>
      <c r="E1318" t="s">
        <v>10</v>
      </c>
      <c r="F1318">
        <v>15727</v>
      </c>
    </row>
    <row r="1319" spans="1:6" x14ac:dyDescent="0.25">
      <c r="A1319" t="s">
        <v>2459</v>
      </c>
      <c r="B1319" t="s">
        <v>2460</v>
      </c>
      <c r="C1319" s="1">
        <v>44083</v>
      </c>
      <c r="D1319" t="b">
        <v>1</v>
      </c>
      <c r="E1319" t="s">
        <v>10</v>
      </c>
      <c r="F1319">
        <v>1102</v>
      </c>
    </row>
    <row r="1320" spans="1:6" x14ac:dyDescent="0.25">
      <c r="A1320" t="s">
        <v>2461</v>
      </c>
      <c r="B1320" t="s">
        <v>2462</v>
      </c>
      <c r="C1320" s="1">
        <v>44083</v>
      </c>
      <c r="D1320" t="b">
        <v>1</v>
      </c>
      <c r="E1320" t="s">
        <v>10</v>
      </c>
      <c r="F1320">
        <v>9777</v>
      </c>
    </row>
    <row r="1321" spans="1:6" x14ac:dyDescent="0.25">
      <c r="A1321" t="s">
        <v>2463</v>
      </c>
      <c r="B1321" t="s">
        <v>2464</v>
      </c>
      <c r="C1321" s="1">
        <v>44083</v>
      </c>
      <c r="D1321" t="b">
        <v>1</v>
      </c>
      <c r="E1321" t="s">
        <v>10</v>
      </c>
      <c r="F1321">
        <v>11422</v>
      </c>
    </row>
    <row r="1322" spans="1:6" x14ac:dyDescent="0.25">
      <c r="A1322" t="s">
        <v>2465</v>
      </c>
      <c r="B1322" t="s">
        <v>2466</v>
      </c>
      <c r="C1322" s="1">
        <v>44083</v>
      </c>
      <c r="D1322" t="b">
        <v>1</v>
      </c>
      <c r="E1322" t="s">
        <v>10</v>
      </c>
      <c r="F1322">
        <v>1104</v>
      </c>
    </row>
    <row r="1323" spans="1:6" x14ac:dyDescent="0.25">
      <c r="A1323" t="s">
        <v>2467</v>
      </c>
      <c r="B1323" t="s">
        <v>2468</v>
      </c>
      <c r="C1323" s="1">
        <v>44083</v>
      </c>
      <c r="D1323" t="b">
        <v>1</v>
      </c>
      <c r="E1323" t="s">
        <v>10</v>
      </c>
      <c r="F1323">
        <v>1109</v>
      </c>
    </row>
    <row r="1324" spans="1:6" x14ac:dyDescent="0.25">
      <c r="A1324" t="s">
        <v>2469</v>
      </c>
      <c r="B1324" t="s">
        <v>2470</v>
      </c>
      <c r="C1324" s="1">
        <v>44083</v>
      </c>
      <c r="D1324" t="b">
        <v>1</v>
      </c>
      <c r="E1324" t="s">
        <v>10</v>
      </c>
      <c r="F1324">
        <v>16974</v>
      </c>
    </row>
    <row r="1325" spans="1:6" x14ac:dyDescent="0.25">
      <c r="A1325" t="s">
        <v>2471</v>
      </c>
      <c r="B1325" t="s">
        <v>2472</v>
      </c>
      <c r="C1325" s="1">
        <v>44083</v>
      </c>
      <c r="D1325" t="b">
        <v>1</v>
      </c>
      <c r="E1325" t="s">
        <v>10</v>
      </c>
      <c r="F1325">
        <v>1112</v>
      </c>
    </row>
    <row r="1326" spans="1:6" x14ac:dyDescent="0.25">
      <c r="A1326" t="s">
        <v>2473</v>
      </c>
      <c r="B1326" t="s">
        <v>2474</v>
      </c>
      <c r="C1326" s="1">
        <v>44083</v>
      </c>
      <c r="D1326" t="b">
        <v>1</v>
      </c>
      <c r="E1326" t="s">
        <v>10</v>
      </c>
      <c r="F1326">
        <v>1113</v>
      </c>
    </row>
    <row r="1327" spans="1:6" x14ac:dyDescent="0.25">
      <c r="A1327" t="s">
        <v>2475</v>
      </c>
      <c r="B1327" t="s">
        <v>2476</v>
      </c>
      <c r="C1327" s="1">
        <v>44083</v>
      </c>
      <c r="D1327" t="b">
        <v>1</v>
      </c>
      <c r="E1327" t="s">
        <v>10</v>
      </c>
      <c r="F1327">
        <v>1114</v>
      </c>
    </row>
    <row r="1328" spans="1:6" x14ac:dyDescent="0.25">
      <c r="A1328" t="s">
        <v>2477</v>
      </c>
      <c r="B1328" t="s">
        <v>2478</v>
      </c>
      <c r="C1328" s="1">
        <v>44083</v>
      </c>
      <c r="D1328" t="b">
        <v>1</v>
      </c>
      <c r="E1328" t="s">
        <v>10</v>
      </c>
      <c r="F1328">
        <v>3024</v>
      </c>
    </row>
    <row r="1329" spans="1:6" x14ac:dyDescent="0.25">
      <c r="A1329" t="s">
        <v>2479</v>
      </c>
      <c r="B1329" t="s">
        <v>2480</v>
      </c>
      <c r="C1329" s="1">
        <v>44083</v>
      </c>
      <c r="D1329" t="b">
        <v>1</v>
      </c>
      <c r="E1329" t="s">
        <v>10</v>
      </c>
      <c r="F1329">
        <v>1115</v>
      </c>
    </row>
    <row r="1330" spans="1:6" x14ac:dyDescent="0.25">
      <c r="A1330" t="s">
        <v>2481</v>
      </c>
      <c r="B1330" t="s">
        <v>2482</v>
      </c>
      <c r="C1330" s="1">
        <v>44083</v>
      </c>
      <c r="D1330" t="b">
        <v>1</v>
      </c>
      <c r="E1330" t="s">
        <v>10</v>
      </c>
      <c r="F1330">
        <v>1116</v>
      </c>
    </row>
    <row r="1331" spans="1:6" x14ac:dyDescent="0.25">
      <c r="A1331" t="s">
        <v>2483</v>
      </c>
      <c r="B1331" t="s">
        <v>2484</v>
      </c>
      <c r="C1331" s="1">
        <v>44083</v>
      </c>
      <c r="D1331" t="b">
        <v>1</v>
      </c>
      <c r="E1331" t="s">
        <v>10</v>
      </c>
      <c r="F1331">
        <v>10499</v>
      </c>
    </row>
    <row r="1332" spans="1:6" x14ac:dyDescent="0.25">
      <c r="A1332" t="s">
        <v>2485</v>
      </c>
      <c r="B1332" t="s">
        <v>2486</v>
      </c>
      <c r="C1332" s="1">
        <v>44083</v>
      </c>
      <c r="D1332" t="b">
        <v>1</v>
      </c>
      <c r="E1332" t="s">
        <v>10</v>
      </c>
      <c r="F1332">
        <v>1117</v>
      </c>
    </row>
    <row r="1333" spans="1:6" x14ac:dyDescent="0.25">
      <c r="A1333" t="s">
        <v>2487</v>
      </c>
      <c r="C1333" s="1">
        <v>44083</v>
      </c>
      <c r="D1333" t="b">
        <v>1</v>
      </c>
      <c r="E1333" t="s">
        <v>10</v>
      </c>
      <c r="F1333">
        <v>17179</v>
      </c>
    </row>
    <row r="1334" spans="1:6" x14ac:dyDescent="0.25">
      <c r="A1334" t="s">
        <v>2488</v>
      </c>
      <c r="B1334" t="s">
        <v>2489</v>
      </c>
      <c r="C1334" s="1">
        <v>44083</v>
      </c>
      <c r="D1334" t="b">
        <v>1</v>
      </c>
      <c r="E1334" t="s">
        <v>10</v>
      </c>
      <c r="F1334">
        <v>15690</v>
      </c>
    </row>
    <row r="1335" spans="1:6" x14ac:dyDescent="0.25">
      <c r="A1335" t="s">
        <v>2490</v>
      </c>
      <c r="B1335" t="s">
        <v>2491</v>
      </c>
      <c r="C1335" s="1">
        <v>44083</v>
      </c>
      <c r="D1335" t="b">
        <v>1</v>
      </c>
      <c r="E1335" t="s">
        <v>10</v>
      </c>
      <c r="F1335">
        <v>1119</v>
      </c>
    </row>
    <row r="1336" spans="1:6" x14ac:dyDescent="0.25">
      <c r="A1336" t="s">
        <v>2492</v>
      </c>
      <c r="B1336" t="s">
        <v>2493</v>
      </c>
      <c r="C1336" s="1">
        <v>44083</v>
      </c>
      <c r="D1336" t="b">
        <v>0</v>
      </c>
      <c r="E1336" t="s">
        <v>10</v>
      </c>
      <c r="F1336">
        <v>17129</v>
      </c>
    </row>
    <row r="1337" spans="1:6" x14ac:dyDescent="0.25">
      <c r="A1337" t="s">
        <v>2494</v>
      </c>
      <c r="B1337" t="s">
        <v>2495</v>
      </c>
      <c r="C1337" s="1">
        <v>44083</v>
      </c>
      <c r="D1337" t="b">
        <v>1</v>
      </c>
      <c r="E1337" t="s">
        <v>10</v>
      </c>
      <c r="F1337">
        <v>16396</v>
      </c>
    </row>
    <row r="1338" spans="1:6" x14ac:dyDescent="0.25">
      <c r="A1338" t="s">
        <v>2496</v>
      </c>
      <c r="B1338" t="s">
        <v>2497</v>
      </c>
      <c r="C1338" s="1">
        <v>44083</v>
      </c>
      <c r="D1338" t="b">
        <v>1</v>
      </c>
      <c r="E1338" t="s">
        <v>10</v>
      </c>
      <c r="F1338">
        <v>9882</v>
      </c>
    </row>
    <row r="1339" spans="1:6" x14ac:dyDescent="0.25">
      <c r="A1339" t="s">
        <v>2498</v>
      </c>
      <c r="B1339" t="s">
        <v>2499</v>
      </c>
      <c r="C1339" s="1">
        <v>44083</v>
      </c>
      <c r="D1339" t="b">
        <v>1</v>
      </c>
      <c r="E1339" t="s">
        <v>10</v>
      </c>
      <c r="F1339">
        <v>10917</v>
      </c>
    </row>
    <row r="1340" spans="1:6" x14ac:dyDescent="0.25">
      <c r="A1340" t="s">
        <v>2500</v>
      </c>
      <c r="B1340" t="s">
        <v>2501</v>
      </c>
      <c r="C1340" s="1">
        <v>44083</v>
      </c>
      <c r="D1340" t="b">
        <v>1</v>
      </c>
      <c r="E1340" t="s">
        <v>10</v>
      </c>
      <c r="F1340">
        <v>1120</v>
      </c>
    </row>
    <row r="1341" spans="1:6" x14ac:dyDescent="0.25">
      <c r="A1341" t="s">
        <v>2502</v>
      </c>
      <c r="B1341" t="s">
        <v>2503</v>
      </c>
      <c r="C1341" s="1">
        <v>44083</v>
      </c>
      <c r="D1341" t="b">
        <v>0</v>
      </c>
      <c r="E1341" t="s">
        <v>10</v>
      </c>
      <c r="F1341">
        <v>17170</v>
      </c>
    </row>
    <row r="1342" spans="1:6" x14ac:dyDescent="0.25">
      <c r="A1342" t="s">
        <v>2504</v>
      </c>
      <c r="B1342" t="s">
        <v>2505</v>
      </c>
      <c r="C1342" s="1">
        <v>44083</v>
      </c>
      <c r="D1342" t="b">
        <v>1</v>
      </c>
      <c r="E1342" t="s">
        <v>10</v>
      </c>
      <c r="F1342">
        <v>8696</v>
      </c>
    </row>
    <row r="1343" spans="1:6" x14ac:dyDescent="0.25">
      <c r="A1343" t="s">
        <v>2506</v>
      </c>
      <c r="B1343" t="s">
        <v>2507</v>
      </c>
      <c r="C1343" s="1">
        <v>44083</v>
      </c>
      <c r="D1343" t="b">
        <v>1</v>
      </c>
      <c r="E1343" t="s">
        <v>10</v>
      </c>
      <c r="F1343">
        <v>1122</v>
      </c>
    </row>
    <row r="1344" spans="1:6" x14ac:dyDescent="0.25">
      <c r="A1344" t="s">
        <v>2508</v>
      </c>
      <c r="B1344" t="s">
        <v>2509</v>
      </c>
      <c r="C1344" s="1">
        <v>44083</v>
      </c>
      <c r="D1344" t="b">
        <v>1</v>
      </c>
      <c r="E1344" t="s">
        <v>10</v>
      </c>
      <c r="F1344">
        <v>15919</v>
      </c>
    </row>
    <row r="1345" spans="1:6" x14ac:dyDescent="0.25">
      <c r="A1345" t="s">
        <v>2510</v>
      </c>
      <c r="C1345" s="1">
        <v>44083</v>
      </c>
      <c r="D1345" t="b">
        <v>1</v>
      </c>
      <c r="E1345" t="s">
        <v>10</v>
      </c>
      <c r="F1345">
        <v>15973</v>
      </c>
    </row>
    <row r="1346" spans="1:6" x14ac:dyDescent="0.25">
      <c r="A1346" t="s">
        <v>2511</v>
      </c>
      <c r="B1346" t="s">
        <v>2512</v>
      </c>
      <c r="C1346" s="1">
        <v>44083</v>
      </c>
      <c r="D1346" t="b">
        <v>1</v>
      </c>
      <c r="E1346" t="s">
        <v>10</v>
      </c>
      <c r="F1346">
        <v>15874</v>
      </c>
    </row>
    <row r="1347" spans="1:6" x14ac:dyDescent="0.25">
      <c r="A1347" t="s">
        <v>2513</v>
      </c>
      <c r="B1347" t="s">
        <v>2514</v>
      </c>
      <c r="C1347" s="1">
        <v>44083</v>
      </c>
      <c r="D1347" t="b">
        <v>1</v>
      </c>
      <c r="E1347" t="s">
        <v>10</v>
      </c>
      <c r="F1347">
        <v>1127</v>
      </c>
    </row>
    <row r="1348" spans="1:6" x14ac:dyDescent="0.25">
      <c r="A1348" t="s">
        <v>2515</v>
      </c>
      <c r="B1348" t="s">
        <v>2516</v>
      </c>
      <c r="C1348" s="1">
        <v>44083</v>
      </c>
      <c r="D1348" t="b">
        <v>1</v>
      </c>
      <c r="E1348" t="s">
        <v>10</v>
      </c>
      <c r="F1348">
        <v>16636</v>
      </c>
    </row>
    <row r="1349" spans="1:6" x14ac:dyDescent="0.25">
      <c r="A1349" t="s">
        <v>2517</v>
      </c>
      <c r="C1349" s="1">
        <v>44083</v>
      </c>
      <c r="D1349" t="b">
        <v>1</v>
      </c>
      <c r="E1349" t="s">
        <v>10</v>
      </c>
      <c r="F1349">
        <v>16663</v>
      </c>
    </row>
    <row r="1350" spans="1:6" x14ac:dyDescent="0.25">
      <c r="A1350" t="s">
        <v>2518</v>
      </c>
      <c r="B1350" t="s">
        <v>2519</v>
      </c>
      <c r="C1350" s="1">
        <v>44083</v>
      </c>
      <c r="D1350" t="b">
        <v>1</v>
      </c>
      <c r="E1350" t="s">
        <v>10</v>
      </c>
      <c r="F1350">
        <v>16492</v>
      </c>
    </row>
    <row r="1351" spans="1:6" x14ac:dyDescent="0.25">
      <c r="A1351" t="s">
        <v>2520</v>
      </c>
      <c r="C1351" s="1">
        <v>44083</v>
      </c>
      <c r="D1351" t="b">
        <v>1</v>
      </c>
      <c r="E1351" t="s">
        <v>10</v>
      </c>
      <c r="F1351">
        <v>8739</v>
      </c>
    </row>
    <row r="1352" spans="1:6" x14ac:dyDescent="0.25">
      <c r="A1352" t="s">
        <v>2521</v>
      </c>
      <c r="B1352" t="s">
        <v>2522</v>
      </c>
      <c r="C1352" s="1">
        <v>44083</v>
      </c>
      <c r="D1352" t="b">
        <v>1</v>
      </c>
      <c r="E1352" t="s">
        <v>10</v>
      </c>
      <c r="F1352">
        <v>14326</v>
      </c>
    </row>
    <row r="1353" spans="1:6" x14ac:dyDescent="0.25">
      <c r="A1353" t="s">
        <v>2523</v>
      </c>
      <c r="B1353" t="s">
        <v>2524</v>
      </c>
      <c r="C1353" s="1">
        <v>44083</v>
      </c>
      <c r="D1353" t="b">
        <v>1</v>
      </c>
      <c r="E1353" t="s">
        <v>10</v>
      </c>
      <c r="F1353">
        <v>8885</v>
      </c>
    </row>
    <row r="1354" spans="1:6" x14ac:dyDescent="0.25">
      <c r="A1354" t="s">
        <v>2525</v>
      </c>
      <c r="B1354" t="s">
        <v>2526</v>
      </c>
      <c r="C1354" s="1">
        <v>44083</v>
      </c>
      <c r="D1354" t="b">
        <v>1</v>
      </c>
      <c r="E1354" t="s">
        <v>10</v>
      </c>
      <c r="F1354">
        <v>1128</v>
      </c>
    </row>
    <row r="1355" spans="1:6" x14ac:dyDescent="0.25">
      <c r="A1355" t="s">
        <v>2527</v>
      </c>
      <c r="B1355" t="s">
        <v>2528</v>
      </c>
      <c r="C1355" s="1">
        <v>44083</v>
      </c>
      <c r="D1355" t="b">
        <v>1</v>
      </c>
      <c r="E1355" t="s">
        <v>10</v>
      </c>
      <c r="F1355">
        <v>11239</v>
      </c>
    </row>
    <row r="1356" spans="1:6" x14ac:dyDescent="0.25">
      <c r="A1356" t="s">
        <v>2529</v>
      </c>
      <c r="B1356" t="s">
        <v>2530</v>
      </c>
      <c r="C1356" s="1">
        <v>44083</v>
      </c>
      <c r="D1356" t="b">
        <v>1</v>
      </c>
      <c r="E1356" t="s">
        <v>10</v>
      </c>
      <c r="F1356">
        <v>9280</v>
      </c>
    </row>
    <row r="1357" spans="1:6" x14ac:dyDescent="0.25">
      <c r="A1357" t="s">
        <v>2531</v>
      </c>
      <c r="B1357" t="s">
        <v>2532</v>
      </c>
      <c r="C1357" s="1">
        <v>44083</v>
      </c>
      <c r="D1357" t="b">
        <v>1</v>
      </c>
      <c r="E1357" t="s">
        <v>10</v>
      </c>
      <c r="F1357">
        <v>10270</v>
      </c>
    </row>
    <row r="1358" spans="1:6" x14ac:dyDescent="0.25">
      <c r="A1358" t="s">
        <v>2533</v>
      </c>
      <c r="B1358" t="s">
        <v>2534</v>
      </c>
      <c r="C1358" s="1">
        <v>44083</v>
      </c>
      <c r="D1358" t="b">
        <v>1</v>
      </c>
      <c r="E1358" t="s">
        <v>10</v>
      </c>
      <c r="F1358">
        <v>14022</v>
      </c>
    </row>
    <row r="1359" spans="1:6" x14ac:dyDescent="0.25">
      <c r="A1359" t="s">
        <v>2535</v>
      </c>
      <c r="B1359" t="s">
        <v>2536</v>
      </c>
      <c r="C1359" s="1">
        <v>44083</v>
      </c>
      <c r="D1359" t="b">
        <v>1</v>
      </c>
      <c r="E1359" t="s">
        <v>10</v>
      </c>
      <c r="F1359">
        <v>5538</v>
      </c>
    </row>
    <row r="1360" spans="1:6" x14ac:dyDescent="0.25">
      <c r="A1360" t="s">
        <v>2537</v>
      </c>
      <c r="C1360" s="1">
        <v>44083</v>
      </c>
      <c r="D1360" t="b">
        <v>1</v>
      </c>
      <c r="E1360" t="s">
        <v>10</v>
      </c>
      <c r="F1360">
        <v>8300</v>
      </c>
    </row>
    <row r="1361" spans="1:6" x14ac:dyDescent="0.25">
      <c r="A1361" t="s">
        <v>2538</v>
      </c>
      <c r="B1361" t="s">
        <v>2539</v>
      </c>
      <c r="C1361" s="1">
        <v>44083</v>
      </c>
      <c r="D1361" t="b">
        <v>1</v>
      </c>
      <c r="E1361" t="s">
        <v>10</v>
      </c>
      <c r="F1361">
        <v>8693</v>
      </c>
    </row>
    <row r="1362" spans="1:6" x14ac:dyDescent="0.25">
      <c r="A1362" t="s">
        <v>2540</v>
      </c>
      <c r="B1362" t="s">
        <v>2541</v>
      </c>
      <c r="C1362" s="1">
        <v>44083</v>
      </c>
      <c r="D1362" t="b">
        <v>1</v>
      </c>
      <c r="E1362" t="s">
        <v>10</v>
      </c>
      <c r="F1362">
        <v>1130</v>
      </c>
    </row>
    <row r="1363" spans="1:6" x14ac:dyDescent="0.25">
      <c r="A1363" t="s">
        <v>2542</v>
      </c>
      <c r="B1363" t="s">
        <v>2543</v>
      </c>
      <c r="C1363" s="1">
        <v>44083</v>
      </c>
      <c r="D1363" t="b">
        <v>1</v>
      </c>
      <c r="E1363" t="s">
        <v>10</v>
      </c>
      <c r="F1363">
        <v>6456</v>
      </c>
    </row>
    <row r="1364" spans="1:6" x14ac:dyDescent="0.25">
      <c r="A1364" t="s">
        <v>2544</v>
      </c>
      <c r="B1364" t="s">
        <v>2545</v>
      </c>
      <c r="C1364" s="1">
        <v>44083</v>
      </c>
      <c r="D1364" t="b">
        <v>1</v>
      </c>
      <c r="E1364" t="s">
        <v>10</v>
      </c>
      <c r="F1364">
        <v>1131</v>
      </c>
    </row>
    <row r="1365" spans="1:6" x14ac:dyDescent="0.25">
      <c r="A1365" t="s">
        <v>2546</v>
      </c>
      <c r="C1365" s="1">
        <v>44083</v>
      </c>
      <c r="D1365" t="b">
        <v>1</v>
      </c>
      <c r="E1365" t="s">
        <v>10</v>
      </c>
      <c r="F1365">
        <v>1132</v>
      </c>
    </row>
    <row r="1366" spans="1:6" x14ac:dyDescent="0.25">
      <c r="A1366" t="s">
        <v>2547</v>
      </c>
      <c r="C1366" s="1">
        <v>44083</v>
      </c>
      <c r="D1366" t="b">
        <v>1</v>
      </c>
      <c r="E1366" t="s">
        <v>10</v>
      </c>
      <c r="F1366">
        <v>13315</v>
      </c>
    </row>
    <row r="1367" spans="1:6" x14ac:dyDescent="0.25">
      <c r="A1367" t="s">
        <v>2548</v>
      </c>
      <c r="B1367" t="s">
        <v>2549</v>
      </c>
      <c r="C1367" s="1">
        <v>44083</v>
      </c>
      <c r="D1367" t="b">
        <v>1</v>
      </c>
      <c r="E1367" t="s">
        <v>10</v>
      </c>
      <c r="F1367">
        <v>9828</v>
      </c>
    </row>
    <row r="1368" spans="1:6" x14ac:dyDescent="0.25">
      <c r="A1368" t="s">
        <v>2550</v>
      </c>
      <c r="B1368" t="s">
        <v>2551</v>
      </c>
      <c r="C1368" s="1">
        <v>44083</v>
      </c>
      <c r="D1368" t="b">
        <v>1</v>
      </c>
      <c r="E1368" t="s">
        <v>10</v>
      </c>
      <c r="F1368">
        <v>1134</v>
      </c>
    </row>
    <row r="1369" spans="1:6" x14ac:dyDescent="0.25">
      <c r="A1369" t="s">
        <v>2552</v>
      </c>
      <c r="B1369" t="s">
        <v>2553</v>
      </c>
      <c r="C1369" s="1">
        <v>44083</v>
      </c>
      <c r="D1369" t="b">
        <v>1</v>
      </c>
      <c r="E1369" t="s">
        <v>10</v>
      </c>
      <c r="F1369">
        <v>11284</v>
      </c>
    </row>
    <row r="1370" spans="1:6" x14ac:dyDescent="0.25">
      <c r="A1370" t="s">
        <v>2554</v>
      </c>
      <c r="B1370" t="s">
        <v>2555</v>
      </c>
      <c r="C1370" s="1">
        <v>44083</v>
      </c>
      <c r="D1370" t="b">
        <v>1</v>
      </c>
      <c r="E1370" t="s">
        <v>10</v>
      </c>
      <c r="F1370">
        <v>1135</v>
      </c>
    </row>
    <row r="1371" spans="1:6" x14ac:dyDescent="0.25">
      <c r="A1371" t="s">
        <v>2556</v>
      </c>
      <c r="B1371" t="s">
        <v>2557</v>
      </c>
      <c r="C1371" s="1">
        <v>44083</v>
      </c>
      <c r="D1371" t="b">
        <v>1</v>
      </c>
      <c r="E1371" t="s">
        <v>10</v>
      </c>
      <c r="F1371">
        <v>1137</v>
      </c>
    </row>
    <row r="1372" spans="1:6" x14ac:dyDescent="0.25">
      <c r="A1372" t="s">
        <v>2558</v>
      </c>
      <c r="B1372" t="s">
        <v>2559</v>
      </c>
      <c r="C1372" s="1">
        <v>44083</v>
      </c>
      <c r="D1372" t="b">
        <v>1</v>
      </c>
      <c r="E1372" t="s">
        <v>10</v>
      </c>
      <c r="F1372">
        <v>1138</v>
      </c>
    </row>
    <row r="1373" spans="1:6" x14ac:dyDescent="0.25">
      <c r="A1373" t="s">
        <v>2560</v>
      </c>
      <c r="B1373" t="s">
        <v>2561</v>
      </c>
      <c r="C1373" s="1">
        <v>44083</v>
      </c>
      <c r="D1373" t="b">
        <v>1</v>
      </c>
      <c r="E1373" t="s">
        <v>10</v>
      </c>
      <c r="F1373">
        <v>1139</v>
      </c>
    </row>
    <row r="1374" spans="1:6" x14ac:dyDescent="0.25">
      <c r="A1374" t="s">
        <v>2562</v>
      </c>
      <c r="B1374" t="s">
        <v>2563</v>
      </c>
      <c r="C1374" s="1">
        <v>44083</v>
      </c>
      <c r="D1374" t="b">
        <v>1</v>
      </c>
      <c r="E1374" t="s">
        <v>10</v>
      </c>
      <c r="F1374">
        <v>1142</v>
      </c>
    </row>
    <row r="1375" spans="1:6" x14ac:dyDescent="0.25">
      <c r="A1375" t="s">
        <v>2564</v>
      </c>
      <c r="B1375" t="s">
        <v>2565</v>
      </c>
      <c r="C1375" s="1">
        <v>44083</v>
      </c>
      <c r="D1375" t="b">
        <v>1</v>
      </c>
      <c r="E1375" t="s">
        <v>10</v>
      </c>
      <c r="F1375">
        <v>1145</v>
      </c>
    </row>
    <row r="1376" spans="1:6" x14ac:dyDescent="0.25">
      <c r="A1376" t="s">
        <v>2566</v>
      </c>
      <c r="B1376" t="s">
        <v>2567</v>
      </c>
      <c r="C1376" s="1">
        <v>44083</v>
      </c>
      <c r="D1376" t="b">
        <v>1</v>
      </c>
      <c r="E1376" t="s">
        <v>10</v>
      </c>
      <c r="F1376">
        <v>14027</v>
      </c>
    </row>
    <row r="1377" spans="1:6" x14ac:dyDescent="0.25">
      <c r="A1377" t="s">
        <v>2568</v>
      </c>
      <c r="B1377" t="s">
        <v>2569</v>
      </c>
      <c r="C1377" s="1">
        <v>44083</v>
      </c>
      <c r="D1377" t="b">
        <v>1</v>
      </c>
      <c r="E1377" t="s">
        <v>10</v>
      </c>
      <c r="F1377">
        <v>16870</v>
      </c>
    </row>
    <row r="1378" spans="1:6" x14ac:dyDescent="0.25">
      <c r="A1378" t="s">
        <v>2570</v>
      </c>
      <c r="B1378" t="s">
        <v>2571</v>
      </c>
      <c r="C1378" s="1">
        <v>44083</v>
      </c>
      <c r="D1378" t="b">
        <v>1</v>
      </c>
      <c r="E1378" t="s">
        <v>10</v>
      </c>
      <c r="F1378">
        <v>16775</v>
      </c>
    </row>
    <row r="1379" spans="1:6" x14ac:dyDescent="0.25">
      <c r="A1379" t="s">
        <v>2572</v>
      </c>
      <c r="B1379" t="s">
        <v>2573</v>
      </c>
      <c r="C1379" s="1">
        <v>44083</v>
      </c>
      <c r="D1379" t="b">
        <v>1</v>
      </c>
      <c r="E1379" t="s">
        <v>10</v>
      </c>
      <c r="F1379">
        <v>12481</v>
      </c>
    </row>
    <row r="1380" spans="1:6" x14ac:dyDescent="0.25">
      <c r="A1380" t="s">
        <v>2574</v>
      </c>
      <c r="B1380" t="s">
        <v>2575</v>
      </c>
      <c r="C1380" s="1">
        <v>44083</v>
      </c>
      <c r="D1380" t="b">
        <v>1</v>
      </c>
      <c r="E1380" t="s">
        <v>10</v>
      </c>
      <c r="F1380">
        <v>4058</v>
      </c>
    </row>
    <row r="1381" spans="1:6" x14ac:dyDescent="0.25">
      <c r="A1381" t="s">
        <v>2576</v>
      </c>
      <c r="B1381" t="s">
        <v>2577</v>
      </c>
      <c r="C1381" s="1">
        <v>44083</v>
      </c>
      <c r="D1381" t="b">
        <v>1</v>
      </c>
      <c r="E1381" t="s">
        <v>10</v>
      </c>
      <c r="F1381">
        <v>13781</v>
      </c>
    </row>
    <row r="1382" spans="1:6" x14ac:dyDescent="0.25">
      <c r="A1382" t="s">
        <v>2578</v>
      </c>
      <c r="B1382" t="s">
        <v>2579</v>
      </c>
      <c r="C1382" s="1">
        <v>44083</v>
      </c>
      <c r="D1382" t="b">
        <v>1</v>
      </c>
      <c r="E1382" t="s">
        <v>10</v>
      </c>
      <c r="F1382">
        <v>1147</v>
      </c>
    </row>
    <row r="1383" spans="1:6" x14ac:dyDescent="0.25">
      <c r="A1383" t="s">
        <v>2580</v>
      </c>
      <c r="B1383" t="s">
        <v>2581</v>
      </c>
      <c r="C1383" s="1">
        <v>44083</v>
      </c>
      <c r="D1383" t="b">
        <v>1</v>
      </c>
      <c r="E1383" t="s">
        <v>10</v>
      </c>
      <c r="F1383">
        <v>13310</v>
      </c>
    </row>
    <row r="1384" spans="1:6" x14ac:dyDescent="0.25">
      <c r="A1384" t="s">
        <v>2582</v>
      </c>
      <c r="B1384" t="s">
        <v>2583</v>
      </c>
      <c r="C1384" s="1">
        <v>44083</v>
      </c>
      <c r="D1384" t="b">
        <v>1</v>
      </c>
      <c r="E1384" t="s">
        <v>10</v>
      </c>
      <c r="F1384">
        <v>1149</v>
      </c>
    </row>
    <row r="1385" spans="1:6" x14ac:dyDescent="0.25">
      <c r="A1385" t="s">
        <v>2584</v>
      </c>
      <c r="B1385" t="s">
        <v>2585</v>
      </c>
      <c r="C1385" s="1">
        <v>44083</v>
      </c>
      <c r="D1385" t="b">
        <v>1</v>
      </c>
      <c r="E1385" t="s">
        <v>10</v>
      </c>
      <c r="F1385">
        <v>12960</v>
      </c>
    </row>
    <row r="1386" spans="1:6" x14ac:dyDescent="0.25">
      <c r="A1386" t="s">
        <v>2586</v>
      </c>
      <c r="B1386" t="s">
        <v>2587</v>
      </c>
      <c r="C1386" s="1">
        <v>44083</v>
      </c>
      <c r="D1386" t="b">
        <v>1</v>
      </c>
      <c r="E1386" t="s">
        <v>10</v>
      </c>
      <c r="F1386">
        <v>8125</v>
      </c>
    </row>
    <row r="1387" spans="1:6" x14ac:dyDescent="0.25">
      <c r="A1387" t="s">
        <v>2588</v>
      </c>
      <c r="B1387" t="s">
        <v>2589</v>
      </c>
      <c r="C1387" s="1">
        <v>44083</v>
      </c>
      <c r="D1387" t="b">
        <v>1</v>
      </c>
      <c r="E1387" t="s">
        <v>10</v>
      </c>
      <c r="F1387">
        <v>1150</v>
      </c>
    </row>
    <row r="1388" spans="1:6" x14ac:dyDescent="0.25">
      <c r="A1388" t="s">
        <v>2590</v>
      </c>
      <c r="B1388" t="s">
        <v>2591</v>
      </c>
      <c r="C1388" s="1">
        <v>44083</v>
      </c>
      <c r="D1388" t="b">
        <v>1</v>
      </c>
      <c r="E1388" t="s">
        <v>10</v>
      </c>
      <c r="F1388">
        <v>1151</v>
      </c>
    </row>
    <row r="1389" spans="1:6" x14ac:dyDescent="0.25">
      <c r="A1389" t="s">
        <v>2592</v>
      </c>
      <c r="B1389" t="s">
        <v>2593</v>
      </c>
      <c r="C1389" s="1">
        <v>44083</v>
      </c>
      <c r="D1389" t="b">
        <v>1</v>
      </c>
      <c r="E1389" t="s">
        <v>10</v>
      </c>
      <c r="F1389">
        <v>1152</v>
      </c>
    </row>
    <row r="1390" spans="1:6" x14ac:dyDescent="0.25">
      <c r="A1390" t="s">
        <v>2594</v>
      </c>
      <c r="B1390" t="s">
        <v>2595</v>
      </c>
      <c r="C1390" s="1">
        <v>44083</v>
      </c>
      <c r="D1390" t="b">
        <v>1</v>
      </c>
      <c r="E1390" t="s">
        <v>10</v>
      </c>
      <c r="F1390">
        <v>7797</v>
      </c>
    </row>
    <row r="1391" spans="1:6" x14ac:dyDescent="0.25">
      <c r="A1391" t="s">
        <v>2596</v>
      </c>
      <c r="B1391" t="s">
        <v>2597</v>
      </c>
      <c r="C1391" s="1">
        <v>44083</v>
      </c>
      <c r="D1391" t="b">
        <v>1</v>
      </c>
      <c r="E1391" t="s">
        <v>10</v>
      </c>
      <c r="F1391">
        <v>1154</v>
      </c>
    </row>
    <row r="1392" spans="1:6" x14ac:dyDescent="0.25">
      <c r="A1392" t="s">
        <v>2598</v>
      </c>
      <c r="B1392" t="s">
        <v>2599</v>
      </c>
      <c r="C1392" s="1">
        <v>44083</v>
      </c>
      <c r="D1392" t="b">
        <v>1</v>
      </c>
      <c r="E1392" t="s">
        <v>10</v>
      </c>
      <c r="F1392">
        <v>1155</v>
      </c>
    </row>
    <row r="1393" spans="1:6" x14ac:dyDescent="0.25">
      <c r="A1393" t="s">
        <v>2600</v>
      </c>
      <c r="B1393" t="s">
        <v>2601</v>
      </c>
      <c r="C1393" s="1">
        <v>44083</v>
      </c>
      <c r="D1393" t="b">
        <v>1</v>
      </c>
      <c r="E1393" t="s">
        <v>10</v>
      </c>
      <c r="F1393">
        <v>1156</v>
      </c>
    </row>
    <row r="1394" spans="1:6" x14ac:dyDescent="0.25">
      <c r="A1394" t="s">
        <v>2602</v>
      </c>
      <c r="B1394" t="s">
        <v>2603</v>
      </c>
      <c r="C1394" s="1">
        <v>44083</v>
      </c>
      <c r="D1394" t="b">
        <v>1</v>
      </c>
      <c r="E1394" t="s">
        <v>10</v>
      </c>
      <c r="F1394">
        <v>1157</v>
      </c>
    </row>
    <row r="1395" spans="1:6" x14ac:dyDescent="0.25">
      <c r="A1395" t="s">
        <v>2604</v>
      </c>
      <c r="B1395" t="s">
        <v>2605</v>
      </c>
      <c r="C1395" s="1">
        <v>44083</v>
      </c>
      <c r="D1395" t="b">
        <v>1</v>
      </c>
      <c r="E1395" t="s">
        <v>10</v>
      </c>
      <c r="F1395">
        <v>13989</v>
      </c>
    </row>
    <row r="1396" spans="1:6" x14ac:dyDescent="0.25">
      <c r="A1396" t="s">
        <v>2606</v>
      </c>
      <c r="B1396" t="s">
        <v>2607</v>
      </c>
      <c r="C1396" s="1">
        <v>44083</v>
      </c>
      <c r="D1396" t="b">
        <v>1</v>
      </c>
      <c r="E1396" t="s">
        <v>10</v>
      </c>
      <c r="F1396">
        <v>4931</v>
      </c>
    </row>
    <row r="1397" spans="1:6" x14ac:dyDescent="0.25">
      <c r="A1397" t="s">
        <v>2608</v>
      </c>
      <c r="C1397" s="1">
        <v>44083</v>
      </c>
      <c r="D1397" t="b">
        <v>1</v>
      </c>
      <c r="E1397" t="s">
        <v>10</v>
      </c>
      <c r="F1397">
        <v>15918</v>
      </c>
    </row>
    <row r="1398" spans="1:6" x14ac:dyDescent="0.25">
      <c r="A1398" t="s">
        <v>2609</v>
      </c>
      <c r="B1398" t="s">
        <v>2610</v>
      </c>
      <c r="C1398" s="1">
        <v>44083</v>
      </c>
      <c r="D1398" t="b">
        <v>1</v>
      </c>
      <c r="E1398" t="s">
        <v>10</v>
      </c>
      <c r="F1398">
        <v>10123</v>
      </c>
    </row>
    <row r="1399" spans="1:6" x14ac:dyDescent="0.25">
      <c r="A1399" t="s">
        <v>2611</v>
      </c>
      <c r="B1399" t="s">
        <v>2612</v>
      </c>
      <c r="C1399" s="1">
        <v>44083</v>
      </c>
      <c r="D1399" t="b">
        <v>1</v>
      </c>
      <c r="E1399" t="s">
        <v>10</v>
      </c>
      <c r="F1399">
        <v>1160</v>
      </c>
    </row>
    <row r="1400" spans="1:6" x14ac:dyDescent="0.25">
      <c r="A1400" t="s">
        <v>2613</v>
      </c>
      <c r="B1400" t="s">
        <v>2614</v>
      </c>
      <c r="C1400" s="1">
        <v>44083</v>
      </c>
      <c r="D1400" t="b">
        <v>1</v>
      </c>
      <c r="E1400" t="s">
        <v>10</v>
      </c>
      <c r="F1400">
        <v>1161</v>
      </c>
    </row>
    <row r="1401" spans="1:6" x14ac:dyDescent="0.25">
      <c r="A1401" t="s">
        <v>2615</v>
      </c>
      <c r="B1401" t="s">
        <v>2616</v>
      </c>
      <c r="C1401" s="1">
        <v>44083</v>
      </c>
      <c r="D1401" t="b">
        <v>1</v>
      </c>
      <c r="E1401" t="s">
        <v>10</v>
      </c>
      <c r="F1401">
        <v>1162</v>
      </c>
    </row>
    <row r="1402" spans="1:6" x14ac:dyDescent="0.25">
      <c r="A1402" t="s">
        <v>2617</v>
      </c>
      <c r="B1402" t="s">
        <v>2618</v>
      </c>
      <c r="C1402" s="1">
        <v>44083</v>
      </c>
      <c r="D1402" t="b">
        <v>1</v>
      </c>
      <c r="E1402" t="s">
        <v>10</v>
      </c>
      <c r="F1402">
        <v>1163</v>
      </c>
    </row>
    <row r="1403" spans="1:6" x14ac:dyDescent="0.25">
      <c r="A1403" t="s">
        <v>2619</v>
      </c>
      <c r="B1403" t="s">
        <v>2620</v>
      </c>
      <c r="C1403" s="1">
        <v>44083</v>
      </c>
      <c r="D1403" t="b">
        <v>1</v>
      </c>
      <c r="E1403" t="s">
        <v>10</v>
      </c>
      <c r="F1403">
        <v>10232</v>
      </c>
    </row>
    <row r="1404" spans="1:6" x14ac:dyDescent="0.25">
      <c r="A1404" t="s">
        <v>2621</v>
      </c>
      <c r="C1404" s="1">
        <v>44083</v>
      </c>
      <c r="D1404" t="b">
        <v>1</v>
      </c>
      <c r="E1404" t="s">
        <v>10</v>
      </c>
      <c r="F1404">
        <v>12401</v>
      </c>
    </row>
    <row r="1405" spans="1:6" x14ac:dyDescent="0.25">
      <c r="A1405" t="s">
        <v>2622</v>
      </c>
      <c r="C1405" s="1">
        <v>44083</v>
      </c>
      <c r="D1405" t="b">
        <v>1</v>
      </c>
      <c r="E1405" t="s">
        <v>10</v>
      </c>
      <c r="F1405">
        <v>12402</v>
      </c>
    </row>
    <row r="1406" spans="1:6" x14ac:dyDescent="0.25">
      <c r="A1406" t="s">
        <v>2623</v>
      </c>
      <c r="B1406" t="s">
        <v>2624</v>
      </c>
      <c r="C1406" s="1">
        <v>44083</v>
      </c>
      <c r="D1406" t="b">
        <v>1</v>
      </c>
      <c r="E1406" t="s">
        <v>10</v>
      </c>
      <c r="F1406">
        <v>1164</v>
      </c>
    </row>
    <row r="1407" spans="1:6" x14ac:dyDescent="0.25">
      <c r="A1407" t="s">
        <v>2625</v>
      </c>
      <c r="B1407" t="s">
        <v>2626</v>
      </c>
      <c r="C1407" s="1">
        <v>44083</v>
      </c>
      <c r="D1407" t="b">
        <v>1</v>
      </c>
      <c r="E1407" t="s">
        <v>10</v>
      </c>
      <c r="F1407">
        <v>1165</v>
      </c>
    </row>
    <row r="1408" spans="1:6" x14ac:dyDescent="0.25">
      <c r="A1408" t="s">
        <v>2627</v>
      </c>
      <c r="B1408" t="s">
        <v>2628</v>
      </c>
      <c r="C1408" s="1">
        <v>44083</v>
      </c>
      <c r="D1408" t="b">
        <v>1</v>
      </c>
      <c r="E1408" t="s">
        <v>10</v>
      </c>
      <c r="F1408">
        <v>1166</v>
      </c>
    </row>
    <row r="1409" spans="1:6" x14ac:dyDescent="0.25">
      <c r="A1409" t="s">
        <v>2629</v>
      </c>
      <c r="B1409" t="s">
        <v>2630</v>
      </c>
      <c r="C1409" s="1">
        <v>44083</v>
      </c>
      <c r="D1409" t="b">
        <v>1</v>
      </c>
      <c r="E1409" t="s">
        <v>10</v>
      </c>
      <c r="F1409">
        <v>13640</v>
      </c>
    </row>
    <row r="1410" spans="1:6" x14ac:dyDescent="0.25">
      <c r="A1410" t="s">
        <v>2631</v>
      </c>
      <c r="B1410" t="s">
        <v>2630</v>
      </c>
      <c r="C1410" s="1">
        <v>44083</v>
      </c>
      <c r="D1410" t="b">
        <v>1</v>
      </c>
      <c r="E1410" t="s">
        <v>10</v>
      </c>
      <c r="F1410">
        <v>11176</v>
      </c>
    </row>
    <row r="1411" spans="1:6" x14ac:dyDescent="0.25">
      <c r="A1411" t="s">
        <v>2632</v>
      </c>
      <c r="B1411" t="s">
        <v>2633</v>
      </c>
      <c r="C1411" s="1">
        <v>44083</v>
      </c>
      <c r="D1411" t="b">
        <v>1</v>
      </c>
      <c r="E1411" t="s">
        <v>10</v>
      </c>
      <c r="F1411">
        <v>1167</v>
      </c>
    </row>
    <row r="1412" spans="1:6" x14ac:dyDescent="0.25">
      <c r="A1412" t="s">
        <v>2634</v>
      </c>
      <c r="B1412" t="s">
        <v>2635</v>
      </c>
      <c r="C1412" s="1">
        <v>44083</v>
      </c>
      <c r="D1412" t="b">
        <v>1</v>
      </c>
      <c r="E1412" t="s">
        <v>10</v>
      </c>
      <c r="F1412">
        <v>8886</v>
      </c>
    </row>
    <row r="1413" spans="1:6" x14ac:dyDescent="0.25">
      <c r="A1413" t="s">
        <v>2636</v>
      </c>
      <c r="B1413" t="s">
        <v>2637</v>
      </c>
      <c r="C1413" s="1">
        <v>44083</v>
      </c>
      <c r="D1413" t="b">
        <v>1</v>
      </c>
      <c r="E1413" t="s">
        <v>10</v>
      </c>
      <c r="F1413">
        <v>15949</v>
      </c>
    </row>
    <row r="1414" spans="1:6" x14ac:dyDescent="0.25">
      <c r="A1414" t="s">
        <v>2638</v>
      </c>
      <c r="B1414" t="s">
        <v>2639</v>
      </c>
      <c r="C1414" s="1">
        <v>44083</v>
      </c>
      <c r="D1414" t="b">
        <v>1</v>
      </c>
      <c r="E1414" t="s">
        <v>10</v>
      </c>
      <c r="F1414">
        <v>12819</v>
      </c>
    </row>
    <row r="1415" spans="1:6" x14ac:dyDescent="0.25">
      <c r="A1415" t="s">
        <v>2640</v>
      </c>
      <c r="B1415" t="s">
        <v>2641</v>
      </c>
      <c r="C1415" s="1">
        <v>44083</v>
      </c>
      <c r="D1415" t="b">
        <v>1</v>
      </c>
      <c r="E1415" t="s">
        <v>10</v>
      </c>
      <c r="F1415">
        <v>1168</v>
      </c>
    </row>
    <row r="1416" spans="1:6" x14ac:dyDescent="0.25">
      <c r="A1416" t="s">
        <v>2642</v>
      </c>
      <c r="B1416" t="s">
        <v>2643</v>
      </c>
      <c r="C1416" s="1">
        <v>44083</v>
      </c>
      <c r="D1416" t="b">
        <v>1</v>
      </c>
      <c r="E1416" t="s">
        <v>10</v>
      </c>
      <c r="F1416">
        <v>16753</v>
      </c>
    </row>
    <row r="1417" spans="1:6" x14ac:dyDescent="0.25">
      <c r="A1417" t="s">
        <v>2644</v>
      </c>
      <c r="B1417" t="s">
        <v>2645</v>
      </c>
      <c r="C1417" s="1">
        <v>44083</v>
      </c>
      <c r="D1417" t="b">
        <v>1</v>
      </c>
      <c r="E1417" t="s">
        <v>10</v>
      </c>
      <c r="F1417">
        <v>15408</v>
      </c>
    </row>
    <row r="1418" spans="1:6" x14ac:dyDescent="0.25">
      <c r="A1418" t="s">
        <v>2646</v>
      </c>
      <c r="B1418" t="s">
        <v>2647</v>
      </c>
      <c r="C1418" s="1">
        <v>44083</v>
      </c>
      <c r="D1418" t="b">
        <v>1</v>
      </c>
      <c r="E1418" t="s">
        <v>10</v>
      </c>
      <c r="F1418">
        <v>15240</v>
      </c>
    </row>
    <row r="1419" spans="1:6" x14ac:dyDescent="0.25">
      <c r="A1419" t="s">
        <v>2648</v>
      </c>
      <c r="C1419" s="1">
        <v>44083</v>
      </c>
      <c r="D1419" t="b">
        <v>1</v>
      </c>
      <c r="E1419" t="s">
        <v>10</v>
      </c>
      <c r="F1419">
        <v>15412</v>
      </c>
    </row>
    <row r="1420" spans="1:6" x14ac:dyDescent="0.25">
      <c r="A1420" t="s">
        <v>2649</v>
      </c>
      <c r="B1420" t="s">
        <v>2650</v>
      </c>
      <c r="C1420" s="1">
        <v>44083</v>
      </c>
      <c r="D1420" t="b">
        <v>1</v>
      </c>
      <c r="E1420" t="s">
        <v>10</v>
      </c>
      <c r="F1420">
        <v>1172</v>
      </c>
    </row>
    <row r="1421" spans="1:6" x14ac:dyDescent="0.25">
      <c r="A1421" t="s">
        <v>2651</v>
      </c>
      <c r="B1421" t="s">
        <v>2652</v>
      </c>
      <c r="C1421" s="1">
        <v>44083</v>
      </c>
      <c r="D1421" t="b">
        <v>1</v>
      </c>
      <c r="E1421" t="s">
        <v>10</v>
      </c>
      <c r="F1421">
        <v>1173</v>
      </c>
    </row>
    <row r="1422" spans="1:6" x14ac:dyDescent="0.25">
      <c r="A1422" t="s">
        <v>2653</v>
      </c>
      <c r="B1422" t="s">
        <v>2654</v>
      </c>
      <c r="C1422" s="1">
        <v>44083</v>
      </c>
      <c r="D1422" t="b">
        <v>1</v>
      </c>
      <c r="E1422" t="s">
        <v>10</v>
      </c>
      <c r="F1422">
        <v>9179</v>
      </c>
    </row>
    <row r="1423" spans="1:6" x14ac:dyDescent="0.25">
      <c r="A1423" t="s">
        <v>2655</v>
      </c>
      <c r="C1423" s="1">
        <v>44083</v>
      </c>
      <c r="D1423" t="b">
        <v>1</v>
      </c>
      <c r="E1423" t="s">
        <v>10</v>
      </c>
      <c r="F1423">
        <v>15413</v>
      </c>
    </row>
    <row r="1424" spans="1:6" x14ac:dyDescent="0.25">
      <c r="A1424" t="s">
        <v>2656</v>
      </c>
      <c r="C1424" s="1">
        <v>44083</v>
      </c>
      <c r="D1424" t="b">
        <v>1</v>
      </c>
      <c r="E1424" t="s">
        <v>10</v>
      </c>
      <c r="F1424">
        <v>16236</v>
      </c>
    </row>
    <row r="1425" spans="1:6" x14ac:dyDescent="0.25">
      <c r="A1425" t="s">
        <v>2657</v>
      </c>
      <c r="B1425" t="s">
        <v>2647</v>
      </c>
      <c r="C1425" s="1">
        <v>44083</v>
      </c>
      <c r="D1425" t="b">
        <v>1</v>
      </c>
      <c r="E1425" t="s">
        <v>10</v>
      </c>
      <c r="F1425">
        <v>17073</v>
      </c>
    </row>
    <row r="1426" spans="1:6" x14ac:dyDescent="0.25">
      <c r="A1426" t="s">
        <v>2658</v>
      </c>
      <c r="B1426" t="s">
        <v>2659</v>
      </c>
      <c r="C1426" s="1">
        <v>44083</v>
      </c>
      <c r="D1426" t="b">
        <v>1</v>
      </c>
      <c r="E1426" t="s">
        <v>10</v>
      </c>
      <c r="F1426">
        <v>10197</v>
      </c>
    </row>
    <row r="1427" spans="1:6" x14ac:dyDescent="0.25">
      <c r="A1427" t="s">
        <v>2660</v>
      </c>
      <c r="B1427" t="s">
        <v>2661</v>
      </c>
      <c r="C1427" s="1">
        <v>44083</v>
      </c>
      <c r="D1427" t="b">
        <v>1</v>
      </c>
      <c r="E1427" t="s">
        <v>10</v>
      </c>
      <c r="F1427">
        <v>8887</v>
      </c>
    </row>
    <row r="1428" spans="1:6" x14ac:dyDescent="0.25">
      <c r="A1428" t="s">
        <v>2662</v>
      </c>
      <c r="B1428" t="s">
        <v>2663</v>
      </c>
      <c r="C1428" s="1">
        <v>44083</v>
      </c>
      <c r="D1428" t="b">
        <v>1</v>
      </c>
      <c r="E1428" t="s">
        <v>10</v>
      </c>
      <c r="F1428">
        <v>1179</v>
      </c>
    </row>
    <row r="1429" spans="1:6" x14ac:dyDescent="0.25">
      <c r="A1429" t="s">
        <v>2664</v>
      </c>
      <c r="B1429" t="s">
        <v>2665</v>
      </c>
      <c r="C1429" s="1">
        <v>44083</v>
      </c>
      <c r="D1429" t="b">
        <v>1</v>
      </c>
      <c r="E1429" t="s">
        <v>10</v>
      </c>
      <c r="F1429">
        <v>8564</v>
      </c>
    </row>
    <row r="1430" spans="1:6" x14ac:dyDescent="0.25">
      <c r="A1430" t="s">
        <v>2666</v>
      </c>
      <c r="B1430" t="s">
        <v>2667</v>
      </c>
      <c r="C1430" s="1">
        <v>44083</v>
      </c>
      <c r="D1430" t="b">
        <v>1</v>
      </c>
      <c r="E1430" t="s">
        <v>10</v>
      </c>
      <c r="F1430">
        <v>1182</v>
      </c>
    </row>
    <row r="1431" spans="1:6" x14ac:dyDescent="0.25">
      <c r="A1431" t="s">
        <v>2668</v>
      </c>
      <c r="C1431" s="1">
        <v>44083</v>
      </c>
      <c r="D1431" t="b">
        <v>1</v>
      </c>
      <c r="E1431" t="s">
        <v>10</v>
      </c>
      <c r="F1431">
        <v>15397</v>
      </c>
    </row>
    <row r="1432" spans="1:6" x14ac:dyDescent="0.25">
      <c r="A1432" t="s">
        <v>2669</v>
      </c>
      <c r="B1432" t="s">
        <v>2670</v>
      </c>
      <c r="C1432" s="1">
        <v>44083</v>
      </c>
      <c r="D1432" t="b">
        <v>1</v>
      </c>
      <c r="E1432" t="s">
        <v>10</v>
      </c>
      <c r="F1432">
        <v>1183</v>
      </c>
    </row>
    <row r="1433" spans="1:6" x14ac:dyDescent="0.25">
      <c r="A1433" t="s">
        <v>2671</v>
      </c>
      <c r="B1433" t="s">
        <v>2672</v>
      </c>
      <c r="C1433" s="1">
        <v>44083</v>
      </c>
      <c r="D1433" t="b">
        <v>1</v>
      </c>
      <c r="E1433" t="s">
        <v>10</v>
      </c>
      <c r="F1433">
        <v>1184</v>
      </c>
    </row>
    <row r="1434" spans="1:6" x14ac:dyDescent="0.25">
      <c r="A1434" t="s">
        <v>2673</v>
      </c>
      <c r="B1434" t="s">
        <v>2674</v>
      </c>
      <c r="C1434" s="1">
        <v>44083</v>
      </c>
      <c r="D1434" t="b">
        <v>1</v>
      </c>
      <c r="E1434" t="s">
        <v>10</v>
      </c>
      <c r="F1434">
        <v>13017</v>
      </c>
    </row>
    <row r="1435" spans="1:6" x14ac:dyDescent="0.25">
      <c r="A1435" t="s">
        <v>2675</v>
      </c>
      <c r="B1435" t="s">
        <v>2676</v>
      </c>
      <c r="C1435" s="1">
        <v>44083</v>
      </c>
      <c r="D1435" t="b">
        <v>1</v>
      </c>
      <c r="E1435" t="s">
        <v>10</v>
      </c>
      <c r="F1435">
        <v>14673</v>
      </c>
    </row>
    <row r="1436" spans="1:6" x14ac:dyDescent="0.25">
      <c r="A1436" t="s">
        <v>2677</v>
      </c>
      <c r="B1436" t="s">
        <v>2678</v>
      </c>
      <c r="C1436" s="1">
        <v>44083</v>
      </c>
      <c r="D1436" t="b">
        <v>1</v>
      </c>
      <c r="E1436" t="s">
        <v>10</v>
      </c>
      <c r="F1436">
        <v>1185</v>
      </c>
    </row>
    <row r="1437" spans="1:6" x14ac:dyDescent="0.25">
      <c r="A1437" t="s">
        <v>2679</v>
      </c>
      <c r="B1437" t="s">
        <v>2680</v>
      </c>
      <c r="C1437" s="1">
        <v>44083</v>
      </c>
      <c r="D1437" t="b">
        <v>1</v>
      </c>
      <c r="E1437" t="s">
        <v>10</v>
      </c>
      <c r="F1437">
        <v>7723</v>
      </c>
    </row>
    <row r="1438" spans="1:6" x14ac:dyDescent="0.25">
      <c r="A1438" t="s">
        <v>2681</v>
      </c>
      <c r="B1438" t="s">
        <v>2682</v>
      </c>
      <c r="C1438" s="1">
        <v>44083</v>
      </c>
      <c r="D1438" t="b">
        <v>1</v>
      </c>
      <c r="E1438" t="s">
        <v>10</v>
      </c>
      <c r="F1438">
        <v>1188</v>
      </c>
    </row>
    <row r="1439" spans="1:6" x14ac:dyDescent="0.25">
      <c r="A1439" t="s">
        <v>2683</v>
      </c>
      <c r="B1439" t="s">
        <v>2684</v>
      </c>
      <c r="C1439" s="1">
        <v>44083</v>
      </c>
      <c r="D1439" t="b">
        <v>1</v>
      </c>
      <c r="E1439" t="s">
        <v>10</v>
      </c>
      <c r="F1439">
        <v>1189</v>
      </c>
    </row>
    <row r="1440" spans="1:6" x14ac:dyDescent="0.25">
      <c r="A1440" t="s">
        <v>2685</v>
      </c>
      <c r="B1440" t="s">
        <v>2686</v>
      </c>
      <c r="C1440" s="1">
        <v>44083</v>
      </c>
      <c r="D1440" t="b">
        <v>1</v>
      </c>
      <c r="E1440" t="s">
        <v>10</v>
      </c>
      <c r="F1440">
        <v>16844</v>
      </c>
    </row>
    <row r="1441" spans="1:6" x14ac:dyDescent="0.25">
      <c r="A1441" t="s">
        <v>2687</v>
      </c>
      <c r="B1441" t="s">
        <v>2688</v>
      </c>
      <c r="C1441" s="1">
        <v>44083</v>
      </c>
      <c r="D1441" t="b">
        <v>1</v>
      </c>
      <c r="E1441" t="s">
        <v>10</v>
      </c>
      <c r="F1441">
        <v>16589</v>
      </c>
    </row>
    <row r="1442" spans="1:6" x14ac:dyDescent="0.25">
      <c r="A1442" t="s">
        <v>2689</v>
      </c>
      <c r="C1442" s="1">
        <v>44083</v>
      </c>
      <c r="D1442" t="b">
        <v>1</v>
      </c>
      <c r="E1442" t="s">
        <v>10</v>
      </c>
      <c r="F1442">
        <v>16858</v>
      </c>
    </row>
    <row r="1443" spans="1:6" x14ac:dyDescent="0.25">
      <c r="A1443" t="s">
        <v>2690</v>
      </c>
      <c r="B1443" t="s">
        <v>2691</v>
      </c>
      <c r="C1443" s="1">
        <v>44083</v>
      </c>
      <c r="D1443" t="b">
        <v>1</v>
      </c>
      <c r="E1443" t="s">
        <v>10</v>
      </c>
      <c r="F1443">
        <v>14377</v>
      </c>
    </row>
    <row r="1444" spans="1:6" x14ac:dyDescent="0.25">
      <c r="A1444" t="s">
        <v>2692</v>
      </c>
      <c r="B1444" t="s">
        <v>2693</v>
      </c>
      <c r="C1444" s="1">
        <v>44083</v>
      </c>
      <c r="D1444" t="b">
        <v>1</v>
      </c>
      <c r="E1444" t="s">
        <v>10</v>
      </c>
      <c r="F1444">
        <v>1194</v>
      </c>
    </row>
    <row r="1445" spans="1:6" x14ac:dyDescent="0.25">
      <c r="A1445" t="s">
        <v>2694</v>
      </c>
      <c r="B1445" t="s">
        <v>2695</v>
      </c>
      <c r="C1445" s="1">
        <v>44083</v>
      </c>
      <c r="D1445" t="b">
        <v>1</v>
      </c>
      <c r="E1445" t="s">
        <v>10</v>
      </c>
      <c r="F1445">
        <v>10131</v>
      </c>
    </row>
    <row r="1446" spans="1:6" x14ac:dyDescent="0.25">
      <c r="A1446" t="s">
        <v>2696</v>
      </c>
      <c r="B1446" t="s">
        <v>2697</v>
      </c>
      <c r="C1446" s="1">
        <v>44083</v>
      </c>
      <c r="D1446" t="b">
        <v>1</v>
      </c>
      <c r="E1446" t="s">
        <v>10</v>
      </c>
      <c r="F1446">
        <v>16833</v>
      </c>
    </row>
    <row r="1447" spans="1:6" x14ac:dyDescent="0.25">
      <c r="A1447" t="s">
        <v>2698</v>
      </c>
      <c r="C1447" s="1">
        <v>44083</v>
      </c>
      <c r="D1447" t="b">
        <v>1</v>
      </c>
      <c r="E1447" t="s">
        <v>10</v>
      </c>
      <c r="F1447">
        <v>16850</v>
      </c>
    </row>
    <row r="1448" spans="1:6" x14ac:dyDescent="0.25">
      <c r="A1448" t="s">
        <v>2699</v>
      </c>
      <c r="B1448" t="s">
        <v>2697</v>
      </c>
      <c r="C1448" s="1">
        <v>44083</v>
      </c>
      <c r="D1448" t="b">
        <v>1</v>
      </c>
      <c r="E1448" t="s">
        <v>10</v>
      </c>
      <c r="F1448">
        <v>16603</v>
      </c>
    </row>
    <row r="1449" spans="1:6" x14ac:dyDescent="0.25">
      <c r="A1449" t="s">
        <v>2700</v>
      </c>
      <c r="B1449" t="s">
        <v>2701</v>
      </c>
      <c r="C1449" s="1">
        <v>44083</v>
      </c>
      <c r="D1449" t="b">
        <v>1</v>
      </c>
      <c r="E1449" t="s">
        <v>10</v>
      </c>
      <c r="F1449">
        <v>9917</v>
      </c>
    </row>
    <row r="1450" spans="1:6" x14ac:dyDescent="0.25">
      <c r="A1450" t="s">
        <v>2702</v>
      </c>
      <c r="B1450" t="s">
        <v>2703</v>
      </c>
      <c r="C1450" s="1">
        <v>44083</v>
      </c>
      <c r="D1450" t="b">
        <v>1</v>
      </c>
      <c r="E1450" t="s">
        <v>10</v>
      </c>
      <c r="F1450">
        <v>1196</v>
      </c>
    </row>
    <row r="1451" spans="1:6" x14ac:dyDescent="0.25">
      <c r="A1451" t="s">
        <v>2704</v>
      </c>
      <c r="B1451" t="s">
        <v>2705</v>
      </c>
      <c r="C1451" s="1">
        <v>44083</v>
      </c>
      <c r="D1451" t="b">
        <v>1</v>
      </c>
      <c r="E1451" t="s">
        <v>10</v>
      </c>
      <c r="F1451">
        <v>1197</v>
      </c>
    </row>
    <row r="1452" spans="1:6" x14ac:dyDescent="0.25">
      <c r="A1452" t="s">
        <v>2706</v>
      </c>
      <c r="B1452" t="s">
        <v>2707</v>
      </c>
      <c r="C1452" s="1">
        <v>44083</v>
      </c>
      <c r="D1452" t="b">
        <v>1</v>
      </c>
      <c r="E1452" t="s">
        <v>10</v>
      </c>
      <c r="F1452">
        <v>9887</v>
      </c>
    </row>
    <row r="1453" spans="1:6" x14ac:dyDescent="0.25">
      <c r="A1453" t="s">
        <v>2708</v>
      </c>
      <c r="B1453" t="s">
        <v>2709</v>
      </c>
      <c r="C1453" s="1">
        <v>44083</v>
      </c>
      <c r="D1453" t="b">
        <v>1</v>
      </c>
      <c r="E1453" t="s">
        <v>10</v>
      </c>
      <c r="F1453">
        <v>1198</v>
      </c>
    </row>
    <row r="1454" spans="1:6" x14ac:dyDescent="0.25">
      <c r="A1454" t="s">
        <v>2710</v>
      </c>
      <c r="B1454" t="s">
        <v>2711</v>
      </c>
      <c r="C1454" s="1">
        <v>44083</v>
      </c>
      <c r="D1454" t="b">
        <v>1</v>
      </c>
      <c r="E1454" t="s">
        <v>10</v>
      </c>
      <c r="F1454">
        <v>1199</v>
      </c>
    </row>
    <row r="1455" spans="1:6" x14ac:dyDescent="0.25">
      <c r="A1455" t="s">
        <v>2712</v>
      </c>
      <c r="B1455" t="s">
        <v>2713</v>
      </c>
      <c r="C1455" s="1">
        <v>44083</v>
      </c>
      <c r="D1455" t="b">
        <v>1</v>
      </c>
      <c r="E1455" t="s">
        <v>10</v>
      </c>
      <c r="F1455">
        <v>1201</v>
      </c>
    </row>
    <row r="1456" spans="1:6" x14ac:dyDescent="0.25">
      <c r="A1456" t="s">
        <v>2714</v>
      </c>
      <c r="B1456" t="s">
        <v>2715</v>
      </c>
      <c r="C1456" s="1">
        <v>44083</v>
      </c>
      <c r="D1456" t="b">
        <v>1</v>
      </c>
      <c r="E1456" t="s">
        <v>10</v>
      </c>
      <c r="F1456">
        <v>1202</v>
      </c>
    </row>
    <row r="1457" spans="1:6" x14ac:dyDescent="0.25">
      <c r="A1457" t="s">
        <v>2716</v>
      </c>
      <c r="B1457" t="s">
        <v>2717</v>
      </c>
      <c r="C1457" s="1">
        <v>44083</v>
      </c>
      <c r="D1457" t="b">
        <v>1</v>
      </c>
      <c r="E1457" t="s">
        <v>10</v>
      </c>
      <c r="F1457">
        <v>9839</v>
      </c>
    </row>
    <row r="1458" spans="1:6" x14ac:dyDescent="0.25">
      <c r="A1458" t="s">
        <v>2718</v>
      </c>
      <c r="C1458" s="1">
        <v>44083</v>
      </c>
      <c r="D1458" t="b">
        <v>1</v>
      </c>
      <c r="E1458" t="s">
        <v>10</v>
      </c>
      <c r="F1458">
        <v>14528</v>
      </c>
    </row>
    <row r="1459" spans="1:6" x14ac:dyDescent="0.25">
      <c r="A1459" t="s">
        <v>2719</v>
      </c>
      <c r="B1459" t="s">
        <v>2720</v>
      </c>
      <c r="C1459" s="1">
        <v>44083</v>
      </c>
      <c r="D1459" t="b">
        <v>1</v>
      </c>
      <c r="E1459" t="s">
        <v>10</v>
      </c>
      <c r="F1459">
        <v>1203</v>
      </c>
    </row>
    <row r="1460" spans="1:6" x14ac:dyDescent="0.25">
      <c r="A1460" t="s">
        <v>2721</v>
      </c>
      <c r="B1460" t="s">
        <v>2722</v>
      </c>
      <c r="C1460" s="1">
        <v>44083</v>
      </c>
      <c r="D1460" t="b">
        <v>1</v>
      </c>
      <c r="E1460" t="s">
        <v>10</v>
      </c>
      <c r="F1460">
        <v>6499</v>
      </c>
    </row>
    <row r="1461" spans="1:6" x14ac:dyDescent="0.25">
      <c r="A1461" t="s">
        <v>2723</v>
      </c>
      <c r="B1461" t="s">
        <v>2724</v>
      </c>
      <c r="C1461" s="1">
        <v>44083</v>
      </c>
      <c r="D1461" t="b">
        <v>1</v>
      </c>
      <c r="E1461" t="s">
        <v>10</v>
      </c>
      <c r="F1461">
        <v>7826</v>
      </c>
    </row>
    <row r="1462" spans="1:6" x14ac:dyDescent="0.25">
      <c r="A1462" t="s">
        <v>2725</v>
      </c>
      <c r="B1462" t="s">
        <v>2726</v>
      </c>
      <c r="C1462" s="1">
        <v>44083</v>
      </c>
      <c r="D1462" t="b">
        <v>1</v>
      </c>
      <c r="E1462" t="s">
        <v>10</v>
      </c>
      <c r="F1462">
        <v>13509</v>
      </c>
    </row>
    <row r="1463" spans="1:6" x14ac:dyDescent="0.25">
      <c r="A1463" t="s">
        <v>2727</v>
      </c>
      <c r="B1463" t="s">
        <v>2728</v>
      </c>
      <c r="C1463" s="1">
        <v>44083</v>
      </c>
      <c r="D1463" t="b">
        <v>1</v>
      </c>
      <c r="E1463" t="s">
        <v>10</v>
      </c>
      <c r="F1463">
        <v>1208</v>
      </c>
    </row>
    <row r="1464" spans="1:6" x14ac:dyDescent="0.25">
      <c r="A1464" t="s">
        <v>2729</v>
      </c>
      <c r="B1464" t="s">
        <v>2730</v>
      </c>
      <c r="C1464" s="1">
        <v>44083</v>
      </c>
      <c r="D1464" t="b">
        <v>1</v>
      </c>
      <c r="E1464" t="s">
        <v>10</v>
      </c>
      <c r="F1464">
        <v>1209</v>
      </c>
    </row>
    <row r="1465" spans="1:6" x14ac:dyDescent="0.25">
      <c r="A1465" t="s">
        <v>2731</v>
      </c>
      <c r="B1465" t="s">
        <v>2732</v>
      </c>
      <c r="C1465" s="1">
        <v>44083</v>
      </c>
      <c r="D1465" t="b">
        <v>1</v>
      </c>
      <c r="E1465" t="s">
        <v>10</v>
      </c>
      <c r="F1465">
        <v>5766</v>
      </c>
    </row>
    <row r="1466" spans="1:6" x14ac:dyDescent="0.25">
      <c r="A1466" t="s">
        <v>2733</v>
      </c>
      <c r="B1466" t="s">
        <v>2734</v>
      </c>
      <c r="C1466" s="1">
        <v>44083</v>
      </c>
      <c r="D1466" t="b">
        <v>1</v>
      </c>
      <c r="E1466" t="s">
        <v>10</v>
      </c>
      <c r="F1466">
        <v>1210</v>
      </c>
    </row>
    <row r="1467" spans="1:6" x14ac:dyDescent="0.25">
      <c r="A1467" t="s">
        <v>2735</v>
      </c>
      <c r="B1467" t="s">
        <v>2736</v>
      </c>
      <c r="C1467" s="1">
        <v>44083</v>
      </c>
      <c r="D1467" t="b">
        <v>1</v>
      </c>
      <c r="E1467" t="s">
        <v>10</v>
      </c>
      <c r="F1467">
        <v>15302</v>
      </c>
    </row>
    <row r="1468" spans="1:6" x14ac:dyDescent="0.25">
      <c r="A1468" t="s">
        <v>2737</v>
      </c>
      <c r="B1468" t="s">
        <v>2738</v>
      </c>
      <c r="C1468" s="1">
        <v>44083</v>
      </c>
      <c r="D1468" t="b">
        <v>1</v>
      </c>
      <c r="E1468" t="s">
        <v>10</v>
      </c>
      <c r="F1468">
        <v>1211</v>
      </c>
    </row>
    <row r="1469" spans="1:6" x14ac:dyDescent="0.25">
      <c r="A1469" t="s">
        <v>2739</v>
      </c>
      <c r="B1469" t="s">
        <v>2740</v>
      </c>
      <c r="C1469" s="1">
        <v>44083</v>
      </c>
      <c r="D1469" t="b">
        <v>1</v>
      </c>
      <c r="E1469" t="s">
        <v>10</v>
      </c>
      <c r="F1469">
        <v>15294</v>
      </c>
    </row>
    <row r="1470" spans="1:6" x14ac:dyDescent="0.25">
      <c r="A1470" t="s">
        <v>2741</v>
      </c>
      <c r="B1470" t="s">
        <v>2742</v>
      </c>
      <c r="C1470" s="1">
        <v>44083</v>
      </c>
      <c r="D1470" t="b">
        <v>1</v>
      </c>
      <c r="E1470" t="s">
        <v>10</v>
      </c>
      <c r="F1470">
        <v>15303</v>
      </c>
    </row>
    <row r="1471" spans="1:6" x14ac:dyDescent="0.25">
      <c r="A1471" t="s">
        <v>2743</v>
      </c>
      <c r="B1471" t="s">
        <v>2744</v>
      </c>
      <c r="C1471" s="1">
        <v>44083</v>
      </c>
      <c r="D1471" t="b">
        <v>1</v>
      </c>
      <c r="E1471" t="s">
        <v>10</v>
      </c>
      <c r="F1471">
        <v>1212</v>
      </c>
    </row>
    <row r="1472" spans="1:6" x14ac:dyDescent="0.25">
      <c r="A1472" t="s">
        <v>2745</v>
      </c>
      <c r="B1472" t="s">
        <v>2746</v>
      </c>
      <c r="C1472" s="1">
        <v>44083</v>
      </c>
      <c r="D1472" t="b">
        <v>1</v>
      </c>
      <c r="E1472" t="s">
        <v>10</v>
      </c>
      <c r="F1472">
        <v>1213</v>
      </c>
    </row>
    <row r="1473" spans="1:6" x14ac:dyDescent="0.25">
      <c r="A1473" t="s">
        <v>2747</v>
      </c>
      <c r="B1473" t="s">
        <v>2748</v>
      </c>
      <c r="C1473" s="1">
        <v>44083</v>
      </c>
      <c r="D1473" t="b">
        <v>1</v>
      </c>
      <c r="E1473" t="s">
        <v>10</v>
      </c>
      <c r="F1473">
        <v>15304</v>
      </c>
    </row>
    <row r="1474" spans="1:6" x14ac:dyDescent="0.25">
      <c r="A1474" t="s">
        <v>2749</v>
      </c>
      <c r="B1474" t="s">
        <v>2750</v>
      </c>
      <c r="C1474" s="1">
        <v>44083</v>
      </c>
      <c r="D1474" t="b">
        <v>1</v>
      </c>
      <c r="E1474" t="s">
        <v>10</v>
      </c>
      <c r="F1474">
        <v>15305</v>
      </c>
    </row>
    <row r="1475" spans="1:6" x14ac:dyDescent="0.25">
      <c r="A1475" t="s">
        <v>2751</v>
      </c>
      <c r="B1475" t="s">
        <v>2752</v>
      </c>
      <c r="C1475" s="1">
        <v>44083</v>
      </c>
      <c r="D1475" t="b">
        <v>1</v>
      </c>
      <c r="E1475" t="s">
        <v>10</v>
      </c>
      <c r="F1475">
        <v>15306</v>
      </c>
    </row>
    <row r="1476" spans="1:6" x14ac:dyDescent="0.25">
      <c r="A1476" t="s">
        <v>2753</v>
      </c>
      <c r="B1476" t="s">
        <v>2754</v>
      </c>
      <c r="C1476" s="1">
        <v>44083</v>
      </c>
      <c r="D1476" t="b">
        <v>1</v>
      </c>
      <c r="E1476" t="s">
        <v>10</v>
      </c>
      <c r="F1476">
        <v>1214</v>
      </c>
    </row>
    <row r="1477" spans="1:6" x14ac:dyDescent="0.25">
      <c r="A1477" t="s">
        <v>2755</v>
      </c>
      <c r="B1477" t="s">
        <v>2756</v>
      </c>
      <c r="C1477" s="1">
        <v>44083</v>
      </c>
      <c r="D1477" t="b">
        <v>1</v>
      </c>
      <c r="E1477" t="s">
        <v>10</v>
      </c>
      <c r="F1477">
        <v>1218</v>
      </c>
    </row>
    <row r="1478" spans="1:6" x14ac:dyDescent="0.25">
      <c r="A1478" t="s">
        <v>2757</v>
      </c>
      <c r="B1478" t="s">
        <v>2758</v>
      </c>
      <c r="C1478" s="1">
        <v>44083</v>
      </c>
      <c r="D1478" t="b">
        <v>1</v>
      </c>
      <c r="E1478" t="s">
        <v>10</v>
      </c>
      <c r="F1478">
        <v>1220</v>
      </c>
    </row>
    <row r="1479" spans="1:6" x14ac:dyDescent="0.25">
      <c r="A1479" t="s">
        <v>2759</v>
      </c>
      <c r="B1479" t="s">
        <v>2760</v>
      </c>
      <c r="C1479" s="1">
        <v>44083</v>
      </c>
      <c r="D1479" t="b">
        <v>1</v>
      </c>
      <c r="E1479" t="s">
        <v>10</v>
      </c>
      <c r="F1479">
        <v>10132</v>
      </c>
    </row>
    <row r="1480" spans="1:6" x14ac:dyDescent="0.25">
      <c r="A1480" t="s">
        <v>2761</v>
      </c>
      <c r="B1480" t="s">
        <v>2762</v>
      </c>
      <c r="C1480" s="1">
        <v>44083</v>
      </c>
      <c r="D1480" t="b">
        <v>1</v>
      </c>
      <c r="E1480" t="s">
        <v>10</v>
      </c>
      <c r="F1480">
        <v>1223</v>
      </c>
    </row>
    <row r="1481" spans="1:6" x14ac:dyDescent="0.25">
      <c r="A1481" t="s">
        <v>2763</v>
      </c>
      <c r="B1481" t="s">
        <v>2764</v>
      </c>
      <c r="C1481" s="1">
        <v>44083</v>
      </c>
      <c r="D1481" t="b">
        <v>1</v>
      </c>
      <c r="E1481" t="s">
        <v>10</v>
      </c>
      <c r="F1481">
        <v>7827</v>
      </c>
    </row>
    <row r="1482" spans="1:6" x14ac:dyDescent="0.25">
      <c r="A1482" t="s">
        <v>2765</v>
      </c>
      <c r="C1482" s="1">
        <v>44083</v>
      </c>
      <c r="D1482" t="b">
        <v>1</v>
      </c>
      <c r="E1482" t="s">
        <v>10</v>
      </c>
      <c r="F1482">
        <v>13311</v>
      </c>
    </row>
    <row r="1483" spans="1:6" x14ac:dyDescent="0.25">
      <c r="A1483" t="s">
        <v>2766</v>
      </c>
      <c r="C1483" s="1">
        <v>44083</v>
      </c>
      <c r="D1483" t="b">
        <v>1</v>
      </c>
      <c r="E1483" t="s">
        <v>10</v>
      </c>
      <c r="F1483">
        <v>15439</v>
      </c>
    </row>
    <row r="1484" spans="1:6" x14ac:dyDescent="0.25">
      <c r="A1484" t="s">
        <v>2767</v>
      </c>
      <c r="B1484" t="s">
        <v>2768</v>
      </c>
      <c r="C1484" s="1">
        <v>44083</v>
      </c>
      <c r="D1484" t="b">
        <v>1</v>
      </c>
      <c r="E1484" t="s">
        <v>10</v>
      </c>
      <c r="F1484">
        <v>1225</v>
      </c>
    </row>
    <row r="1485" spans="1:6" x14ac:dyDescent="0.25">
      <c r="A1485" t="s">
        <v>2769</v>
      </c>
      <c r="B1485" t="s">
        <v>2770</v>
      </c>
      <c r="C1485" s="1">
        <v>44083</v>
      </c>
      <c r="D1485" t="b">
        <v>1</v>
      </c>
      <c r="E1485" t="s">
        <v>10</v>
      </c>
      <c r="F1485">
        <v>14925</v>
      </c>
    </row>
    <row r="1486" spans="1:6" x14ac:dyDescent="0.25">
      <c r="A1486" t="s">
        <v>2771</v>
      </c>
      <c r="B1486" t="s">
        <v>2772</v>
      </c>
      <c r="C1486" s="1">
        <v>44083</v>
      </c>
      <c r="D1486" t="b">
        <v>1</v>
      </c>
      <c r="E1486" t="s">
        <v>10</v>
      </c>
      <c r="F1486">
        <v>15525</v>
      </c>
    </row>
    <row r="1487" spans="1:6" x14ac:dyDescent="0.25">
      <c r="A1487" t="s">
        <v>2773</v>
      </c>
      <c r="C1487" s="1">
        <v>44083</v>
      </c>
      <c r="D1487" t="b">
        <v>1</v>
      </c>
      <c r="E1487" t="s">
        <v>10</v>
      </c>
      <c r="F1487">
        <v>15882</v>
      </c>
    </row>
    <row r="1488" spans="1:6" x14ac:dyDescent="0.25">
      <c r="A1488" t="s">
        <v>2774</v>
      </c>
      <c r="B1488" t="s">
        <v>2775</v>
      </c>
      <c r="C1488" s="1">
        <v>44083</v>
      </c>
      <c r="D1488" t="b">
        <v>1</v>
      </c>
      <c r="E1488" t="s">
        <v>10</v>
      </c>
      <c r="F1488">
        <v>1226</v>
      </c>
    </row>
    <row r="1489" spans="1:6" x14ac:dyDescent="0.25">
      <c r="A1489" t="s">
        <v>2776</v>
      </c>
      <c r="B1489" t="s">
        <v>2777</v>
      </c>
      <c r="C1489" s="1">
        <v>44083</v>
      </c>
      <c r="D1489" t="b">
        <v>1</v>
      </c>
      <c r="E1489" t="s">
        <v>10</v>
      </c>
      <c r="F1489">
        <v>16257</v>
      </c>
    </row>
    <row r="1490" spans="1:6" x14ac:dyDescent="0.25">
      <c r="A1490" t="s">
        <v>2778</v>
      </c>
      <c r="B1490" t="s">
        <v>2779</v>
      </c>
      <c r="C1490" s="1">
        <v>44083</v>
      </c>
      <c r="D1490" t="b">
        <v>1</v>
      </c>
      <c r="E1490" t="s">
        <v>10</v>
      </c>
      <c r="F1490">
        <v>16258</v>
      </c>
    </row>
    <row r="1491" spans="1:6" x14ac:dyDescent="0.25">
      <c r="A1491" t="s">
        <v>2780</v>
      </c>
      <c r="C1491" s="1">
        <v>44083</v>
      </c>
      <c r="D1491" t="b">
        <v>1</v>
      </c>
      <c r="E1491" t="s">
        <v>10</v>
      </c>
      <c r="F1491">
        <v>16453</v>
      </c>
    </row>
    <row r="1492" spans="1:6" x14ac:dyDescent="0.25">
      <c r="A1492" t="s">
        <v>2781</v>
      </c>
      <c r="B1492" t="s">
        <v>2782</v>
      </c>
      <c r="C1492" s="1">
        <v>44083</v>
      </c>
      <c r="D1492" t="b">
        <v>1</v>
      </c>
      <c r="E1492" t="s">
        <v>10</v>
      </c>
      <c r="F1492">
        <v>14651</v>
      </c>
    </row>
    <row r="1493" spans="1:6" x14ac:dyDescent="0.25">
      <c r="A1493" t="s">
        <v>2783</v>
      </c>
      <c r="B1493" t="s">
        <v>2784</v>
      </c>
      <c r="C1493" s="1">
        <v>44083</v>
      </c>
      <c r="D1493" t="b">
        <v>1</v>
      </c>
      <c r="E1493" t="s">
        <v>10</v>
      </c>
      <c r="F1493">
        <v>9444</v>
      </c>
    </row>
    <row r="1494" spans="1:6" x14ac:dyDescent="0.25">
      <c r="A1494" t="s">
        <v>2785</v>
      </c>
      <c r="B1494" t="s">
        <v>2786</v>
      </c>
      <c r="C1494" s="1">
        <v>44083</v>
      </c>
      <c r="D1494" t="b">
        <v>1</v>
      </c>
      <c r="E1494" t="s">
        <v>10</v>
      </c>
      <c r="F1494">
        <v>1230</v>
      </c>
    </row>
    <row r="1495" spans="1:6" x14ac:dyDescent="0.25">
      <c r="A1495" t="s">
        <v>2787</v>
      </c>
      <c r="B1495" t="s">
        <v>2788</v>
      </c>
      <c r="C1495" s="1">
        <v>44083</v>
      </c>
      <c r="D1495" t="b">
        <v>1</v>
      </c>
      <c r="E1495" t="s">
        <v>10</v>
      </c>
      <c r="F1495">
        <v>1231</v>
      </c>
    </row>
    <row r="1496" spans="1:6" x14ac:dyDescent="0.25">
      <c r="A1496" t="s">
        <v>2789</v>
      </c>
      <c r="C1496" s="1">
        <v>44083</v>
      </c>
      <c r="D1496" t="b">
        <v>1</v>
      </c>
      <c r="E1496" t="s">
        <v>10</v>
      </c>
      <c r="F1496">
        <v>9683</v>
      </c>
    </row>
    <row r="1497" spans="1:6" x14ac:dyDescent="0.25">
      <c r="A1497" t="s">
        <v>2790</v>
      </c>
      <c r="C1497" s="1">
        <v>44083</v>
      </c>
      <c r="D1497" t="b">
        <v>1</v>
      </c>
      <c r="E1497" t="s">
        <v>10</v>
      </c>
      <c r="F1497">
        <v>9270</v>
      </c>
    </row>
    <row r="1498" spans="1:6" x14ac:dyDescent="0.25">
      <c r="A1498" t="s">
        <v>2791</v>
      </c>
      <c r="C1498" s="1">
        <v>44083</v>
      </c>
      <c r="D1498" t="b">
        <v>1</v>
      </c>
      <c r="E1498" t="s">
        <v>10</v>
      </c>
      <c r="F1498">
        <v>8456</v>
      </c>
    </row>
    <row r="1499" spans="1:6" x14ac:dyDescent="0.25">
      <c r="A1499" t="s">
        <v>2792</v>
      </c>
      <c r="C1499" s="1">
        <v>44083</v>
      </c>
      <c r="D1499" t="b">
        <v>1</v>
      </c>
      <c r="E1499" t="s">
        <v>10</v>
      </c>
      <c r="F1499">
        <v>7808</v>
      </c>
    </row>
    <row r="1500" spans="1:6" x14ac:dyDescent="0.25">
      <c r="A1500" t="s">
        <v>2793</v>
      </c>
      <c r="C1500" s="1">
        <v>44083</v>
      </c>
      <c r="D1500" t="b">
        <v>1</v>
      </c>
      <c r="E1500" t="s">
        <v>10</v>
      </c>
      <c r="F1500">
        <v>1232</v>
      </c>
    </row>
    <row r="1501" spans="1:6" x14ac:dyDescent="0.25">
      <c r="A1501" t="s">
        <v>2794</v>
      </c>
      <c r="B1501" t="s">
        <v>2795</v>
      </c>
      <c r="C1501" s="1">
        <v>44083</v>
      </c>
      <c r="D1501" t="b">
        <v>1</v>
      </c>
      <c r="E1501" t="s">
        <v>10</v>
      </c>
      <c r="F1501">
        <v>1235</v>
      </c>
    </row>
    <row r="1502" spans="1:6" x14ac:dyDescent="0.25">
      <c r="A1502" t="s">
        <v>2796</v>
      </c>
      <c r="B1502" t="s">
        <v>2797</v>
      </c>
      <c r="C1502" s="1">
        <v>44083</v>
      </c>
      <c r="D1502" t="b">
        <v>1</v>
      </c>
      <c r="E1502" t="s">
        <v>10</v>
      </c>
      <c r="F1502">
        <v>11393</v>
      </c>
    </row>
    <row r="1503" spans="1:6" x14ac:dyDescent="0.25">
      <c r="A1503" t="s">
        <v>2798</v>
      </c>
      <c r="B1503" t="s">
        <v>2799</v>
      </c>
      <c r="C1503" s="1">
        <v>44083</v>
      </c>
      <c r="D1503" t="b">
        <v>1</v>
      </c>
      <c r="E1503" t="s">
        <v>10</v>
      </c>
      <c r="F1503">
        <v>1238</v>
      </c>
    </row>
    <row r="1504" spans="1:6" x14ac:dyDescent="0.25">
      <c r="A1504" t="s">
        <v>2800</v>
      </c>
      <c r="B1504" t="s">
        <v>2801</v>
      </c>
      <c r="C1504" s="1">
        <v>44083</v>
      </c>
      <c r="D1504" t="b">
        <v>1</v>
      </c>
      <c r="E1504" t="s">
        <v>10</v>
      </c>
      <c r="F1504">
        <v>1239</v>
      </c>
    </row>
    <row r="1505" spans="1:6" x14ac:dyDescent="0.25">
      <c r="A1505" t="s">
        <v>2802</v>
      </c>
      <c r="B1505" t="s">
        <v>2803</v>
      </c>
      <c r="C1505" s="1">
        <v>44083</v>
      </c>
      <c r="D1505" t="b">
        <v>1</v>
      </c>
      <c r="E1505" t="s">
        <v>10</v>
      </c>
      <c r="F1505">
        <v>1240</v>
      </c>
    </row>
    <row r="1506" spans="1:6" x14ac:dyDescent="0.25">
      <c r="A1506" t="s">
        <v>2804</v>
      </c>
      <c r="B1506" t="s">
        <v>2805</v>
      </c>
      <c r="C1506" s="1">
        <v>44083</v>
      </c>
      <c r="D1506" t="b">
        <v>1</v>
      </c>
      <c r="E1506" t="s">
        <v>10</v>
      </c>
      <c r="F1506">
        <v>15805</v>
      </c>
    </row>
    <row r="1507" spans="1:6" x14ac:dyDescent="0.25">
      <c r="A1507" t="s">
        <v>2806</v>
      </c>
      <c r="B1507" t="s">
        <v>2807</v>
      </c>
      <c r="C1507" s="1">
        <v>44083</v>
      </c>
      <c r="D1507" t="b">
        <v>1</v>
      </c>
      <c r="E1507" t="s">
        <v>10</v>
      </c>
      <c r="F1507">
        <v>14487</v>
      </c>
    </row>
    <row r="1508" spans="1:6" x14ac:dyDescent="0.25">
      <c r="A1508" t="s">
        <v>2808</v>
      </c>
      <c r="B1508" t="s">
        <v>2809</v>
      </c>
      <c r="C1508" s="1">
        <v>44083</v>
      </c>
      <c r="D1508" t="b">
        <v>1</v>
      </c>
      <c r="E1508" t="s">
        <v>10</v>
      </c>
      <c r="F1508">
        <v>1243</v>
      </c>
    </row>
    <row r="1509" spans="1:6" x14ac:dyDescent="0.25">
      <c r="A1509" t="s">
        <v>2810</v>
      </c>
      <c r="B1509" t="s">
        <v>2811</v>
      </c>
      <c r="C1509" s="1">
        <v>44083</v>
      </c>
      <c r="D1509" t="b">
        <v>1</v>
      </c>
      <c r="E1509" t="s">
        <v>10</v>
      </c>
      <c r="F1509">
        <v>15329</v>
      </c>
    </row>
    <row r="1510" spans="1:6" x14ac:dyDescent="0.25">
      <c r="A1510" t="s">
        <v>2812</v>
      </c>
      <c r="B1510" t="s">
        <v>2813</v>
      </c>
      <c r="C1510" s="1">
        <v>44083</v>
      </c>
      <c r="D1510" t="b">
        <v>1</v>
      </c>
      <c r="E1510" t="s">
        <v>10</v>
      </c>
      <c r="F1510">
        <v>1246</v>
      </c>
    </row>
    <row r="1511" spans="1:6" x14ac:dyDescent="0.25">
      <c r="A1511" t="s">
        <v>2814</v>
      </c>
      <c r="B1511" t="s">
        <v>2815</v>
      </c>
      <c r="C1511" s="1">
        <v>44083</v>
      </c>
      <c r="D1511" t="b">
        <v>1</v>
      </c>
      <c r="E1511" t="s">
        <v>10</v>
      </c>
      <c r="F1511">
        <v>1247</v>
      </c>
    </row>
    <row r="1512" spans="1:6" x14ac:dyDescent="0.25">
      <c r="A1512" t="s">
        <v>2816</v>
      </c>
      <c r="B1512" t="s">
        <v>2817</v>
      </c>
      <c r="C1512" s="1">
        <v>44083</v>
      </c>
      <c r="D1512" t="b">
        <v>1</v>
      </c>
      <c r="E1512" t="s">
        <v>10</v>
      </c>
      <c r="F1512">
        <v>10263</v>
      </c>
    </row>
    <row r="1513" spans="1:6" x14ac:dyDescent="0.25">
      <c r="A1513" t="s">
        <v>2818</v>
      </c>
      <c r="B1513" t="s">
        <v>2819</v>
      </c>
      <c r="C1513" s="1">
        <v>44083</v>
      </c>
      <c r="D1513" t="b">
        <v>1</v>
      </c>
      <c r="E1513" t="s">
        <v>10</v>
      </c>
      <c r="F1513">
        <v>10360</v>
      </c>
    </row>
    <row r="1514" spans="1:6" x14ac:dyDescent="0.25">
      <c r="A1514" t="s">
        <v>2820</v>
      </c>
      <c r="B1514" t="s">
        <v>2821</v>
      </c>
      <c r="C1514" s="1">
        <v>44083</v>
      </c>
      <c r="D1514" t="b">
        <v>1</v>
      </c>
      <c r="E1514" t="s">
        <v>10</v>
      </c>
      <c r="F1514">
        <v>1248</v>
      </c>
    </row>
    <row r="1515" spans="1:6" x14ac:dyDescent="0.25">
      <c r="A1515" t="s">
        <v>2822</v>
      </c>
      <c r="B1515" t="s">
        <v>2823</v>
      </c>
      <c r="C1515" s="1">
        <v>44083</v>
      </c>
      <c r="D1515" t="b">
        <v>1</v>
      </c>
      <c r="E1515" t="s">
        <v>10</v>
      </c>
      <c r="F1515">
        <v>1250</v>
      </c>
    </row>
    <row r="1516" spans="1:6" x14ac:dyDescent="0.25">
      <c r="A1516" t="s">
        <v>2824</v>
      </c>
      <c r="B1516" t="s">
        <v>2825</v>
      </c>
      <c r="C1516" s="1">
        <v>44083</v>
      </c>
      <c r="D1516" t="b">
        <v>1</v>
      </c>
      <c r="E1516" t="s">
        <v>10</v>
      </c>
      <c r="F1516">
        <v>1251</v>
      </c>
    </row>
    <row r="1517" spans="1:6" x14ac:dyDescent="0.25">
      <c r="A1517" t="s">
        <v>2826</v>
      </c>
      <c r="B1517" t="s">
        <v>2827</v>
      </c>
      <c r="C1517" s="1">
        <v>44083</v>
      </c>
      <c r="D1517" t="b">
        <v>1</v>
      </c>
      <c r="E1517" t="s">
        <v>10</v>
      </c>
      <c r="F1517">
        <v>1253</v>
      </c>
    </row>
    <row r="1518" spans="1:6" x14ac:dyDescent="0.25">
      <c r="A1518" t="s">
        <v>2828</v>
      </c>
      <c r="B1518" t="s">
        <v>2827</v>
      </c>
      <c r="C1518" s="1">
        <v>44083</v>
      </c>
      <c r="D1518" t="b">
        <v>1</v>
      </c>
      <c r="E1518" t="s">
        <v>10</v>
      </c>
      <c r="F1518">
        <v>1254</v>
      </c>
    </row>
    <row r="1519" spans="1:6" x14ac:dyDescent="0.25">
      <c r="A1519" t="s">
        <v>2829</v>
      </c>
      <c r="B1519" t="s">
        <v>2830</v>
      </c>
      <c r="C1519" s="1">
        <v>44083</v>
      </c>
      <c r="D1519" t="b">
        <v>1</v>
      </c>
      <c r="E1519" t="s">
        <v>10</v>
      </c>
      <c r="F1519">
        <v>2663</v>
      </c>
    </row>
    <row r="1520" spans="1:6" x14ac:dyDescent="0.25">
      <c r="A1520" t="s">
        <v>2831</v>
      </c>
      <c r="B1520" t="s">
        <v>2832</v>
      </c>
      <c r="C1520" s="1">
        <v>44083</v>
      </c>
      <c r="D1520" t="b">
        <v>1</v>
      </c>
      <c r="E1520" t="s">
        <v>10</v>
      </c>
      <c r="F1520">
        <v>15823</v>
      </c>
    </row>
    <row r="1521" spans="1:6" x14ac:dyDescent="0.25">
      <c r="A1521" t="s">
        <v>2833</v>
      </c>
      <c r="B1521" t="s">
        <v>2834</v>
      </c>
      <c r="C1521" s="1">
        <v>44083</v>
      </c>
      <c r="D1521" t="b">
        <v>1</v>
      </c>
      <c r="E1521" t="s">
        <v>10</v>
      </c>
      <c r="F1521">
        <v>1255</v>
      </c>
    </row>
    <row r="1522" spans="1:6" x14ac:dyDescent="0.25">
      <c r="A1522" t="s">
        <v>2835</v>
      </c>
      <c r="B1522" t="s">
        <v>2836</v>
      </c>
      <c r="C1522" s="1">
        <v>44083</v>
      </c>
      <c r="D1522" t="b">
        <v>1</v>
      </c>
      <c r="E1522" t="s">
        <v>10</v>
      </c>
      <c r="F1522">
        <v>16496</v>
      </c>
    </row>
    <row r="1523" spans="1:6" x14ac:dyDescent="0.25">
      <c r="A1523" t="s">
        <v>2837</v>
      </c>
      <c r="B1523" t="s">
        <v>2838</v>
      </c>
      <c r="C1523" s="1">
        <v>44083</v>
      </c>
      <c r="D1523" t="b">
        <v>1</v>
      </c>
      <c r="E1523" t="s">
        <v>10</v>
      </c>
      <c r="F1523">
        <v>16329</v>
      </c>
    </row>
    <row r="1524" spans="1:6" x14ac:dyDescent="0.25">
      <c r="A1524" t="s">
        <v>2839</v>
      </c>
      <c r="C1524" s="1">
        <v>44083</v>
      </c>
      <c r="D1524" t="b">
        <v>1</v>
      </c>
      <c r="E1524" t="s">
        <v>10</v>
      </c>
      <c r="F1524">
        <v>16500</v>
      </c>
    </row>
    <row r="1525" spans="1:6" x14ac:dyDescent="0.25">
      <c r="A1525" t="s">
        <v>2840</v>
      </c>
      <c r="B1525" t="s">
        <v>2841</v>
      </c>
      <c r="C1525" s="1">
        <v>44083</v>
      </c>
      <c r="D1525" t="b">
        <v>1</v>
      </c>
      <c r="E1525" t="s">
        <v>10</v>
      </c>
      <c r="F1525">
        <v>1256</v>
      </c>
    </row>
    <row r="1526" spans="1:6" x14ac:dyDescent="0.25">
      <c r="A1526" t="s">
        <v>2842</v>
      </c>
      <c r="B1526" t="s">
        <v>2819</v>
      </c>
      <c r="C1526" s="1">
        <v>44083</v>
      </c>
      <c r="D1526" t="b">
        <v>1</v>
      </c>
      <c r="E1526" t="s">
        <v>10</v>
      </c>
      <c r="F1526">
        <v>10361</v>
      </c>
    </row>
    <row r="1527" spans="1:6" x14ac:dyDescent="0.25">
      <c r="A1527" t="s">
        <v>2843</v>
      </c>
      <c r="B1527" t="s">
        <v>2844</v>
      </c>
      <c r="C1527" s="1">
        <v>44083</v>
      </c>
      <c r="D1527" t="b">
        <v>1</v>
      </c>
      <c r="E1527" t="s">
        <v>10</v>
      </c>
      <c r="F1527">
        <v>1257</v>
      </c>
    </row>
    <row r="1528" spans="1:6" x14ac:dyDescent="0.25">
      <c r="A1528" t="s">
        <v>2845</v>
      </c>
      <c r="C1528" s="1">
        <v>44083</v>
      </c>
      <c r="D1528" t="b">
        <v>1</v>
      </c>
      <c r="E1528" t="s">
        <v>10</v>
      </c>
      <c r="F1528">
        <v>11983</v>
      </c>
    </row>
    <row r="1529" spans="1:6" x14ac:dyDescent="0.25">
      <c r="A1529" t="s">
        <v>2846</v>
      </c>
      <c r="C1529" s="1">
        <v>44083</v>
      </c>
      <c r="D1529" t="b">
        <v>1</v>
      </c>
      <c r="E1529" t="s">
        <v>10</v>
      </c>
      <c r="F1529">
        <v>12427</v>
      </c>
    </row>
    <row r="1530" spans="1:6" x14ac:dyDescent="0.25">
      <c r="A1530" t="s">
        <v>2847</v>
      </c>
      <c r="C1530" s="1">
        <v>44083</v>
      </c>
      <c r="D1530" t="b">
        <v>1</v>
      </c>
      <c r="E1530" t="s">
        <v>10</v>
      </c>
      <c r="F1530">
        <v>15072</v>
      </c>
    </row>
    <row r="1531" spans="1:6" x14ac:dyDescent="0.25">
      <c r="A1531" t="s">
        <v>2848</v>
      </c>
      <c r="C1531" s="1">
        <v>44083</v>
      </c>
      <c r="D1531" t="b">
        <v>1</v>
      </c>
      <c r="E1531" t="s">
        <v>10</v>
      </c>
      <c r="F1531">
        <v>15406</v>
      </c>
    </row>
    <row r="1532" spans="1:6" x14ac:dyDescent="0.25">
      <c r="A1532" t="s">
        <v>2849</v>
      </c>
      <c r="B1532" t="s">
        <v>2850</v>
      </c>
      <c r="C1532" s="1">
        <v>44083</v>
      </c>
      <c r="D1532" t="b">
        <v>1</v>
      </c>
      <c r="E1532" t="s">
        <v>10</v>
      </c>
      <c r="F1532">
        <v>1259</v>
      </c>
    </row>
    <row r="1533" spans="1:6" x14ac:dyDescent="0.25">
      <c r="A1533" t="s">
        <v>2851</v>
      </c>
      <c r="B1533" t="s">
        <v>2852</v>
      </c>
      <c r="C1533" s="1">
        <v>44083</v>
      </c>
      <c r="D1533" t="b">
        <v>1</v>
      </c>
      <c r="E1533" t="s">
        <v>10</v>
      </c>
      <c r="F1533">
        <v>7754</v>
      </c>
    </row>
    <row r="1534" spans="1:6" x14ac:dyDescent="0.25">
      <c r="A1534" t="s">
        <v>2853</v>
      </c>
      <c r="B1534" t="s">
        <v>2854</v>
      </c>
      <c r="C1534" s="1">
        <v>44083</v>
      </c>
      <c r="D1534" t="b">
        <v>1</v>
      </c>
      <c r="E1534" t="s">
        <v>10</v>
      </c>
      <c r="F1534">
        <v>8218</v>
      </c>
    </row>
    <row r="1535" spans="1:6" x14ac:dyDescent="0.25">
      <c r="A1535" t="s">
        <v>2855</v>
      </c>
      <c r="C1535" s="1">
        <v>44083</v>
      </c>
      <c r="D1535" t="b">
        <v>1</v>
      </c>
      <c r="E1535" t="s">
        <v>10</v>
      </c>
      <c r="F1535">
        <v>11928</v>
      </c>
    </row>
    <row r="1536" spans="1:6" x14ac:dyDescent="0.25">
      <c r="A1536" t="s">
        <v>2856</v>
      </c>
      <c r="B1536" t="s">
        <v>2857</v>
      </c>
      <c r="C1536" s="1">
        <v>44083</v>
      </c>
      <c r="D1536" t="b">
        <v>1</v>
      </c>
      <c r="E1536" t="s">
        <v>10</v>
      </c>
      <c r="F1536">
        <v>1260</v>
      </c>
    </row>
    <row r="1537" spans="1:6" x14ac:dyDescent="0.25">
      <c r="A1537" t="s">
        <v>2858</v>
      </c>
      <c r="B1537" t="s">
        <v>2859</v>
      </c>
      <c r="C1537" s="1">
        <v>44083</v>
      </c>
      <c r="D1537" t="b">
        <v>1</v>
      </c>
      <c r="E1537" t="s">
        <v>10</v>
      </c>
      <c r="F1537">
        <v>1265</v>
      </c>
    </row>
    <row r="1538" spans="1:6" x14ac:dyDescent="0.25">
      <c r="A1538" t="s">
        <v>2860</v>
      </c>
      <c r="C1538" s="1">
        <v>44083</v>
      </c>
      <c r="D1538" t="b">
        <v>1</v>
      </c>
      <c r="E1538" t="s">
        <v>10</v>
      </c>
      <c r="F1538">
        <v>16310</v>
      </c>
    </row>
    <row r="1539" spans="1:6" x14ac:dyDescent="0.25">
      <c r="A1539" t="s">
        <v>2861</v>
      </c>
      <c r="B1539" t="s">
        <v>2862</v>
      </c>
      <c r="C1539" s="1">
        <v>44083</v>
      </c>
      <c r="D1539" t="b">
        <v>1</v>
      </c>
      <c r="E1539" t="s">
        <v>10</v>
      </c>
      <c r="F1539">
        <v>2453</v>
      </c>
    </row>
    <row r="1540" spans="1:6" x14ac:dyDescent="0.25">
      <c r="A1540" t="s">
        <v>2863</v>
      </c>
      <c r="B1540" t="s">
        <v>2864</v>
      </c>
      <c r="C1540" s="1">
        <v>44083</v>
      </c>
      <c r="D1540" t="b">
        <v>1</v>
      </c>
      <c r="E1540" t="s">
        <v>10</v>
      </c>
      <c r="F1540">
        <v>1268</v>
      </c>
    </row>
    <row r="1541" spans="1:6" x14ac:dyDescent="0.25">
      <c r="A1541" t="s">
        <v>2865</v>
      </c>
      <c r="B1541" t="s">
        <v>2866</v>
      </c>
      <c r="C1541" s="1">
        <v>44083</v>
      </c>
      <c r="D1541" t="b">
        <v>1</v>
      </c>
      <c r="E1541" t="s">
        <v>10</v>
      </c>
      <c r="F1541">
        <v>9329</v>
      </c>
    </row>
    <row r="1542" spans="1:6" x14ac:dyDescent="0.25">
      <c r="A1542" t="s">
        <v>2867</v>
      </c>
      <c r="B1542" t="s">
        <v>2868</v>
      </c>
      <c r="C1542" s="1">
        <v>44083</v>
      </c>
      <c r="D1542" t="b">
        <v>1</v>
      </c>
      <c r="E1542" t="s">
        <v>10</v>
      </c>
      <c r="F1542">
        <v>1269</v>
      </c>
    </row>
    <row r="1543" spans="1:6" x14ac:dyDescent="0.25">
      <c r="A1543" t="s">
        <v>2869</v>
      </c>
      <c r="B1543" t="s">
        <v>2870</v>
      </c>
      <c r="C1543" s="1">
        <v>44083</v>
      </c>
      <c r="D1543" t="b">
        <v>1</v>
      </c>
      <c r="E1543" t="s">
        <v>10</v>
      </c>
      <c r="F1543">
        <v>1271</v>
      </c>
    </row>
    <row r="1544" spans="1:6" x14ac:dyDescent="0.25">
      <c r="A1544" t="s">
        <v>2871</v>
      </c>
      <c r="B1544" t="s">
        <v>2872</v>
      </c>
      <c r="C1544" s="1">
        <v>44083</v>
      </c>
      <c r="D1544" t="b">
        <v>1</v>
      </c>
      <c r="E1544" t="s">
        <v>10</v>
      </c>
      <c r="F1544">
        <v>1273</v>
      </c>
    </row>
    <row r="1545" spans="1:6" x14ac:dyDescent="0.25">
      <c r="A1545" t="s">
        <v>2873</v>
      </c>
      <c r="B1545" t="s">
        <v>2874</v>
      </c>
      <c r="C1545" s="1">
        <v>44083</v>
      </c>
      <c r="D1545" t="b">
        <v>1</v>
      </c>
      <c r="E1545" t="s">
        <v>10</v>
      </c>
      <c r="F1545">
        <v>13067</v>
      </c>
    </row>
    <row r="1546" spans="1:6" x14ac:dyDescent="0.25">
      <c r="A1546" t="s">
        <v>2875</v>
      </c>
      <c r="B1546" t="s">
        <v>2876</v>
      </c>
      <c r="C1546" s="1">
        <v>44083</v>
      </c>
      <c r="D1546" t="b">
        <v>1</v>
      </c>
      <c r="E1546" t="s">
        <v>10</v>
      </c>
      <c r="F1546">
        <v>1276</v>
      </c>
    </row>
    <row r="1547" spans="1:6" x14ac:dyDescent="0.25">
      <c r="A1547" t="s">
        <v>2877</v>
      </c>
      <c r="B1547" t="s">
        <v>2878</v>
      </c>
      <c r="C1547" s="1">
        <v>44083</v>
      </c>
      <c r="D1547" t="b">
        <v>1</v>
      </c>
      <c r="E1547" t="s">
        <v>10</v>
      </c>
      <c r="F1547">
        <v>1277</v>
      </c>
    </row>
    <row r="1548" spans="1:6" x14ac:dyDescent="0.25">
      <c r="A1548" t="s">
        <v>2879</v>
      </c>
      <c r="B1548" t="s">
        <v>2880</v>
      </c>
      <c r="C1548" s="1">
        <v>44083</v>
      </c>
      <c r="D1548" t="b">
        <v>1</v>
      </c>
      <c r="E1548" t="s">
        <v>10</v>
      </c>
      <c r="F1548">
        <v>17060</v>
      </c>
    </row>
    <row r="1549" spans="1:6" x14ac:dyDescent="0.25">
      <c r="A1549" t="s">
        <v>2881</v>
      </c>
      <c r="B1549" t="s">
        <v>2882</v>
      </c>
      <c r="C1549" s="1">
        <v>44083</v>
      </c>
      <c r="D1549" t="b">
        <v>1</v>
      </c>
      <c r="E1549" t="s">
        <v>10</v>
      </c>
      <c r="F1549">
        <v>671</v>
      </c>
    </row>
    <row r="1550" spans="1:6" x14ac:dyDescent="0.25">
      <c r="A1550" t="s">
        <v>2883</v>
      </c>
      <c r="B1550" t="s">
        <v>2884</v>
      </c>
      <c r="C1550" s="1">
        <v>44083</v>
      </c>
      <c r="D1550" t="b">
        <v>1</v>
      </c>
      <c r="E1550" t="s">
        <v>10</v>
      </c>
      <c r="F1550">
        <v>1280</v>
      </c>
    </row>
    <row r="1551" spans="1:6" x14ac:dyDescent="0.25">
      <c r="A1551" t="s">
        <v>2885</v>
      </c>
      <c r="B1551" t="s">
        <v>2886</v>
      </c>
      <c r="C1551" s="1">
        <v>44083</v>
      </c>
      <c r="D1551" t="b">
        <v>1</v>
      </c>
      <c r="E1551" t="s">
        <v>10</v>
      </c>
      <c r="F1551">
        <v>14097</v>
      </c>
    </row>
    <row r="1552" spans="1:6" x14ac:dyDescent="0.25">
      <c r="A1552" t="s">
        <v>2887</v>
      </c>
      <c r="B1552" t="s">
        <v>2888</v>
      </c>
      <c r="C1552" s="1">
        <v>44083</v>
      </c>
      <c r="D1552" t="b">
        <v>1</v>
      </c>
      <c r="E1552" t="s">
        <v>10</v>
      </c>
      <c r="F1552">
        <v>4719</v>
      </c>
    </row>
    <row r="1553" spans="1:6" x14ac:dyDescent="0.25">
      <c r="A1553" t="s">
        <v>2889</v>
      </c>
      <c r="B1553" t="s">
        <v>2890</v>
      </c>
      <c r="C1553" s="1">
        <v>44083</v>
      </c>
      <c r="D1553" t="b">
        <v>1</v>
      </c>
      <c r="E1553" t="s">
        <v>10</v>
      </c>
      <c r="F1553">
        <v>1283</v>
      </c>
    </row>
    <row r="1554" spans="1:6" x14ac:dyDescent="0.25">
      <c r="A1554" t="s">
        <v>2891</v>
      </c>
      <c r="B1554" t="s">
        <v>2892</v>
      </c>
      <c r="C1554" s="1">
        <v>44083</v>
      </c>
      <c r="D1554" t="b">
        <v>1</v>
      </c>
      <c r="E1554" t="s">
        <v>10</v>
      </c>
      <c r="F1554">
        <v>15500</v>
      </c>
    </row>
    <row r="1555" spans="1:6" x14ac:dyDescent="0.25">
      <c r="A1555" t="s">
        <v>2893</v>
      </c>
      <c r="B1555" t="s">
        <v>2894</v>
      </c>
      <c r="C1555" s="1">
        <v>44083</v>
      </c>
      <c r="D1555" t="b">
        <v>1</v>
      </c>
      <c r="E1555" t="s">
        <v>10</v>
      </c>
      <c r="F1555">
        <v>12813</v>
      </c>
    </row>
    <row r="1556" spans="1:6" x14ac:dyDescent="0.25">
      <c r="A1556" t="s">
        <v>2895</v>
      </c>
      <c r="B1556" t="s">
        <v>2896</v>
      </c>
      <c r="C1556" s="1">
        <v>44083</v>
      </c>
      <c r="D1556" t="b">
        <v>1</v>
      </c>
      <c r="E1556" t="s">
        <v>10</v>
      </c>
      <c r="F1556">
        <v>1285</v>
      </c>
    </row>
    <row r="1557" spans="1:6" x14ac:dyDescent="0.25">
      <c r="A1557" t="s">
        <v>2897</v>
      </c>
      <c r="B1557" t="s">
        <v>2898</v>
      </c>
      <c r="C1557" s="1">
        <v>44083</v>
      </c>
      <c r="D1557" t="b">
        <v>1</v>
      </c>
      <c r="E1557" t="s">
        <v>10</v>
      </c>
      <c r="F1557">
        <v>1286</v>
      </c>
    </row>
    <row r="1558" spans="1:6" x14ac:dyDescent="0.25">
      <c r="A1558" t="s">
        <v>2899</v>
      </c>
      <c r="B1558" t="s">
        <v>2900</v>
      </c>
      <c r="C1558" s="1">
        <v>44083</v>
      </c>
      <c r="D1558" t="b">
        <v>1</v>
      </c>
      <c r="E1558" t="s">
        <v>10</v>
      </c>
      <c r="F1558">
        <v>15994</v>
      </c>
    </row>
    <row r="1559" spans="1:6" x14ac:dyDescent="0.25">
      <c r="A1559" t="s">
        <v>2901</v>
      </c>
      <c r="B1559" t="s">
        <v>2902</v>
      </c>
      <c r="C1559" s="1">
        <v>44083</v>
      </c>
      <c r="D1559" t="b">
        <v>1</v>
      </c>
      <c r="E1559" t="s">
        <v>10</v>
      </c>
      <c r="F1559">
        <v>1287</v>
      </c>
    </row>
    <row r="1560" spans="1:6" x14ac:dyDescent="0.25">
      <c r="A1560" t="s">
        <v>2903</v>
      </c>
      <c r="B1560" t="s">
        <v>2904</v>
      </c>
      <c r="C1560" s="1">
        <v>44083</v>
      </c>
      <c r="D1560" t="b">
        <v>1</v>
      </c>
      <c r="E1560" t="s">
        <v>10</v>
      </c>
      <c r="F1560">
        <v>1288</v>
      </c>
    </row>
    <row r="1561" spans="1:6" x14ac:dyDescent="0.25">
      <c r="A1561" t="s">
        <v>2905</v>
      </c>
      <c r="B1561" t="s">
        <v>2906</v>
      </c>
      <c r="C1561" s="1">
        <v>44083</v>
      </c>
      <c r="D1561" t="b">
        <v>1</v>
      </c>
      <c r="E1561" t="s">
        <v>10</v>
      </c>
      <c r="F1561">
        <v>14107</v>
      </c>
    </row>
    <row r="1562" spans="1:6" x14ac:dyDescent="0.25">
      <c r="A1562" t="s">
        <v>2907</v>
      </c>
      <c r="B1562" t="s">
        <v>2908</v>
      </c>
      <c r="C1562" s="1">
        <v>44083</v>
      </c>
      <c r="D1562" t="b">
        <v>1</v>
      </c>
      <c r="E1562" t="s">
        <v>10</v>
      </c>
      <c r="F1562">
        <v>1289</v>
      </c>
    </row>
    <row r="1563" spans="1:6" x14ac:dyDescent="0.25">
      <c r="A1563" t="s">
        <v>2909</v>
      </c>
      <c r="B1563" t="s">
        <v>2910</v>
      </c>
      <c r="C1563" s="1">
        <v>44083</v>
      </c>
      <c r="D1563" t="b">
        <v>1</v>
      </c>
      <c r="E1563" t="s">
        <v>10</v>
      </c>
      <c r="F1563">
        <v>1290</v>
      </c>
    </row>
    <row r="1564" spans="1:6" x14ac:dyDescent="0.25">
      <c r="A1564" t="s">
        <v>2911</v>
      </c>
      <c r="B1564" t="s">
        <v>2912</v>
      </c>
      <c r="C1564" s="1">
        <v>44083</v>
      </c>
      <c r="D1564" t="b">
        <v>1</v>
      </c>
      <c r="E1564" t="s">
        <v>10</v>
      </c>
      <c r="F1564">
        <v>1291</v>
      </c>
    </row>
    <row r="1565" spans="1:6" x14ac:dyDescent="0.25">
      <c r="A1565" t="s">
        <v>2913</v>
      </c>
      <c r="B1565" t="s">
        <v>2914</v>
      </c>
      <c r="C1565" s="1">
        <v>44083</v>
      </c>
      <c r="D1565" t="b">
        <v>1</v>
      </c>
      <c r="E1565" t="s">
        <v>10</v>
      </c>
      <c r="F1565">
        <v>1292</v>
      </c>
    </row>
    <row r="1566" spans="1:6" x14ac:dyDescent="0.25">
      <c r="A1566" t="s">
        <v>2915</v>
      </c>
      <c r="B1566" t="s">
        <v>2916</v>
      </c>
      <c r="C1566" s="1">
        <v>44083</v>
      </c>
      <c r="D1566" t="b">
        <v>1</v>
      </c>
      <c r="E1566" t="s">
        <v>10</v>
      </c>
      <c r="F1566">
        <v>13791</v>
      </c>
    </row>
    <row r="1567" spans="1:6" x14ac:dyDescent="0.25">
      <c r="A1567" t="s">
        <v>2917</v>
      </c>
      <c r="B1567" t="s">
        <v>2918</v>
      </c>
      <c r="C1567" s="1">
        <v>44083</v>
      </c>
      <c r="D1567" t="b">
        <v>1</v>
      </c>
      <c r="E1567" t="s">
        <v>10</v>
      </c>
      <c r="F1567">
        <v>9761</v>
      </c>
    </row>
    <row r="1568" spans="1:6" x14ac:dyDescent="0.25">
      <c r="A1568" t="s">
        <v>2919</v>
      </c>
      <c r="B1568" t="s">
        <v>2920</v>
      </c>
      <c r="C1568" s="1">
        <v>44083</v>
      </c>
      <c r="D1568" t="b">
        <v>1</v>
      </c>
      <c r="E1568" t="s">
        <v>10</v>
      </c>
      <c r="F1568">
        <v>1293</v>
      </c>
    </row>
    <row r="1569" spans="1:6" x14ac:dyDescent="0.25">
      <c r="A1569" t="s">
        <v>2921</v>
      </c>
      <c r="B1569" t="s">
        <v>2922</v>
      </c>
      <c r="C1569" s="1">
        <v>44083</v>
      </c>
      <c r="D1569" t="b">
        <v>1</v>
      </c>
      <c r="E1569" t="s">
        <v>10</v>
      </c>
      <c r="F1569">
        <v>1295</v>
      </c>
    </row>
    <row r="1570" spans="1:6" x14ac:dyDescent="0.25">
      <c r="A1570" t="s">
        <v>2923</v>
      </c>
      <c r="B1570" t="s">
        <v>2924</v>
      </c>
      <c r="C1570" s="1">
        <v>44083</v>
      </c>
      <c r="D1570" t="b">
        <v>1</v>
      </c>
      <c r="E1570" t="s">
        <v>10</v>
      </c>
      <c r="F1570">
        <v>14091</v>
      </c>
    </row>
    <row r="1571" spans="1:6" x14ac:dyDescent="0.25">
      <c r="A1571" t="s">
        <v>2925</v>
      </c>
      <c r="B1571" t="s">
        <v>2926</v>
      </c>
      <c r="C1571" s="1">
        <v>44083</v>
      </c>
      <c r="D1571" t="b">
        <v>1</v>
      </c>
      <c r="E1571" t="s">
        <v>10</v>
      </c>
      <c r="F1571">
        <v>1296</v>
      </c>
    </row>
    <row r="1572" spans="1:6" x14ac:dyDescent="0.25">
      <c r="A1572" t="s">
        <v>2927</v>
      </c>
      <c r="B1572" t="s">
        <v>2928</v>
      </c>
      <c r="C1572" s="1">
        <v>44083</v>
      </c>
      <c r="D1572" t="b">
        <v>1</v>
      </c>
      <c r="E1572" t="s">
        <v>10</v>
      </c>
      <c r="F1572">
        <v>11739</v>
      </c>
    </row>
    <row r="1573" spans="1:6" x14ac:dyDescent="0.25">
      <c r="A1573" t="s">
        <v>2929</v>
      </c>
      <c r="C1573" s="1">
        <v>44083</v>
      </c>
      <c r="D1573" t="b">
        <v>1</v>
      </c>
      <c r="E1573" t="s">
        <v>10</v>
      </c>
      <c r="F1573">
        <v>12284</v>
      </c>
    </row>
    <row r="1574" spans="1:6" x14ac:dyDescent="0.25">
      <c r="A1574" t="s">
        <v>2930</v>
      </c>
      <c r="C1574" s="1">
        <v>44083</v>
      </c>
      <c r="D1574" t="b">
        <v>1</v>
      </c>
      <c r="E1574" t="s">
        <v>10</v>
      </c>
      <c r="F1574">
        <v>12285</v>
      </c>
    </row>
    <row r="1575" spans="1:6" x14ac:dyDescent="0.25">
      <c r="A1575" t="s">
        <v>2931</v>
      </c>
      <c r="C1575" s="1">
        <v>44083</v>
      </c>
      <c r="D1575" t="b">
        <v>1</v>
      </c>
      <c r="E1575" t="s">
        <v>10</v>
      </c>
      <c r="F1575">
        <v>13003</v>
      </c>
    </row>
    <row r="1576" spans="1:6" x14ac:dyDescent="0.25">
      <c r="A1576" t="s">
        <v>2932</v>
      </c>
      <c r="C1576" s="1">
        <v>44083</v>
      </c>
      <c r="D1576" t="b">
        <v>1</v>
      </c>
      <c r="E1576" t="s">
        <v>10</v>
      </c>
      <c r="F1576">
        <v>13458</v>
      </c>
    </row>
    <row r="1577" spans="1:6" x14ac:dyDescent="0.25">
      <c r="A1577" t="s">
        <v>2933</v>
      </c>
      <c r="B1577" t="s">
        <v>2934</v>
      </c>
      <c r="C1577" s="1">
        <v>44083</v>
      </c>
      <c r="D1577" t="b">
        <v>1</v>
      </c>
      <c r="E1577" t="s">
        <v>10</v>
      </c>
      <c r="F1577">
        <v>15621</v>
      </c>
    </row>
    <row r="1578" spans="1:6" x14ac:dyDescent="0.25">
      <c r="A1578" t="s">
        <v>2935</v>
      </c>
      <c r="B1578" t="s">
        <v>2936</v>
      </c>
      <c r="C1578" s="1">
        <v>44083</v>
      </c>
      <c r="D1578" t="b">
        <v>1</v>
      </c>
      <c r="E1578" t="s">
        <v>10</v>
      </c>
      <c r="F1578">
        <v>12362</v>
      </c>
    </row>
    <row r="1579" spans="1:6" x14ac:dyDescent="0.25">
      <c r="A1579" t="s">
        <v>2937</v>
      </c>
      <c r="B1579" t="s">
        <v>2938</v>
      </c>
      <c r="C1579" s="1">
        <v>44083</v>
      </c>
      <c r="D1579" t="b">
        <v>1</v>
      </c>
      <c r="E1579" t="s">
        <v>10</v>
      </c>
      <c r="F1579">
        <v>14312</v>
      </c>
    </row>
    <row r="1580" spans="1:6" x14ac:dyDescent="0.25">
      <c r="A1580" t="s">
        <v>2939</v>
      </c>
      <c r="B1580" t="s">
        <v>2940</v>
      </c>
      <c r="C1580" s="1">
        <v>44083</v>
      </c>
      <c r="D1580" t="b">
        <v>1</v>
      </c>
      <c r="E1580" t="s">
        <v>10</v>
      </c>
      <c r="F1580">
        <v>15903</v>
      </c>
    </row>
    <row r="1581" spans="1:6" x14ac:dyDescent="0.25">
      <c r="A1581" t="s">
        <v>2941</v>
      </c>
      <c r="B1581" t="s">
        <v>2942</v>
      </c>
      <c r="C1581" s="1">
        <v>44083</v>
      </c>
      <c r="D1581" t="b">
        <v>1</v>
      </c>
      <c r="E1581" t="s">
        <v>10</v>
      </c>
      <c r="F1581">
        <v>1301</v>
      </c>
    </row>
    <row r="1582" spans="1:6" x14ac:dyDescent="0.25">
      <c r="A1582" t="s">
        <v>2943</v>
      </c>
      <c r="B1582" t="s">
        <v>2944</v>
      </c>
      <c r="C1582" s="1">
        <v>44083</v>
      </c>
      <c r="D1582" t="b">
        <v>1</v>
      </c>
      <c r="E1582" t="s">
        <v>10</v>
      </c>
      <c r="F1582">
        <v>9155</v>
      </c>
    </row>
    <row r="1583" spans="1:6" x14ac:dyDescent="0.25">
      <c r="A1583" t="s">
        <v>2945</v>
      </c>
      <c r="C1583" s="1">
        <v>44083</v>
      </c>
      <c r="D1583" t="b">
        <v>1</v>
      </c>
      <c r="E1583" t="s">
        <v>10</v>
      </c>
      <c r="F1583">
        <v>11255</v>
      </c>
    </row>
    <row r="1584" spans="1:6" x14ac:dyDescent="0.25">
      <c r="A1584" t="s">
        <v>2946</v>
      </c>
      <c r="B1584" t="s">
        <v>2947</v>
      </c>
      <c r="C1584" s="1">
        <v>44083</v>
      </c>
      <c r="D1584" t="b">
        <v>1</v>
      </c>
      <c r="E1584" t="s">
        <v>10</v>
      </c>
      <c r="F1584">
        <v>13896</v>
      </c>
    </row>
    <row r="1585" spans="1:6" x14ac:dyDescent="0.25">
      <c r="A1585" t="s">
        <v>2948</v>
      </c>
      <c r="B1585" t="s">
        <v>2949</v>
      </c>
      <c r="C1585" s="1">
        <v>44083</v>
      </c>
      <c r="D1585" t="b">
        <v>1</v>
      </c>
      <c r="E1585" t="s">
        <v>10</v>
      </c>
      <c r="F1585">
        <v>1302</v>
      </c>
    </row>
    <row r="1586" spans="1:6" x14ac:dyDescent="0.25">
      <c r="A1586" t="s">
        <v>2950</v>
      </c>
      <c r="B1586" t="s">
        <v>2951</v>
      </c>
      <c r="C1586" s="1">
        <v>44083</v>
      </c>
      <c r="D1586" t="b">
        <v>1</v>
      </c>
      <c r="E1586" t="s">
        <v>10</v>
      </c>
      <c r="F1586">
        <v>1305</v>
      </c>
    </row>
    <row r="1587" spans="1:6" x14ac:dyDescent="0.25">
      <c r="A1587" t="s">
        <v>2952</v>
      </c>
      <c r="B1587" t="s">
        <v>2953</v>
      </c>
      <c r="C1587" s="1">
        <v>44083</v>
      </c>
      <c r="D1587" t="b">
        <v>1</v>
      </c>
      <c r="E1587" t="s">
        <v>10</v>
      </c>
      <c r="F1587">
        <v>11011</v>
      </c>
    </row>
    <row r="1588" spans="1:6" x14ac:dyDescent="0.25">
      <c r="A1588" t="s">
        <v>2954</v>
      </c>
      <c r="B1588" t="s">
        <v>2955</v>
      </c>
      <c r="C1588" s="1">
        <v>44083</v>
      </c>
      <c r="D1588" t="b">
        <v>1</v>
      </c>
      <c r="E1588" t="s">
        <v>10</v>
      </c>
      <c r="F1588">
        <v>16484</v>
      </c>
    </row>
    <row r="1589" spans="1:6" x14ac:dyDescent="0.25">
      <c r="A1589" t="s">
        <v>2956</v>
      </c>
      <c r="B1589" t="s">
        <v>2957</v>
      </c>
      <c r="C1589" s="1">
        <v>44083</v>
      </c>
      <c r="D1589" t="b">
        <v>1</v>
      </c>
      <c r="E1589" t="s">
        <v>10</v>
      </c>
      <c r="F1589">
        <v>1306</v>
      </c>
    </row>
    <row r="1590" spans="1:6" x14ac:dyDescent="0.25">
      <c r="A1590" t="s">
        <v>2958</v>
      </c>
      <c r="B1590" t="s">
        <v>2959</v>
      </c>
      <c r="C1590" s="1">
        <v>44083</v>
      </c>
      <c r="D1590" t="b">
        <v>1</v>
      </c>
      <c r="E1590" t="s">
        <v>10</v>
      </c>
      <c r="F1590">
        <v>12286</v>
      </c>
    </row>
    <row r="1591" spans="1:6" x14ac:dyDescent="0.25">
      <c r="A1591" t="s">
        <v>2960</v>
      </c>
      <c r="B1591" t="s">
        <v>2961</v>
      </c>
      <c r="C1591" s="1">
        <v>44083</v>
      </c>
      <c r="D1591" t="b">
        <v>1</v>
      </c>
      <c r="E1591" t="s">
        <v>10</v>
      </c>
      <c r="F1591">
        <v>1307</v>
      </c>
    </row>
    <row r="1592" spans="1:6" x14ac:dyDescent="0.25">
      <c r="A1592" t="s">
        <v>2962</v>
      </c>
      <c r="B1592" t="s">
        <v>2963</v>
      </c>
      <c r="C1592" s="1">
        <v>44083</v>
      </c>
      <c r="D1592" t="b">
        <v>1</v>
      </c>
      <c r="E1592" t="s">
        <v>10</v>
      </c>
      <c r="F1592">
        <v>1309</v>
      </c>
    </row>
    <row r="1593" spans="1:6" x14ac:dyDescent="0.25">
      <c r="A1593" t="s">
        <v>2964</v>
      </c>
      <c r="B1593" t="s">
        <v>2965</v>
      </c>
      <c r="C1593" s="1">
        <v>44083</v>
      </c>
      <c r="D1593" t="b">
        <v>1</v>
      </c>
      <c r="E1593" t="s">
        <v>10</v>
      </c>
      <c r="F1593">
        <v>1310</v>
      </c>
    </row>
    <row r="1594" spans="1:6" x14ac:dyDescent="0.25">
      <c r="A1594" t="s">
        <v>2966</v>
      </c>
      <c r="B1594" t="s">
        <v>2967</v>
      </c>
      <c r="C1594" s="1">
        <v>44083</v>
      </c>
      <c r="D1594" t="b">
        <v>1</v>
      </c>
      <c r="E1594" t="s">
        <v>10</v>
      </c>
      <c r="F1594">
        <v>1311</v>
      </c>
    </row>
    <row r="1595" spans="1:6" x14ac:dyDescent="0.25">
      <c r="A1595" t="s">
        <v>2968</v>
      </c>
      <c r="B1595" t="s">
        <v>2969</v>
      </c>
      <c r="C1595" s="1">
        <v>44083</v>
      </c>
      <c r="D1595" t="b">
        <v>1</v>
      </c>
      <c r="E1595" t="s">
        <v>10</v>
      </c>
      <c r="F1595">
        <v>1312</v>
      </c>
    </row>
    <row r="1596" spans="1:6" x14ac:dyDescent="0.25">
      <c r="A1596" t="s">
        <v>2970</v>
      </c>
      <c r="B1596" t="s">
        <v>2971</v>
      </c>
      <c r="C1596" s="1">
        <v>44083</v>
      </c>
      <c r="D1596" t="b">
        <v>1</v>
      </c>
      <c r="E1596" t="s">
        <v>10</v>
      </c>
      <c r="F1596">
        <v>13152</v>
      </c>
    </row>
    <row r="1597" spans="1:6" x14ac:dyDescent="0.25">
      <c r="A1597" t="s">
        <v>2972</v>
      </c>
      <c r="B1597" t="s">
        <v>2973</v>
      </c>
      <c r="C1597" s="1">
        <v>44083</v>
      </c>
      <c r="D1597" t="b">
        <v>1</v>
      </c>
      <c r="E1597" t="s">
        <v>10</v>
      </c>
      <c r="F1597">
        <v>1314</v>
      </c>
    </row>
    <row r="1598" spans="1:6" x14ac:dyDescent="0.25">
      <c r="A1598" t="s">
        <v>2974</v>
      </c>
      <c r="B1598" t="s">
        <v>2975</v>
      </c>
      <c r="C1598" s="1">
        <v>44083</v>
      </c>
      <c r="D1598" t="b">
        <v>1</v>
      </c>
      <c r="E1598" t="s">
        <v>10</v>
      </c>
      <c r="F1598">
        <v>1315</v>
      </c>
    </row>
    <row r="1599" spans="1:6" x14ac:dyDescent="0.25">
      <c r="A1599" t="s">
        <v>2976</v>
      </c>
      <c r="B1599" t="s">
        <v>2977</v>
      </c>
      <c r="C1599" s="1">
        <v>44083</v>
      </c>
      <c r="D1599" t="b">
        <v>1</v>
      </c>
      <c r="E1599" t="s">
        <v>10</v>
      </c>
      <c r="F1599">
        <v>15789</v>
      </c>
    </row>
    <row r="1600" spans="1:6" x14ac:dyDescent="0.25">
      <c r="A1600" t="s">
        <v>2978</v>
      </c>
      <c r="B1600" t="s">
        <v>2979</v>
      </c>
      <c r="C1600" s="1">
        <v>44083</v>
      </c>
      <c r="D1600" t="b">
        <v>1</v>
      </c>
      <c r="E1600" t="s">
        <v>10</v>
      </c>
      <c r="F1600">
        <v>1316</v>
      </c>
    </row>
    <row r="1601" spans="1:6" x14ac:dyDescent="0.25">
      <c r="A1601" t="s">
        <v>2980</v>
      </c>
      <c r="B1601" t="s">
        <v>2981</v>
      </c>
      <c r="C1601" s="1">
        <v>44083</v>
      </c>
      <c r="D1601" t="b">
        <v>1</v>
      </c>
      <c r="E1601" t="s">
        <v>10</v>
      </c>
      <c r="F1601">
        <v>1317</v>
      </c>
    </row>
    <row r="1602" spans="1:6" x14ac:dyDescent="0.25">
      <c r="A1602" t="s">
        <v>2982</v>
      </c>
      <c r="B1602" t="s">
        <v>2983</v>
      </c>
      <c r="C1602" s="1">
        <v>44083</v>
      </c>
      <c r="D1602" t="b">
        <v>1</v>
      </c>
      <c r="E1602" t="s">
        <v>10</v>
      </c>
      <c r="F1602">
        <v>13185</v>
      </c>
    </row>
    <row r="1603" spans="1:6" x14ac:dyDescent="0.25">
      <c r="A1603" t="s">
        <v>2984</v>
      </c>
      <c r="B1603" t="s">
        <v>2985</v>
      </c>
      <c r="C1603" s="1">
        <v>44083</v>
      </c>
      <c r="D1603" t="b">
        <v>1</v>
      </c>
      <c r="E1603" t="s">
        <v>10</v>
      </c>
      <c r="F1603">
        <v>8570</v>
      </c>
    </row>
    <row r="1604" spans="1:6" x14ac:dyDescent="0.25">
      <c r="A1604" t="s">
        <v>2986</v>
      </c>
      <c r="B1604" t="s">
        <v>2987</v>
      </c>
      <c r="C1604" s="1">
        <v>44083</v>
      </c>
      <c r="D1604" t="b">
        <v>1</v>
      </c>
      <c r="E1604" t="s">
        <v>10</v>
      </c>
      <c r="F1604">
        <v>1318</v>
      </c>
    </row>
    <row r="1605" spans="1:6" x14ac:dyDescent="0.25">
      <c r="A1605" t="s">
        <v>2988</v>
      </c>
      <c r="B1605" t="s">
        <v>2989</v>
      </c>
      <c r="C1605" s="1">
        <v>44083</v>
      </c>
      <c r="D1605" t="b">
        <v>1</v>
      </c>
      <c r="E1605" t="s">
        <v>10</v>
      </c>
      <c r="F1605">
        <v>1319</v>
      </c>
    </row>
    <row r="1606" spans="1:6" x14ac:dyDescent="0.25">
      <c r="A1606" t="s">
        <v>2990</v>
      </c>
      <c r="B1606" t="s">
        <v>2991</v>
      </c>
      <c r="C1606" s="1">
        <v>44083</v>
      </c>
      <c r="D1606" t="b">
        <v>1</v>
      </c>
      <c r="E1606" t="s">
        <v>10</v>
      </c>
      <c r="F1606">
        <v>5282</v>
      </c>
    </row>
    <row r="1607" spans="1:6" x14ac:dyDescent="0.25">
      <c r="A1607" t="s">
        <v>2992</v>
      </c>
      <c r="C1607" s="1">
        <v>44083</v>
      </c>
      <c r="D1607" t="b">
        <v>1</v>
      </c>
      <c r="E1607" t="s">
        <v>10</v>
      </c>
      <c r="F1607">
        <v>13831</v>
      </c>
    </row>
    <row r="1608" spans="1:6" x14ac:dyDescent="0.25">
      <c r="A1608" t="s">
        <v>2993</v>
      </c>
      <c r="B1608" t="s">
        <v>2994</v>
      </c>
      <c r="C1608" s="1">
        <v>44083</v>
      </c>
      <c r="D1608" t="b">
        <v>1</v>
      </c>
      <c r="E1608" t="s">
        <v>10</v>
      </c>
      <c r="F1608">
        <v>1331</v>
      </c>
    </row>
    <row r="1609" spans="1:6" x14ac:dyDescent="0.25">
      <c r="A1609" t="s">
        <v>2995</v>
      </c>
      <c r="B1609" t="s">
        <v>2996</v>
      </c>
      <c r="C1609" s="1">
        <v>44083</v>
      </c>
      <c r="D1609" t="b">
        <v>1</v>
      </c>
      <c r="E1609" t="s">
        <v>10</v>
      </c>
      <c r="F1609">
        <v>14341</v>
      </c>
    </row>
    <row r="1610" spans="1:6" x14ac:dyDescent="0.25">
      <c r="A1610" t="s">
        <v>2997</v>
      </c>
      <c r="B1610" t="s">
        <v>2998</v>
      </c>
      <c r="C1610" s="1">
        <v>44083</v>
      </c>
      <c r="D1610" t="b">
        <v>1</v>
      </c>
      <c r="E1610" t="s">
        <v>10</v>
      </c>
      <c r="F1610">
        <v>1322</v>
      </c>
    </row>
    <row r="1611" spans="1:6" x14ac:dyDescent="0.25">
      <c r="A1611" t="s">
        <v>2999</v>
      </c>
      <c r="B1611" t="s">
        <v>3000</v>
      </c>
      <c r="C1611" s="1">
        <v>44083</v>
      </c>
      <c r="D1611" t="b">
        <v>1</v>
      </c>
      <c r="E1611" t="s">
        <v>10</v>
      </c>
      <c r="F1611">
        <v>1323</v>
      </c>
    </row>
    <row r="1612" spans="1:6" x14ac:dyDescent="0.25">
      <c r="A1612" t="s">
        <v>3001</v>
      </c>
      <c r="C1612" s="1">
        <v>44083</v>
      </c>
      <c r="D1612" t="b">
        <v>1</v>
      </c>
      <c r="E1612" t="s">
        <v>10</v>
      </c>
      <c r="F1612">
        <v>14826</v>
      </c>
    </row>
    <row r="1613" spans="1:6" x14ac:dyDescent="0.25">
      <c r="A1613" t="s">
        <v>3002</v>
      </c>
      <c r="B1613" t="s">
        <v>3003</v>
      </c>
      <c r="C1613" s="1">
        <v>44083</v>
      </c>
      <c r="D1613" t="b">
        <v>1</v>
      </c>
      <c r="E1613" t="s">
        <v>10</v>
      </c>
      <c r="F1613">
        <v>1325</v>
      </c>
    </row>
    <row r="1614" spans="1:6" x14ac:dyDescent="0.25">
      <c r="A1614" t="s">
        <v>3004</v>
      </c>
      <c r="B1614" t="s">
        <v>3005</v>
      </c>
      <c r="C1614" s="1">
        <v>44083</v>
      </c>
      <c r="D1614" t="b">
        <v>1</v>
      </c>
      <c r="E1614" t="s">
        <v>10</v>
      </c>
      <c r="F1614">
        <v>1327</v>
      </c>
    </row>
    <row r="1615" spans="1:6" x14ac:dyDescent="0.25">
      <c r="A1615" t="s">
        <v>3006</v>
      </c>
      <c r="B1615" t="s">
        <v>3007</v>
      </c>
      <c r="C1615" s="1">
        <v>44083</v>
      </c>
      <c r="D1615" t="b">
        <v>1</v>
      </c>
      <c r="E1615" t="s">
        <v>10</v>
      </c>
      <c r="F1615">
        <v>17092</v>
      </c>
    </row>
    <row r="1616" spans="1:6" x14ac:dyDescent="0.25">
      <c r="A1616" t="s">
        <v>3008</v>
      </c>
      <c r="B1616" t="s">
        <v>3009</v>
      </c>
      <c r="C1616" s="1">
        <v>44083</v>
      </c>
      <c r="D1616" t="b">
        <v>1</v>
      </c>
      <c r="E1616" t="s">
        <v>10</v>
      </c>
      <c r="F1616">
        <v>14882</v>
      </c>
    </row>
    <row r="1617" spans="1:6" x14ac:dyDescent="0.25">
      <c r="A1617" t="s">
        <v>3010</v>
      </c>
      <c r="B1617" t="s">
        <v>3011</v>
      </c>
      <c r="C1617" s="1">
        <v>44083</v>
      </c>
      <c r="D1617" t="b">
        <v>1</v>
      </c>
      <c r="E1617" t="s">
        <v>10</v>
      </c>
      <c r="F1617">
        <v>1332</v>
      </c>
    </row>
    <row r="1618" spans="1:6" x14ac:dyDescent="0.25">
      <c r="A1618" t="s">
        <v>3012</v>
      </c>
      <c r="C1618" s="1">
        <v>44083</v>
      </c>
      <c r="D1618" t="b">
        <v>1</v>
      </c>
      <c r="E1618" t="s">
        <v>10</v>
      </c>
      <c r="F1618">
        <v>1333</v>
      </c>
    </row>
    <row r="1619" spans="1:6" x14ac:dyDescent="0.25">
      <c r="A1619" t="s">
        <v>3013</v>
      </c>
      <c r="B1619" t="s">
        <v>3014</v>
      </c>
      <c r="C1619" s="1">
        <v>44083</v>
      </c>
      <c r="D1619" t="b">
        <v>1</v>
      </c>
      <c r="E1619" t="s">
        <v>10</v>
      </c>
      <c r="F1619">
        <v>1334</v>
      </c>
    </row>
    <row r="1620" spans="1:6" x14ac:dyDescent="0.25">
      <c r="A1620" t="s">
        <v>3015</v>
      </c>
      <c r="B1620" t="s">
        <v>3016</v>
      </c>
      <c r="C1620" s="1">
        <v>44083</v>
      </c>
      <c r="D1620" t="b">
        <v>1</v>
      </c>
      <c r="E1620" t="s">
        <v>10</v>
      </c>
      <c r="F1620">
        <v>16987</v>
      </c>
    </row>
    <row r="1621" spans="1:6" x14ac:dyDescent="0.25">
      <c r="A1621" t="s">
        <v>3017</v>
      </c>
      <c r="B1621" t="s">
        <v>3018</v>
      </c>
      <c r="C1621" s="1">
        <v>44083</v>
      </c>
      <c r="D1621" t="b">
        <v>1</v>
      </c>
      <c r="E1621" t="s">
        <v>10</v>
      </c>
      <c r="F1621">
        <v>16354</v>
      </c>
    </row>
    <row r="1622" spans="1:6" x14ac:dyDescent="0.25">
      <c r="A1622" t="s">
        <v>3019</v>
      </c>
      <c r="B1622" t="s">
        <v>3020</v>
      </c>
      <c r="C1622" s="1">
        <v>44083</v>
      </c>
      <c r="D1622" t="b">
        <v>1</v>
      </c>
      <c r="E1622" t="s">
        <v>10</v>
      </c>
      <c r="F1622">
        <v>1335</v>
      </c>
    </row>
    <row r="1623" spans="1:6" x14ac:dyDescent="0.25">
      <c r="A1623" t="s">
        <v>3021</v>
      </c>
      <c r="C1623" s="1">
        <v>44083</v>
      </c>
      <c r="D1623" t="b">
        <v>1</v>
      </c>
      <c r="E1623" t="s">
        <v>10</v>
      </c>
      <c r="F1623">
        <v>14586</v>
      </c>
    </row>
    <row r="1624" spans="1:6" x14ac:dyDescent="0.25">
      <c r="A1624" t="s">
        <v>3022</v>
      </c>
      <c r="C1624" s="1">
        <v>44083</v>
      </c>
      <c r="D1624" t="b">
        <v>1</v>
      </c>
      <c r="E1624" t="s">
        <v>10</v>
      </c>
      <c r="F1624">
        <v>14587</v>
      </c>
    </row>
    <row r="1625" spans="1:6" x14ac:dyDescent="0.25">
      <c r="A1625" t="s">
        <v>3023</v>
      </c>
      <c r="C1625" s="1">
        <v>44083</v>
      </c>
      <c r="D1625" t="b">
        <v>1</v>
      </c>
      <c r="E1625" t="s">
        <v>10</v>
      </c>
      <c r="F1625">
        <v>14588</v>
      </c>
    </row>
    <row r="1626" spans="1:6" x14ac:dyDescent="0.25">
      <c r="A1626" t="s">
        <v>3024</v>
      </c>
      <c r="C1626" s="1">
        <v>44083</v>
      </c>
      <c r="D1626" t="b">
        <v>1</v>
      </c>
      <c r="E1626" t="s">
        <v>10</v>
      </c>
      <c r="F1626">
        <v>14589</v>
      </c>
    </row>
    <row r="1627" spans="1:6" x14ac:dyDescent="0.25">
      <c r="A1627" t="s">
        <v>3025</v>
      </c>
      <c r="B1627" t="s">
        <v>3026</v>
      </c>
      <c r="C1627" s="1">
        <v>44083</v>
      </c>
      <c r="D1627" t="b">
        <v>1</v>
      </c>
      <c r="E1627" t="s">
        <v>10</v>
      </c>
      <c r="F1627">
        <v>1336</v>
      </c>
    </row>
    <row r="1628" spans="1:6" x14ac:dyDescent="0.25">
      <c r="A1628" t="s">
        <v>3027</v>
      </c>
      <c r="B1628" t="s">
        <v>3028</v>
      </c>
      <c r="C1628" s="1">
        <v>44083</v>
      </c>
      <c r="D1628" t="b">
        <v>1</v>
      </c>
      <c r="E1628" t="s">
        <v>10</v>
      </c>
      <c r="F1628">
        <v>1337</v>
      </c>
    </row>
    <row r="1629" spans="1:6" x14ac:dyDescent="0.25">
      <c r="A1629" t="s">
        <v>3029</v>
      </c>
      <c r="C1629" s="1">
        <v>44083</v>
      </c>
      <c r="D1629" t="b">
        <v>1</v>
      </c>
      <c r="E1629" t="s">
        <v>10</v>
      </c>
      <c r="F1629">
        <v>1338</v>
      </c>
    </row>
    <row r="1630" spans="1:6" x14ac:dyDescent="0.25">
      <c r="A1630" t="s">
        <v>3030</v>
      </c>
      <c r="C1630" s="1">
        <v>44083</v>
      </c>
      <c r="D1630" t="b">
        <v>1</v>
      </c>
      <c r="E1630" t="s">
        <v>10</v>
      </c>
      <c r="F1630">
        <v>14246</v>
      </c>
    </row>
    <row r="1631" spans="1:6" x14ac:dyDescent="0.25">
      <c r="A1631" t="s">
        <v>3031</v>
      </c>
      <c r="C1631" s="1">
        <v>44083</v>
      </c>
      <c r="D1631" t="b">
        <v>1</v>
      </c>
      <c r="E1631" t="s">
        <v>10</v>
      </c>
      <c r="F1631">
        <v>15098</v>
      </c>
    </row>
    <row r="1632" spans="1:6" x14ac:dyDescent="0.25">
      <c r="A1632" t="s">
        <v>3032</v>
      </c>
      <c r="C1632" s="1">
        <v>44083</v>
      </c>
      <c r="D1632" t="b">
        <v>1</v>
      </c>
      <c r="E1632" t="s">
        <v>10</v>
      </c>
      <c r="F1632">
        <v>15458</v>
      </c>
    </row>
    <row r="1633" spans="1:6" x14ac:dyDescent="0.25">
      <c r="A1633" t="s">
        <v>3033</v>
      </c>
      <c r="B1633" t="s">
        <v>3034</v>
      </c>
      <c r="C1633" s="1">
        <v>44083</v>
      </c>
      <c r="D1633" t="b">
        <v>1</v>
      </c>
      <c r="E1633" t="s">
        <v>10</v>
      </c>
      <c r="F1633">
        <v>1340</v>
      </c>
    </row>
    <row r="1634" spans="1:6" x14ac:dyDescent="0.25">
      <c r="A1634" t="s">
        <v>3035</v>
      </c>
      <c r="B1634" t="s">
        <v>3036</v>
      </c>
      <c r="C1634" s="1">
        <v>44083</v>
      </c>
      <c r="D1634" t="b">
        <v>1</v>
      </c>
      <c r="E1634" t="s">
        <v>10</v>
      </c>
      <c r="F1634">
        <v>1341</v>
      </c>
    </row>
    <row r="1635" spans="1:6" x14ac:dyDescent="0.25">
      <c r="A1635" t="s">
        <v>3037</v>
      </c>
      <c r="B1635" t="s">
        <v>3038</v>
      </c>
      <c r="C1635" s="1">
        <v>44083</v>
      </c>
      <c r="D1635" t="b">
        <v>1</v>
      </c>
      <c r="E1635" t="s">
        <v>10</v>
      </c>
      <c r="F1635">
        <v>1342</v>
      </c>
    </row>
    <row r="1636" spans="1:6" x14ac:dyDescent="0.25">
      <c r="A1636" t="s">
        <v>3039</v>
      </c>
      <c r="B1636" t="s">
        <v>3040</v>
      </c>
      <c r="C1636" s="1">
        <v>44083</v>
      </c>
      <c r="D1636" t="b">
        <v>1</v>
      </c>
      <c r="E1636" t="s">
        <v>10</v>
      </c>
      <c r="F1636">
        <v>8577</v>
      </c>
    </row>
    <row r="1637" spans="1:6" x14ac:dyDescent="0.25">
      <c r="A1637" t="s">
        <v>3041</v>
      </c>
      <c r="B1637" t="s">
        <v>3042</v>
      </c>
      <c r="C1637" s="1">
        <v>44083</v>
      </c>
      <c r="D1637" t="b">
        <v>1</v>
      </c>
      <c r="E1637" t="s">
        <v>10</v>
      </c>
      <c r="F1637">
        <v>1343</v>
      </c>
    </row>
    <row r="1638" spans="1:6" x14ac:dyDescent="0.25">
      <c r="A1638" t="s">
        <v>3043</v>
      </c>
      <c r="B1638" t="s">
        <v>3044</v>
      </c>
      <c r="C1638" s="1">
        <v>44083</v>
      </c>
      <c r="D1638" t="b">
        <v>1</v>
      </c>
      <c r="E1638" t="s">
        <v>10</v>
      </c>
      <c r="F1638">
        <v>1346</v>
      </c>
    </row>
    <row r="1639" spans="1:6" x14ac:dyDescent="0.25">
      <c r="A1639" t="s">
        <v>3045</v>
      </c>
      <c r="B1639" t="s">
        <v>3046</v>
      </c>
      <c r="C1639" s="1">
        <v>44083</v>
      </c>
      <c r="D1639" t="b">
        <v>1</v>
      </c>
      <c r="E1639" t="s">
        <v>10</v>
      </c>
      <c r="F1639">
        <v>15953</v>
      </c>
    </row>
    <row r="1640" spans="1:6" x14ac:dyDescent="0.25">
      <c r="A1640" t="s">
        <v>3047</v>
      </c>
      <c r="B1640" t="s">
        <v>3048</v>
      </c>
      <c r="C1640" s="1">
        <v>44083</v>
      </c>
      <c r="D1640" t="b">
        <v>1</v>
      </c>
      <c r="E1640" t="s">
        <v>10</v>
      </c>
      <c r="F1640">
        <v>1347</v>
      </c>
    </row>
    <row r="1641" spans="1:6" x14ac:dyDescent="0.25">
      <c r="A1641" t="s">
        <v>3049</v>
      </c>
      <c r="B1641" t="s">
        <v>3050</v>
      </c>
      <c r="C1641" s="1">
        <v>44083</v>
      </c>
      <c r="D1641" t="b">
        <v>1</v>
      </c>
      <c r="E1641" t="s">
        <v>10</v>
      </c>
      <c r="F1641">
        <v>8263</v>
      </c>
    </row>
    <row r="1642" spans="1:6" x14ac:dyDescent="0.25">
      <c r="A1642" t="s">
        <v>3051</v>
      </c>
      <c r="B1642" t="s">
        <v>3052</v>
      </c>
      <c r="C1642" s="1">
        <v>44083</v>
      </c>
      <c r="D1642" t="b">
        <v>1</v>
      </c>
      <c r="E1642" t="s">
        <v>10</v>
      </c>
      <c r="F1642">
        <v>10691</v>
      </c>
    </row>
    <row r="1643" spans="1:6" x14ac:dyDescent="0.25">
      <c r="A1643" t="s">
        <v>3053</v>
      </c>
      <c r="B1643" t="s">
        <v>3054</v>
      </c>
      <c r="C1643" s="1">
        <v>44083</v>
      </c>
      <c r="D1643" t="b">
        <v>1</v>
      </c>
      <c r="E1643" t="s">
        <v>10</v>
      </c>
      <c r="F1643">
        <v>12189</v>
      </c>
    </row>
    <row r="1644" spans="1:6" x14ac:dyDescent="0.25">
      <c r="A1644" t="s">
        <v>3055</v>
      </c>
      <c r="B1644" t="s">
        <v>3056</v>
      </c>
      <c r="C1644" s="1">
        <v>44083</v>
      </c>
      <c r="D1644" t="b">
        <v>1</v>
      </c>
      <c r="E1644" t="s">
        <v>10</v>
      </c>
      <c r="F1644">
        <v>1351</v>
      </c>
    </row>
    <row r="1645" spans="1:6" x14ac:dyDescent="0.25">
      <c r="A1645" t="s">
        <v>3057</v>
      </c>
      <c r="B1645" t="s">
        <v>3058</v>
      </c>
      <c r="C1645" s="1">
        <v>44083</v>
      </c>
      <c r="D1645" t="b">
        <v>1</v>
      </c>
      <c r="E1645" t="s">
        <v>10</v>
      </c>
      <c r="F1645">
        <v>14879</v>
      </c>
    </row>
    <row r="1646" spans="1:6" x14ac:dyDescent="0.25">
      <c r="A1646" t="s">
        <v>3059</v>
      </c>
      <c r="B1646" t="s">
        <v>3060</v>
      </c>
      <c r="C1646" s="1">
        <v>44083</v>
      </c>
      <c r="D1646" t="b">
        <v>1</v>
      </c>
      <c r="E1646" t="s">
        <v>10</v>
      </c>
      <c r="F1646">
        <v>10386</v>
      </c>
    </row>
    <row r="1647" spans="1:6" x14ac:dyDescent="0.25">
      <c r="A1647" t="s">
        <v>3061</v>
      </c>
      <c r="C1647" s="1">
        <v>44083</v>
      </c>
      <c r="D1647" t="b">
        <v>1</v>
      </c>
      <c r="E1647" t="s">
        <v>10</v>
      </c>
      <c r="F1647">
        <v>15152</v>
      </c>
    </row>
    <row r="1648" spans="1:6" x14ac:dyDescent="0.25">
      <c r="A1648" t="s">
        <v>3062</v>
      </c>
      <c r="B1648" t="s">
        <v>3063</v>
      </c>
      <c r="C1648" s="1">
        <v>44083</v>
      </c>
      <c r="D1648" t="b">
        <v>1</v>
      </c>
      <c r="E1648" t="s">
        <v>10</v>
      </c>
      <c r="F1648">
        <v>7809</v>
      </c>
    </row>
    <row r="1649" spans="1:6" x14ac:dyDescent="0.25">
      <c r="A1649" t="s">
        <v>3064</v>
      </c>
      <c r="B1649" t="s">
        <v>3065</v>
      </c>
      <c r="C1649" s="1">
        <v>44083</v>
      </c>
      <c r="D1649" t="b">
        <v>1</v>
      </c>
      <c r="E1649" t="s">
        <v>10</v>
      </c>
      <c r="F1649">
        <v>1353</v>
      </c>
    </row>
    <row r="1650" spans="1:6" x14ac:dyDescent="0.25">
      <c r="A1650" t="s">
        <v>3066</v>
      </c>
      <c r="B1650" t="s">
        <v>3067</v>
      </c>
      <c r="C1650" s="1">
        <v>44083</v>
      </c>
      <c r="D1650" t="b">
        <v>1</v>
      </c>
      <c r="E1650" t="s">
        <v>10</v>
      </c>
      <c r="F1650">
        <v>1355</v>
      </c>
    </row>
    <row r="1651" spans="1:6" x14ac:dyDescent="0.25">
      <c r="A1651" t="s">
        <v>3068</v>
      </c>
      <c r="B1651" t="s">
        <v>3069</v>
      </c>
      <c r="C1651" s="1">
        <v>44083</v>
      </c>
      <c r="D1651" t="b">
        <v>1</v>
      </c>
      <c r="E1651" t="s">
        <v>10</v>
      </c>
      <c r="F1651">
        <v>1357</v>
      </c>
    </row>
    <row r="1652" spans="1:6" x14ac:dyDescent="0.25">
      <c r="A1652" t="s">
        <v>3070</v>
      </c>
      <c r="B1652" t="s">
        <v>3071</v>
      </c>
      <c r="C1652" s="1">
        <v>44083</v>
      </c>
      <c r="D1652" t="b">
        <v>1</v>
      </c>
      <c r="E1652" t="s">
        <v>10</v>
      </c>
      <c r="F1652">
        <v>16482</v>
      </c>
    </row>
    <row r="1653" spans="1:6" x14ac:dyDescent="0.25">
      <c r="A1653" t="s">
        <v>3072</v>
      </c>
      <c r="B1653" t="s">
        <v>3073</v>
      </c>
      <c r="C1653" s="1">
        <v>44083</v>
      </c>
      <c r="D1653" t="b">
        <v>1</v>
      </c>
      <c r="E1653" t="s">
        <v>10</v>
      </c>
      <c r="F1653">
        <v>13057</v>
      </c>
    </row>
    <row r="1654" spans="1:6" x14ac:dyDescent="0.25">
      <c r="A1654" t="s">
        <v>3074</v>
      </c>
      <c r="B1654" t="s">
        <v>3075</v>
      </c>
      <c r="C1654" s="1">
        <v>44083</v>
      </c>
      <c r="D1654" t="b">
        <v>1</v>
      </c>
      <c r="E1654" t="s">
        <v>10</v>
      </c>
      <c r="F1654">
        <v>1358</v>
      </c>
    </row>
    <row r="1655" spans="1:6" x14ac:dyDescent="0.25">
      <c r="A1655" t="s">
        <v>3076</v>
      </c>
      <c r="B1655" t="s">
        <v>3077</v>
      </c>
      <c r="C1655" s="1">
        <v>44083</v>
      </c>
      <c r="D1655" t="b">
        <v>1</v>
      </c>
      <c r="E1655" t="s">
        <v>10</v>
      </c>
      <c r="F1655">
        <v>1345</v>
      </c>
    </row>
    <row r="1656" spans="1:6" x14ac:dyDescent="0.25">
      <c r="A1656" t="s">
        <v>3078</v>
      </c>
      <c r="B1656" t="s">
        <v>3079</v>
      </c>
      <c r="C1656" s="1">
        <v>44083</v>
      </c>
      <c r="D1656" t="b">
        <v>1</v>
      </c>
      <c r="E1656" t="s">
        <v>10</v>
      </c>
      <c r="F1656">
        <v>1360</v>
      </c>
    </row>
    <row r="1657" spans="1:6" x14ac:dyDescent="0.25">
      <c r="A1657" t="s">
        <v>3080</v>
      </c>
      <c r="C1657" s="1">
        <v>44083</v>
      </c>
      <c r="D1657" t="b">
        <v>1</v>
      </c>
      <c r="E1657" t="s">
        <v>10</v>
      </c>
      <c r="F1657">
        <v>15111</v>
      </c>
    </row>
    <row r="1658" spans="1:6" x14ac:dyDescent="0.25">
      <c r="A1658" t="s">
        <v>3081</v>
      </c>
      <c r="B1658" t="s">
        <v>3082</v>
      </c>
      <c r="C1658" s="1">
        <v>44083</v>
      </c>
      <c r="D1658" t="b">
        <v>1</v>
      </c>
      <c r="E1658" t="s">
        <v>10</v>
      </c>
      <c r="F1658">
        <v>1362</v>
      </c>
    </row>
    <row r="1659" spans="1:6" x14ac:dyDescent="0.25">
      <c r="A1659" t="s">
        <v>3083</v>
      </c>
      <c r="B1659" t="s">
        <v>3084</v>
      </c>
      <c r="C1659" s="1">
        <v>44083</v>
      </c>
      <c r="D1659" t="b">
        <v>1</v>
      </c>
      <c r="E1659" t="s">
        <v>10</v>
      </c>
      <c r="F1659">
        <v>4736</v>
      </c>
    </row>
    <row r="1660" spans="1:6" x14ac:dyDescent="0.25">
      <c r="A1660" t="s">
        <v>3085</v>
      </c>
      <c r="B1660" t="s">
        <v>3086</v>
      </c>
      <c r="C1660" s="1">
        <v>44083</v>
      </c>
      <c r="D1660" t="b">
        <v>1</v>
      </c>
      <c r="E1660" t="s">
        <v>10</v>
      </c>
      <c r="F1660">
        <v>15162</v>
      </c>
    </row>
    <row r="1661" spans="1:6" x14ac:dyDescent="0.25">
      <c r="A1661" t="s">
        <v>3087</v>
      </c>
      <c r="B1661" t="s">
        <v>3088</v>
      </c>
      <c r="C1661" s="1">
        <v>44083</v>
      </c>
      <c r="D1661" t="b">
        <v>1</v>
      </c>
      <c r="E1661" t="s">
        <v>10</v>
      </c>
      <c r="F1661">
        <v>1365</v>
      </c>
    </row>
    <row r="1662" spans="1:6" x14ac:dyDescent="0.25">
      <c r="A1662" t="s">
        <v>3089</v>
      </c>
      <c r="B1662" t="s">
        <v>3090</v>
      </c>
      <c r="C1662" s="1">
        <v>44083</v>
      </c>
      <c r="D1662" t="b">
        <v>1</v>
      </c>
      <c r="E1662" t="s">
        <v>10</v>
      </c>
      <c r="F1662">
        <v>1367</v>
      </c>
    </row>
    <row r="1663" spans="1:6" x14ac:dyDescent="0.25">
      <c r="A1663" t="s">
        <v>3091</v>
      </c>
      <c r="B1663" t="s">
        <v>3092</v>
      </c>
      <c r="C1663" s="1">
        <v>44083</v>
      </c>
      <c r="D1663" t="b">
        <v>1</v>
      </c>
      <c r="E1663" t="s">
        <v>10</v>
      </c>
      <c r="F1663">
        <v>15889</v>
      </c>
    </row>
    <row r="1664" spans="1:6" x14ac:dyDescent="0.25">
      <c r="A1664" t="s">
        <v>3093</v>
      </c>
      <c r="B1664" t="s">
        <v>3094</v>
      </c>
      <c r="C1664" s="1">
        <v>44083</v>
      </c>
      <c r="D1664" t="b">
        <v>1</v>
      </c>
      <c r="E1664" t="s">
        <v>10</v>
      </c>
      <c r="F1664">
        <v>14772</v>
      </c>
    </row>
    <row r="1665" spans="1:6" x14ac:dyDescent="0.25">
      <c r="A1665" t="s">
        <v>3095</v>
      </c>
      <c r="B1665" t="s">
        <v>3096</v>
      </c>
      <c r="C1665" s="1">
        <v>44083</v>
      </c>
      <c r="D1665" t="b">
        <v>1</v>
      </c>
      <c r="E1665" t="s">
        <v>10</v>
      </c>
      <c r="F1665">
        <v>16185</v>
      </c>
    </row>
    <row r="1666" spans="1:6" x14ac:dyDescent="0.25">
      <c r="A1666" t="s">
        <v>3097</v>
      </c>
      <c r="B1666" t="s">
        <v>3098</v>
      </c>
      <c r="C1666" s="1">
        <v>44083</v>
      </c>
      <c r="D1666" t="b">
        <v>1</v>
      </c>
      <c r="E1666" t="s">
        <v>10</v>
      </c>
      <c r="F1666">
        <v>1369</v>
      </c>
    </row>
    <row r="1667" spans="1:6" x14ac:dyDescent="0.25">
      <c r="A1667" t="s">
        <v>3099</v>
      </c>
      <c r="B1667" t="s">
        <v>3100</v>
      </c>
      <c r="C1667" s="1">
        <v>44083</v>
      </c>
      <c r="D1667" t="b">
        <v>1</v>
      </c>
      <c r="E1667" t="s">
        <v>10</v>
      </c>
      <c r="F1667">
        <v>1371</v>
      </c>
    </row>
    <row r="1668" spans="1:6" x14ac:dyDescent="0.25">
      <c r="A1668" t="s">
        <v>3101</v>
      </c>
      <c r="B1668" t="s">
        <v>3102</v>
      </c>
      <c r="C1668" s="1">
        <v>44083</v>
      </c>
      <c r="D1668" t="b">
        <v>1</v>
      </c>
      <c r="E1668" t="s">
        <v>10</v>
      </c>
      <c r="F1668">
        <v>9277</v>
      </c>
    </row>
    <row r="1669" spans="1:6" x14ac:dyDescent="0.25">
      <c r="A1669" t="s">
        <v>3103</v>
      </c>
      <c r="B1669" t="s">
        <v>3104</v>
      </c>
      <c r="C1669" s="1">
        <v>44083</v>
      </c>
      <c r="D1669" t="b">
        <v>1</v>
      </c>
      <c r="E1669" t="s">
        <v>10</v>
      </c>
      <c r="F1669">
        <v>5283</v>
      </c>
    </row>
    <row r="1670" spans="1:6" x14ac:dyDescent="0.25">
      <c r="A1670" t="s">
        <v>3105</v>
      </c>
      <c r="B1670" t="s">
        <v>3106</v>
      </c>
      <c r="C1670" s="1">
        <v>44083</v>
      </c>
      <c r="D1670" t="b">
        <v>1</v>
      </c>
      <c r="E1670" t="s">
        <v>10</v>
      </c>
      <c r="F1670">
        <v>8987</v>
      </c>
    </row>
    <row r="1671" spans="1:6" x14ac:dyDescent="0.25">
      <c r="A1671" t="s">
        <v>3107</v>
      </c>
      <c r="B1671" t="s">
        <v>3108</v>
      </c>
      <c r="C1671" s="1">
        <v>44083</v>
      </c>
      <c r="D1671" t="b">
        <v>1</v>
      </c>
      <c r="E1671" t="s">
        <v>10</v>
      </c>
      <c r="F1671">
        <v>11473</v>
      </c>
    </row>
    <row r="1672" spans="1:6" x14ac:dyDescent="0.25">
      <c r="A1672" t="s">
        <v>3109</v>
      </c>
      <c r="B1672" t="s">
        <v>3110</v>
      </c>
      <c r="C1672" s="1">
        <v>44083</v>
      </c>
      <c r="D1672" t="b">
        <v>1</v>
      </c>
      <c r="E1672" t="s">
        <v>10</v>
      </c>
      <c r="F1672">
        <v>1375</v>
      </c>
    </row>
    <row r="1673" spans="1:6" x14ac:dyDescent="0.25">
      <c r="A1673" t="s">
        <v>3111</v>
      </c>
      <c r="B1673" t="s">
        <v>3112</v>
      </c>
      <c r="C1673" s="1">
        <v>44083</v>
      </c>
      <c r="D1673" t="b">
        <v>1</v>
      </c>
      <c r="E1673" t="s">
        <v>10</v>
      </c>
      <c r="F1673">
        <v>14241</v>
      </c>
    </row>
    <row r="1674" spans="1:6" x14ac:dyDescent="0.25">
      <c r="A1674" t="s">
        <v>3113</v>
      </c>
      <c r="B1674" t="s">
        <v>3114</v>
      </c>
      <c r="C1674" s="1">
        <v>44083</v>
      </c>
      <c r="D1674" t="b">
        <v>1</v>
      </c>
      <c r="E1674" t="s">
        <v>10</v>
      </c>
      <c r="F1674">
        <v>13161</v>
      </c>
    </row>
    <row r="1675" spans="1:6" x14ac:dyDescent="0.25">
      <c r="A1675" t="s">
        <v>3115</v>
      </c>
      <c r="B1675" t="s">
        <v>3116</v>
      </c>
      <c r="C1675" s="1">
        <v>44083</v>
      </c>
      <c r="D1675" t="b">
        <v>1</v>
      </c>
      <c r="E1675" t="s">
        <v>10</v>
      </c>
      <c r="F1675">
        <v>1384</v>
      </c>
    </row>
    <row r="1676" spans="1:6" x14ac:dyDescent="0.25">
      <c r="A1676" t="s">
        <v>3117</v>
      </c>
      <c r="C1676" s="1">
        <v>44083</v>
      </c>
      <c r="D1676" t="b">
        <v>1</v>
      </c>
      <c r="E1676" t="s">
        <v>10</v>
      </c>
      <c r="F1676">
        <v>13098</v>
      </c>
    </row>
    <row r="1677" spans="1:6" x14ac:dyDescent="0.25">
      <c r="A1677" t="s">
        <v>3118</v>
      </c>
      <c r="C1677" s="1">
        <v>44083</v>
      </c>
      <c r="D1677" t="b">
        <v>1</v>
      </c>
      <c r="E1677" t="s">
        <v>10</v>
      </c>
      <c r="F1677">
        <v>14260</v>
      </c>
    </row>
    <row r="1678" spans="1:6" x14ac:dyDescent="0.25">
      <c r="A1678" t="s">
        <v>3119</v>
      </c>
      <c r="C1678" s="1">
        <v>44083</v>
      </c>
      <c r="D1678" t="b">
        <v>1</v>
      </c>
      <c r="E1678" t="s">
        <v>10</v>
      </c>
      <c r="F1678">
        <v>16324</v>
      </c>
    </row>
    <row r="1679" spans="1:6" x14ac:dyDescent="0.25">
      <c r="A1679" t="s">
        <v>3120</v>
      </c>
      <c r="B1679" t="s">
        <v>3121</v>
      </c>
      <c r="C1679" s="1">
        <v>44083</v>
      </c>
      <c r="D1679" t="b">
        <v>1</v>
      </c>
      <c r="E1679" t="s">
        <v>10</v>
      </c>
      <c r="F1679">
        <v>12847</v>
      </c>
    </row>
    <row r="1680" spans="1:6" x14ac:dyDescent="0.25">
      <c r="A1680" t="s">
        <v>3122</v>
      </c>
      <c r="B1680" t="s">
        <v>3123</v>
      </c>
      <c r="C1680" s="1">
        <v>44083</v>
      </c>
      <c r="D1680" t="b">
        <v>1</v>
      </c>
      <c r="E1680" t="s">
        <v>10</v>
      </c>
      <c r="F1680">
        <v>11416</v>
      </c>
    </row>
    <row r="1681" spans="1:6" x14ac:dyDescent="0.25">
      <c r="A1681" t="s">
        <v>3124</v>
      </c>
      <c r="B1681" t="s">
        <v>3125</v>
      </c>
      <c r="C1681" s="1">
        <v>44083</v>
      </c>
      <c r="D1681" t="b">
        <v>1</v>
      </c>
      <c r="E1681" t="s">
        <v>10</v>
      </c>
      <c r="F1681">
        <v>1385</v>
      </c>
    </row>
    <row r="1682" spans="1:6" x14ac:dyDescent="0.25">
      <c r="A1682" t="s">
        <v>3126</v>
      </c>
      <c r="C1682" s="1">
        <v>44083</v>
      </c>
      <c r="D1682" t="b">
        <v>1</v>
      </c>
      <c r="E1682" t="s">
        <v>10</v>
      </c>
      <c r="F1682">
        <v>10455</v>
      </c>
    </row>
    <row r="1683" spans="1:6" x14ac:dyDescent="0.25">
      <c r="A1683" t="s">
        <v>3127</v>
      </c>
      <c r="C1683" s="1">
        <v>44083</v>
      </c>
      <c r="D1683" t="b">
        <v>1</v>
      </c>
      <c r="E1683" t="s">
        <v>10</v>
      </c>
      <c r="F1683">
        <v>11694</v>
      </c>
    </row>
    <row r="1684" spans="1:6" x14ac:dyDescent="0.25">
      <c r="A1684" t="s">
        <v>3128</v>
      </c>
      <c r="C1684" s="1">
        <v>44083</v>
      </c>
      <c r="D1684" t="b">
        <v>1</v>
      </c>
      <c r="E1684" t="s">
        <v>10</v>
      </c>
      <c r="F1684">
        <v>12152</v>
      </c>
    </row>
    <row r="1685" spans="1:6" x14ac:dyDescent="0.25">
      <c r="A1685" t="s">
        <v>3129</v>
      </c>
      <c r="C1685" s="1">
        <v>44083</v>
      </c>
      <c r="D1685" t="b">
        <v>1</v>
      </c>
      <c r="E1685" t="s">
        <v>10</v>
      </c>
      <c r="F1685">
        <v>16075</v>
      </c>
    </row>
    <row r="1686" spans="1:6" x14ac:dyDescent="0.25">
      <c r="A1686" t="s">
        <v>3130</v>
      </c>
      <c r="C1686" s="1">
        <v>44083</v>
      </c>
      <c r="D1686" t="b">
        <v>1</v>
      </c>
      <c r="E1686" t="s">
        <v>10</v>
      </c>
      <c r="F1686">
        <v>16507</v>
      </c>
    </row>
    <row r="1687" spans="1:6" x14ac:dyDescent="0.25">
      <c r="A1687" t="s">
        <v>3131</v>
      </c>
      <c r="B1687" t="s">
        <v>3132</v>
      </c>
      <c r="C1687" s="1">
        <v>44083</v>
      </c>
      <c r="D1687" t="b">
        <v>1</v>
      </c>
      <c r="E1687" t="s">
        <v>10</v>
      </c>
      <c r="F1687">
        <v>16510</v>
      </c>
    </row>
    <row r="1688" spans="1:6" x14ac:dyDescent="0.25">
      <c r="A1688" t="s">
        <v>3133</v>
      </c>
      <c r="B1688" t="s">
        <v>3134</v>
      </c>
      <c r="C1688" s="1">
        <v>44083</v>
      </c>
      <c r="D1688" t="b">
        <v>1</v>
      </c>
      <c r="E1688" t="s">
        <v>10</v>
      </c>
      <c r="F1688">
        <v>1387</v>
      </c>
    </row>
    <row r="1689" spans="1:6" x14ac:dyDescent="0.25">
      <c r="A1689" t="s">
        <v>3135</v>
      </c>
      <c r="B1689" t="s">
        <v>3136</v>
      </c>
      <c r="C1689" s="1">
        <v>44083</v>
      </c>
      <c r="D1689" t="b">
        <v>1</v>
      </c>
      <c r="E1689" t="s">
        <v>10</v>
      </c>
      <c r="F1689">
        <v>3448</v>
      </c>
    </row>
    <row r="1690" spans="1:6" x14ac:dyDescent="0.25">
      <c r="A1690" t="s">
        <v>3137</v>
      </c>
      <c r="B1690" t="s">
        <v>3138</v>
      </c>
      <c r="C1690" s="1">
        <v>44083</v>
      </c>
      <c r="D1690" t="b">
        <v>1</v>
      </c>
      <c r="E1690" t="s">
        <v>10</v>
      </c>
      <c r="F1690">
        <v>1390</v>
      </c>
    </row>
    <row r="1691" spans="1:6" x14ac:dyDescent="0.25">
      <c r="A1691" t="s">
        <v>3139</v>
      </c>
      <c r="B1691" t="s">
        <v>3140</v>
      </c>
      <c r="C1691" s="1">
        <v>44083</v>
      </c>
      <c r="D1691" t="b">
        <v>1</v>
      </c>
      <c r="E1691" t="s">
        <v>10</v>
      </c>
      <c r="F1691">
        <v>1391</v>
      </c>
    </row>
    <row r="1692" spans="1:6" x14ac:dyDescent="0.25">
      <c r="A1692" t="s">
        <v>3141</v>
      </c>
      <c r="B1692" t="s">
        <v>3142</v>
      </c>
      <c r="C1692" s="1">
        <v>44083</v>
      </c>
      <c r="D1692" t="b">
        <v>1</v>
      </c>
      <c r="E1692" t="s">
        <v>10</v>
      </c>
      <c r="F1692">
        <v>1392</v>
      </c>
    </row>
    <row r="1693" spans="1:6" x14ac:dyDescent="0.25">
      <c r="A1693" t="s">
        <v>3143</v>
      </c>
      <c r="B1693" t="s">
        <v>3144</v>
      </c>
      <c r="C1693" s="1">
        <v>44083</v>
      </c>
      <c r="D1693" t="b">
        <v>1</v>
      </c>
      <c r="E1693" t="s">
        <v>10</v>
      </c>
      <c r="F1693">
        <v>1394</v>
      </c>
    </row>
    <row r="1694" spans="1:6" x14ac:dyDescent="0.25">
      <c r="A1694" t="s">
        <v>3145</v>
      </c>
      <c r="B1694" t="s">
        <v>3146</v>
      </c>
      <c r="C1694" s="1">
        <v>44083</v>
      </c>
      <c r="D1694" t="b">
        <v>1</v>
      </c>
      <c r="E1694" t="s">
        <v>10</v>
      </c>
      <c r="F1694">
        <v>14001</v>
      </c>
    </row>
    <row r="1695" spans="1:6" x14ac:dyDescent="0.25">
      <c r="A1695" t="s">
        <v>3147</v>
      </c>
      <c r="B1695" t="s">
        <v>3148</v>
      </c>
      <c r="C1695" s="1">
        <v>44083</v>
      </c>
      <c r="D1695" t="b">
        <v>1</v>
      </c>
      <c r="E1695" t="s">
        <v>10</v>
      </c>
      <c r="F1695">
        <v>9888</v>
      </c>
    </row>
    <row r="1696" spans="1:6" x14ac:dyDescent="0.25">
      <c r="A1696" t="s">
        <v>3149</v>
      </c>
      <c r="B1696" t="s">
        <v>3150</v>
      </c>
      <c r="C1696" s="1">
        <v>44083</v>
      </c>
      <c r="D1696" t="b">
        <v>1</v>
      </c>
      <c r="E1696" t="s">
        <v>10</v>
      </c>
      <c r="F1696">
        <v>1396</v>
      </c>
    </row>
    <row r="1697" spans="1:6" x14ac:dyDescent="0.25">
      <c r="A1697" t="s">
        <v>3151</v>
      </c>
      <c r="B1697" t="s">
        <v>3152</v>
      </c>
      <c r="C1697" s="1">
        <v>44083</v>
      </c>
      <c r="D1697" t="b">
        <v>1</v>
      </c>
      <c r="E1697" t="s">
        <v>10</v>
      </c>
      <c r="F1697">
        <v>12746</v>
      </c>
    </row>
    <row r="1698" spans="1:6" x14ac:dyDescent="0.25">
      <c r="A1698" t="s">
        <v>3153</v>
      </c>
      <c r="B1698" t="s">
        <v>3154</v>
      </c>
      <c r="C1698" s="1">
        <v>44083</v>
      </c>
      <c r="D1698" t="b">
        <v>1</v>
      </c>
      <c r="E1698" t="s">
        <v>10</v>
      </c>
      <c r="F1698">
        <v>12943</v>
      </c>
    </row>
    <row r="1699" spans="1:6" x14ac:dyDescent="0.25">
      <c r="A1699" t="s">
        <v>3155</v>
      </c>
      <c r="B1699" t="s">
        <v>3156</v>
      </c>
      <c r="C1699" s="1">
        <v>44083</v>
      </c>
      <c r="D1699" t="b">
        <v>1</v>
      </c>
      <c r="E1699" t="s">
        <v>10</v>
      </c>
      <c r="F1699">
        <v>8040</v>
      </c>
    </row>
    <row r="1700" spans="1:6" x14ac:dyDescent="0.25">
      <c r="A1700" t="s">
        <v>3157</v>
      </c>
      <c r="B1700" t="s">
        <v>3158</v>
      </c>
      <c r="C1700" s="1">
        <v>44083</v>
      </c>
      <c r="D1700" t="b">
        <v>1</v>
      </c>
      <c r="E1700" t="s">
        <v>10</v>
      </c>
      <c r="F1700">
        <v>9373</v>
      </c>
    </row>
    <row r="1701" spans="1:6" x14ac:dyDescent="0.25">
      <c r="A1701" t="s">
        <v>3159</v>
      </c>
      <c r="B1701" t="s">
        <v>3160</v>
      </c>
      <c r="C1701" s="1">
        <v>44083</v>
      </c>
      <c r="D1701" t="b">
        <v>1</v>
      </c>
      <c r="E1701" t="s">
        <v>10</v>
      </c>
      <c r="F1701">
        <v>1398</v>
      </c>
    </row>
    <row r="1702" spans="1:6" x14ac:dyDescent="0.25">
      <c r="A1702" t="s">
        <v>3161</v>
      </c>
      <c r="B1702" t="s">
        <v>3162</v>
      </c>
      <c r="C1702" s="1">
        <v>44083</v>
      </c>
      <c r="D1702" t="b">
        <v>1</v>
      </c>
      <c r="E1702" t="s">
        <v>10</v>
      </c>
      <c r="F1702">
        <v>1399</v>
      </c>
    </row>
    <row r="1703" spans="1:6" x14ac:dyDescent="0.25">
      <c r="A1703" t="s">
        <v>3163</v>
      </c>
      <c r="B1703" t="s">
        <v>3164</v>
      </c>
      <c r="C1703" s="1">
        <v>44083</v>
      </c>
      <c r="D1703" t="b">
        <v>1</v>
      </c>
      <c r="E1703" t="s">
        <v>10</v>
      </c>
      <c r="F1703">
        <v>1400</v>
      </c>
    </row>
    <row r="1704" spans="1:6" x14ac:dyDescent="0.25">
      <c r="A1704" t="s">
        <v>3165</v>
      </c>
      <c r="B1704" t="s">
        <v>3166</v>
      </c>
      <c r="C1704" s="1">
        <v>44083</v>
      </c>
      <c r="D1704" t="b">
        <v>1</v>
      </c>
      <c r="E1704" t="s">
        <v>10</v>
      </c>
      <c r="F1704">
        <v>10613</v>
      </c>
    </row>
    <row r="1705" spans="1:6" x14ac:dyDescent="0.25">
      <c r="A1705" t="s">
        <v>3167</v>
      </c>
      <c r="B1705" t="s">
        <v>3168</v>
      </c>
      <c r="C1705" s="1">
        <v>44083</v>
      </c>
      <c r="D1705" t="b">
        <v>1</v>
      </c>
      <c r="E1705" t="s">
        <v>10</v>
      </c>
      <c r="F1705">
        <v>1402</v>
      </c>
    </row>
    <row r="1706" spans="1:6" x14ac:dyDescent="0.25">
      <c r="A1706" t="s">
        <v>3169</v>
      </c>
      <c r="B1706" t="s">
        <v>3170</v>
      </c>
      <c r="C1706" s="1">
        <v>44083</v>
      </c>
      <c r="D1706" t="b">
        <v>1</v>
      </c>
      <c r="E1706" t="s">
        <v>10</v>
      </c>
      <c r="F1706">
        <v>1403</v>
      </c>
    </row>
    <row r="1707" spans="1:6" x14ac:dyDescent="0.25">
      <c r="A1707" t="s">
        <v>3171</v>
      </c>
      <c r="B1707" t="s">
        <v>3172</v>
      </c>
      <c r="C1707" s="1">
        <v>44083</v>
      </c>
      <c r="D1707" t="b">
        <v>1</v>
      </c>
      <c r="E1707" t="s">
        <v>10</v>
      </c>
      <c r="F1707">
        <v>1404</v>
      </c>
    </row>
    <row r="1708" spans="1:6" x14ac:dyDescent="0.25">
      <c r="A1708" t="s">
        <v>3173</v>
      </c>
      <c r="B1708" t="s">
        <v>3174</v>
      </c>
      <c r="C1708" s="1">
        <v>44083</v>
      </c>
      <c r="D1708" t="b">
        <v>1</v>
      </c>
      <c r="E1708" t="s">
        <v>10</v>
      </c>
      <c r="F1708">
        <v>1406</v>
      </c>
    </row>
    <row r="1709" spans="1:6" x14ac:dyDescent="0.25">
      <c r="A1709" t="s">
        <v>3175</v>
      </c>
      <c r="B1709" t="s">
        <v>3176</v>
      </c>
      <c r="C1709" s="1">
        <v>44083</v>
      </c>
      <c r="D1709" t="b">
        <v>1</v>
      </c>
      <c r="E1709" t="s">
        <v>10</v>
      </c>
      <c r="F1709">
        <v>1407</v>
      </c>
    </row>
    <row r="1710" spans="1:6" x14ac:dyDescent="0.25">
      <c r="A1710" t="s">
        <v>3177</v>
      </c>
      <c r="B1710" t="s">
        <v>3178</v>
      </c>
      <c r="C1710" s="1">
        <v>44083</v>
      </c>
      <c r="D1710" t="b">
        <v>1</v>
      </c>
      <c r="E1710" t="s">
        <v>10</v>
      </c>
      <c r="F1710">
        <v>1408</v>
      </c>
    </row>
    <row r="1711" spans="1:6" x14ac:dyDescent="0.25">
      <c r="A1711" t="s">
        <v>3179</v>
      </c>
      <c r="B1711" t="s">
        <v>3180</v>
      </c>
      <c r="C1711" s="1">
        <v>44083</v>
      </c>
      <c r="D1711" t="b">
        <v>1</v>
      </c>
      <c r="E1711" t="s">
        <v>10</v>
      </c>
      <c r="F1711">
        <v>1409</v>
      </c>
    </row>
    <row r="1712" spans="1:6" x14ac:dyDescent="0.25">
      <c r="A1712" t="s">
        <v>3181</v>
      </c>
      <c r="C1712" s="1">
        <v>44083</v>
      </c>
      <c r="D1712" t="b">
        <v>1</v>
      </c>
      <c r="E1712" t="s">
        <v>10</v>
      </c>
      <c r="F1712">
        <v>9780</v>
      </c>
    </row>
    <row r="1713" spans="1:6" x14ac:dyDescent="0.25">
      <c r="A1713" t="s">
        <v>3182</v>
      </c>
      <c r="B1713" t="s">
        <v>3183</v>
      </c>
      <c r="C1713" s="1">
        <v>44083</v>
      </c>
      <c r="D1713" t="b">
        <v>1</v>
      </c>
      <c r="E1713" t="s">
        <v>10</v>
      </c>
      <c r="F1713">
        <v>1410</v>
      </c>
    </row>
    <row r="1714" spans="1:6" x14ac:dyDescent="0.25">
      <c r="A1714" t="s">
        <v>3184</v>
      </c>
      <c r="B1714" t="s">
        <v>3185</v>
      </c>
      <c r="C1714" s="1">
        <v>44083</v>
      </c>
      <c r="D1714" t="b">
        <v>1</v>
      </c>
      <c r="E1714" t="s">
        <v>10</v>
      </c>
      <c r="F1714">
        <v>1412</v>
      </c>
    </row>
    <row r="1715" spans="1:6" x14ac:dyDescent="0.25">
      <c r="A1715" t="s">
        <v>3186</v>
      </c>
      <c r="B1715" t="s">
        <v>3187</v>
      </c>
      <c r="C1715" s="1">
        <v>44083</v>
      </c>
      <c r="D1715" t="b">
        <v>1</v>
      </c>
      <c r="E1715" t="s">
        <v>10</v>
      </c>
      <c r="F1715">
        <v>1414</v>
      </c>
    </row>
    <row r="1716" spans="1:6" x14ac:dyDescent="0.25">
      <c r="A1716" t="s">
        <v>3188</v>
      </c>
      <c r="B1716" t="s">
        <v>3189</v>
      </c>
      <c r="C1716" s="1">
        <v>44083</v>
      </c>
      <c r="D1716" t="b">
        <v>1</v>
      </c>
      <c r="E1716" t="s">
        <v>10</v>
      </c>
      <c r="F1716">
        <v>11803</v>
      </c>
    </row>
    <row r="1717" spans="1:6" x14ac:dyDescent="0.25">
      <c r="A1717" t="s">
        <v>3190</v>
      </c>
      <c r="B1717" t="s">
        <v>3191</v>
      </c>
      <c r="C1717" s="1">
        <v>44083</v>
      </c>
      <c r="D1717" t="b">
        <v>1</v>
      </c>
      <c r="E1717" t="s">
        <v>10</v>
      </c>
      <c r="F1717">
        <v>14044</v>
      </c>
    </row>
    <row r="1718" spans="1:6" x14ac:dyDescent="0.25">
      <c r="A1718" t="s">
        <v>3192</v>
      </c>
      <c r="B1718" t="s">
        <v>3193</v>
      </c>
      <c r="C1718" s="1">
        <v>44083</v>
      </c>
      <c r="D1718" t="b">
        <v>1</v>
      </c>
      <c r="E1718" t="s">
        <v>10</v>
      </c>
      <c r="F1718">
        <v>1418</v>
      </c>
    </row>
    <row r="1719" spans="1:6" x14ac:dyDescent="0.25">
      <c r="A1719" t="s">
        <v>3194</v>
      </c>
      <c r="C1719" s="1">
        <v>44083</v>
      </c>
      <c r="D1719" t="b">
        <v>1</v>
      </c>
      <c r="E1719" t="s">
        <v>10</v>
      </c>
      <c r="F1719">
        <v>14731</v>
      </c>
    </row>
    <row r="1720" spans="1:6" x14ac:dyDescent="0.25">
      <c r="A1720" t="s">
        <v>3195</v>
      </c>
      <c r="C1720" s="1">
        <v>44083</v>
      </c>
      <c r="D1720" t="b">
        <v>1</v>
      </c>
      <c r="E1720" t="s">
        <v>10</v>
      </c>
      <c r="F1720">
        <v>13923</v>
      </c>
    </row>
    <row r="1721" spans="1:6" x14ac:dyDescent="0.25">
      <c r="A1721" t="s">
        <v>3196</v>
      </c>
      <c r="B1721" t="s">
        <v>3197</v>
      </c>
      <c r="C1721" s="1">
        <v>44083</v>
      </c>
      <c r="D1721" t="b">
        <v>1</v>
      </c>
      <c r="E1721" t="s">
        <v>10</v>
      </c>
      <c r="F1721">
        <v>12202</v>
      </c>
    </row>
    <row r="1722" spans="1:6" x14ac:dyDescent="0.25">
      <c r="A1722" t="s">
        <v>3198</v>
      </c>
      <c r="B1722" t="s">
        <v>3199</v>
      </c>
      <c r="C1722" s="1">
        <v>44083</v>
      </c>
      <c r="D1722" t="b">
        <v>1</v>
      </c>
      <c r="E1722" t="s">
        <v>10</v>
      </c>
      <c r="F1722">
        <v>1420</v>
      </c>
    </row>
    <row r="1723" spans="1:6" x14ac:dyDescent="0.25">
      <c r="A1723" t="s">
        <v>3200</v>
      </c>
      <c r="B1723" t="s">
        <v>3201</v>
      </c>
      <c r="C1723" s="1">
        <v>44083</v>
      </c>
      <c r="D1723" t="b">
        <v>1</v>
      </c>
      <c r="E1723" t="s">
        <v>10</v>
      </c>
      <c r="F1723">
        <v>1421</v>
      </c>
    </row>
    <row r="1724" spans="1:6" x14ac:dyDescent="0.25">
      <c r="A1724" t="s">
        <v>3202</v>
      </c>
      <c r="B1724" t="s">
        <v>3203</v>
      </c>
      <c r="C1724" s="1">
        <v>44083</v>
      </c>
      <c r="D1724" t="b">
        <v>1</v>
      </c>
      <c r="E1724" t="s">
        <v>10</v>
      </c>
      <c r="F1724">
        <v>16047</v>
      </c>
    </row>
    <row r="1725" spans="1:6" x14ac:dyDescent="0.25">
      <c r="A1725" t="s">
        <v>3204</v>
      </c>
      <c r="B1725" t="s">
        <v>3205</v>
      </c>
      <c r="C1725" s="1">
        <v>44083</v>
      </c>
      <c r="D1725" t="b">
        <v>1</v>
      </c>
      <c r="E1725" t="s">
        <v>10</v>
      </c>
      <c r="F1725">
        <v>15898</v>
      </c>
    </row>
    <row r="1726" spans="1:6" x14ac:dyDescent="0.25">
      <c r="A1726" t="s">
        <v>3206</v>
      </c>
      <c r="C1726" s="1">
        <v>44083</v>
      </c>
      <c r="D1726" t="b">
        <v>1</v>
      </c>
      <c r="E1726" t="s">
        <v>10</v>
      </c>
      <c r="F1726">
        <v>16048</v>
      </c>
    </row>
    <row r="1727" spans="1:6" x14ac:dyDescent="0.25">
      <c r="A1727" t="s">
        <v>3207</v>
      </c>
      <c r="B1727" t="s">
        <v>3208</v>
      </c>
      <c r="C1727" s="1">
        <v>44083</v>
      </c>
      <c r="D1727" t="b">
        <v>1</v>
      </c>
      <c r="E1727" t="s">
        <v>10</v>
      </c>
      <c r="F1727">
        <v>1422</v>
      </c>
    </row>
    <row r="1728" spans="1:6" x14ac:dyDescent="0.25">
      <c r="A1728" t="s">
        <v>3209</v>
      </c>
      <c r="B1728" t="s">
        <v>3210</v>
      </c>
      <c r="C1728" s="1">
        <v>44083</v>
      </c>
      <c r="D1728" t="b">
        <v>1</v>
      </c>
      <c r="E1728" t="s">
        <v>10</v>
      </c>
      <c r="F1728">
        <v>1423</v>
      </c>
    </row>
    <row r="1729" spans="1:6" x14ac:dyDescent="0.25">
      <c r="A1729" t="s">
        <v>3211</v>
      </c>
      <c r="B1729" t="s">
        <v>3212</v>
      </c>
      <c r="C1729" s="1">
        <v>44083</v>
      </c>
      <c r="D1729" t="b">
        <v>1</v>
      </c>
      <c r="E1729" t="s">
        <v>10</v>
      </c>
      <c r="F1729">
        <v>1424</v>
      </c>
    </row>
    <row r="1730" spans="1:6" x14ac:dyDescent="0.25">
      <c r="A1730" t="s">
        <v>3213</v>
      </c>
      <c r="B1730" t="s">
        <v>3214</v>
      </c>
      <c r="C1730" s="1">
        <v>44083</v>
      </c>
      <c r="D1730" t="b">
        <v>1</v>
      </c>
      <c r="E1730" t="s">
        <v>10</v>
      </c>
      <c r="F1730">
        <v>1425</v>
      </c>
    </row>
    <row r="1731" spans="1:6" x14ac:dyDescent="0.25">
      <c r="A1731" t="s">
        <v>3215</v>
      </c>
      <c r="B1731" t="s">
        <v>3216</v>
      </c>
      <c r="C1731" s="1">
        <v>44083</v>
      </c>
      <c r="D1731" t="b">
        <v>1</v>
      </c>
      <c r="E1731" t="s">
        <v>10</v>
      </c>
      <c r="F1731">
        <v>1427</v>
      </c>
    </row>
    <row r="1732" spans="1:6" x14ac:dyDescent="0.25">
      <c r="A1732" t="s">
        <v>3217</v>
      </c>
      <c r="B1732" t="s">
        <v>3218</v>
      </c>
      <c r="C1732" s="1">
        <v>44083</v>
      </c>
      <c r="D1732" t="b">
        <v>1</v>
      </c>
      <c r="E1732" t="s">
        <v>10</v>
      </c>
      <c r="F1732">
        <v>1428</v>
      </c>
    </row>
    <row r="1733" spans="1:6" x14ac:dyDescent="0.25">
      <c r="A1733" t="s">
        <v>3219</v>
      </c>
      <c r="B1733" t="s">
        <v>3220</v>
      </c>
      <c r="C1733" s="1">
        <v>44083</v>
      </c>
      <c r="D1733" t="b">
        <v>1</v>
      </c>
      <c r="E1733" t="s">
        <v>10</v>
      </c>
      <c r="F1733">
        <v>8221</v>
      </c>
    </row>
    <row r="1734" spans="1:6" x14ac:dyDescent="0.25">
      <c r="A1734" t="s">
        <v>3221</v>
      </c>
      <c r="B1734" t="s">
        <v>3222</v>
      </c>
      <c r="C1734" s="1">
        <v>44083</v>
      </c>
      <c r="D1734" t="b">
        <v>1</v>
      </c>
      <c r="E1734" t="s">
        <v>10</v>
      </c>
      <c r="F1734">
        <v>11572</v>
      </c>
    </row>
    <row r="1735" spans="1:6" x14ac:dyDescent="0.25">
      <c r="A1735" t="s">
        <v>3223</v>
      </c>
      <c r="B1735" t="s">
        <v>3224</v>
      </c>
      <c r="C1735" s="1">
        <v>44083</v>
      </c>
      <c r="D1735" t="b">
        <v>1</v>
      </c>
      <c r="E1735" t="s">
        <v>10</v>
      </c>
      <c r="F1735">
        <v>1432</v>
      </c>
    </row>
    <row r="1736" spans="1:6" x14ac:dyDescent="0.25">
      <c r="A1736" t="s">
        <v>3225</v>
      </c>
      <c r="B1736" t="s">
        <v>3226</v>
      </c>
      <c r="C1736" s="1">
        <v>44083</v>
      </c>
      <c r="D1736" t="b">
        <v>1</v>
      </c>
      <c r="E1736" t="s">
        <v>10</v>
      </c>
      <c r="F1736">
        <v>1433</v>
      </c>
    </row>
    <row r="1737" spans="1:6" x14ac:dyDescent="0.25">
      <c r="A1737" t="s">
        <v>3227</v>
      </c>
      <c r="B1737" t="s">
        <v>3228</v>
      </c>
      <c r="C1737" s="1">
        <v>44083</v>
      </c>
      <c r="D1737" t="b">
        <v>1</v>
      </c>
      <c r="E1737" t="s">
        <v>10</v>
      </c>
      <c r="F1737">
        <v>1434</v>
      </c>
    </row>
    <row r="1738" spans="1:6" x14ac:dyDescent="0.25">
      <c r="A1738" t="s">
        <v>3229</v>
      </c>
      <c r="B1738" t="s">
        <v>3230</v>
      </c>
      <c r="C1738" s="1">
        <v>44083</v>
      </c>
      <c r="D1738" t="b">
        <v>1</v>
      </c>
      <c r="E1738" t="s">
        <v>10</v>
      </c>
      <c r="F1738">
        <v>1435</v>
      </c>
    </row>
    <row r="1739" spans="1:6" x14ac:dyDescent="0.25">
      <c r="A1739" t="s">
        <v>3231</v>
      </c>
      <c r="B1739" t="s">
        <v>3232</v>
      </c>
      <c r="C1739" s="1">
        <v>44083</v>
      </c>
      <c r="D1739" t="b">
        <v>1</v>
      </c>
      <c r="E1739" t="s">
        <v>10</v>
      </c>
      <c r="F1739">
        <v>14567</v>
      </c>
    </row>
    <row r="1740" spans="1:6" x14ac:dyDescent="0.25">
      <c r="A1740" t="s">
        <v>3233</v>
      </c>
      <c r="B1740" t="s">
        <v>3234</v>
      </c>
      <c r="C1740" s="1">
        <v>44083</v>
      </c>
      <c r="D1740" t="b">
        <v>1</v>
      </c>
      <c r="E1740" t="s">
        <v>10</v>
      </c>
      <c r="F1740">
        <v>1438</v>
      </c>
    </row>
    <row r="1741" spans="1:6" x14ac:dyDescent="0.25">
      <c r="A1741" t="s">
        <v>3235</v>
      </c>
      <c r="B1741" t="s">
        <v>3236</v>
      </c>
      <c r="C1741" s="1">
        <v>44083</v>
      </c>
      <c r="D1741" t="b">
        <v>1</v>
      </c>
      <c r="E1741" t="s">
        <v>10</v>
      </c>
      <c r="F1741">
        <v>3963</v>
      </c>
    </row>
    <row r="1742" spans="1:6" x14ac:dyDescent="0.25">
      <c r="A1742" t="s">
        <v>3237</v>
      </c>
      <c r="B1742" t="s">
        <v>3238</v>
      </c>
      <c r="C1742" s="1">
        <v>44083</v>
      </c>
      <c r="D1742" t="b">
        <v>1</v>
      </c>
      <c r="E1742" t="s">
        <v>10</v>
      </c>
      <c r="F1742">
        <v>1440</v>
      </c>
    </row>
    <row r="1743" spans="1:6" x14ac:dyDescent="0.25">
      <c r="A1743" t="s">
        <v>3239</v>
      </c>
      <c r="B1743" t="s">
        <v>3240</v>
      </c>
      <c r="C1743" s="1">
        <v>44083</v>
      </c>
      <c r="D1743" t="b">
        <v>1</v>
      </c>
      <c r="E1743" t="s">
        <v>10</v>
      </c>
      <c r="F1743">
        <v>1441</v>
      </c>
    </row>
    <row r="1744" spans="1:6" x14ac:dyDescent="0.25">
      <c r="A1744" t="s">
        <v>3241</v>
      </c>
      <c r="B1744" t="s">
        <v>3242</v>
      </c>
      <c r="C1744" s="1">
        <v>44083</v>
      </c>
      <c r="D1744" t="b">
        <v>1</v>
      </c>
      <c r="E1744" t="s">
        <v>10</v>
      </c>
      <c r="F1744">
        <v>8020</v>
      </c>
    </row>
    <row r="1745" spans="1:6" x14ac:dyDescent="0.25">
      <c r="A1745" t="s">
        <v>3243</v>
      </c>
      <c r="B1745" t="s">
        <v>3244</v>
      </c>
      <c r="C1745" s="1">
        <v>44083</v>
      </c>
      <c r="D1745" t="b">
        <v>1</v>
      </c>
      <c r="E1745" t="s">
        <v>10</v>
      </c>
      <c r="F1745">
        <v>9663</v>
      </c>
    </row>
    <row r="1746" spans="1:6" x14ac:dyDescent="0.25">
      <c r="A1746" t="s">
        <v>3245</v>
      </c>
      <c r="B1746" t="s">
        <v>3246</v>
      </c>
      <c r="C1746" s="1">
        <v>44083</v>
      </c>
      <c r="D1746" t="b">
        <v>1</v>
      </c>
      <c r="E1746" t="s">
        <v>10</v>
      </c>
      <c r="F1746">
        <v>1442</v>
      </c>
    </row>
    <row r="1747" spans="1:6" x14ac:dyDescent="0.25">
      <c r="A1747" t="s">
        <v>3247</v>
      </c>
      <c r="B1747" t="s">
        <v>3248</v>
      </c>
      <c r="C1747" s="1">
        <v>44083</v>
      </c>
      <c r="D1747" t="b">
        <v>1</v>
      </c>
      <c r="E1747" t="s">
        <v>10</v>
      </c>
      <c r="F1747">
        <v>17093</v>
      </c>
    </row>
    <row r="1748" spans="1:6" x14ac:dyDescent="0.25">
      <c r="A1748" t="s">
        <v>3249</v>
      </c>
      <c r="C1748" s="1">
        <v>44083</v>
      </c>
      <c r="D1748" t="b">
        <v>1</v>
      </c>
      <c r="E1748" t="s">
        <v>10</v>
      </c>
      <c r="F1748">
        <v>17125</v>
      </c>
    </row>
    <row r="1749" spans="1:6" x14ac:dyDescent="0.25">
      <c r="A1749" t="s">
        <v>3250</v>
      </c>
      <c r="B1749" t="s">
        <v>3251</v>
      </c>
      <c r="C1749" s="1">
        <v>44083</v>
      </c>
      <c r="D1749" t="b">
        <v>1</v>
      </c>
      <c r="E1749" t="s">
        <v>10</v>
      </c>
      <c r="F1749">
        <v>16817</v>
      </c>
    </row>
    <row r="1750" spans="1:6" x14ac:dyDescent="0.25">
      <c r="A1750" t="s">
        <v>3252</v>
      </c>
      <c r="B1750" t="s">
        <v>3253</v>
      </c>
      <c r="C1750" s="1">
        <v>44083</v>
      </c>
      <c r="D1750" t="b">
        <v>1</v>
      </c>
      <c r="E1750" t="s">
        <v>10</v>
      </c>
      <c r="F1750">
        <v>1444</v>
      </c>
    </row>
    <row r="1751" spans="1:6" x14ac:dyDescent="0.25">
      <c r="A1751" t="s">
        <v>3254</v>
      </c>
      <c r="B1751" t="s">
        <v>3255</v>
      </c>
      <c r="C1751" s="1">
        <v>44083</v>
      </c>
      <c r="D1751" t="b">
        <v>1</v>
      </c>
      <c r="E1751" t="s">
        <v>10</v>
      </c>
      <c r="F1751">
        <v>1445</v>
      </c>
    </row>
    <row r="1752" spans="1:6" x14ac:dyDescent="0.25">
      <c r="A1752" t="s">
        <v>3256</v>
      </c>
      <c r="B1752" t="s">
        <v>3257</v>
      </c>
      <c r="C1752" s="1">
        <v>44083</v>
      </c>
      <c r="D1752" t="b">
        <v>1</v>
      </c>
      <c r="E1752" t="s">
        <v>10</v>
      </c>
      <c r="F1752">
        <v>1446</v>
      </c>
    </row>
    <row r="1753" spans="1:6" x14ac:dyDescent="0.25">
      <c r="A1753" t="s">
        <v>3258</v>
      </c>
      <c r="B1753" t="s">
        <v>3259</v>
      </c>
      <c r="C1753" s="1">
        <v>44083</v>
      </c>
      <c r="D1753" t="b">
        <v>1</v>
      </c>
      <c r="E1753" t="s">
        <v>10</v>
      </c>
      <c r="F1753">
        <v>1447</v>
      </c>
    </row>
    <row r="1754" spans="1:6" x14ac:dyDescent="0.25">
      <c r="A1754" t="s">
        <v>3260</v>
      </c>
      <c r="C1754" s="1">
        <v>44083</v>
      </c>
      <c r="D1754" t="b">
        <v>1</v>
      </c>
      <c r="E1754" t="s">
        <v>10</v>
      </c>
      <c r="F1754">
        <v>12977</v>
      </c>
    </row>
    <row r="1755" spans="1:6" x14ac:dyDescent="0.25">
      <c r="A1755" t="s">
        <v>3261</v>
      </c>
      <c r="C1755" s="1">
        <v>44083</v>
      </c>
      <c r="D1755" t="b">
        <v>1</v>
      </c>
      <c r="E1755" t="s">
        <v>10</v>
      </c>
      <c r="F1755">
        <v>12949</v>
      </c>
    </row>
    <row r="1756" spans="1:6" x14ac:dyDescent="0.25">
      <c r="A1756" t="s">
        <v>3262</v>
      </c>
      <c r="B1756" t="s">
        <v>3263</v>
      </c>
      <c r="C1756" s="1">
        <v>44083</v>
      </c>
      <c r="D1756" t="b">
        <v>1</v>
      </c>
      <c r="E1756" t="s">
        <v>10</v>
      </c>
      <c r="F1756">
        <v>15992</v>
      </c>
    </row>
    <row r="1757" spans="1:6" x14ac:dyDescent="0.25">
      <c r="A1757" t="s">
        <v>3264</v>
      </c>
      <c r="B1757" t="s">
        <v>3265</v>
      </c>
      <c r="C1757" s="1">
        <v>44083</v>
      </c>
      <c r="D1757" t="b">
        <v>1</v>
      </c>
      <c r="E1757" t="s">
        <v>10</v>
      </c>
      <c r="F1757">
        <v>1450</v>
      </c>
    </row>
    <row r="1758" spans="1:6" x14ac:dyDescent="0.25">
      <c r="A1758" t="s">
        <v>3266</v>
      </c>
      <c r="B1758" t="s">
        <v>3267</v>
      </c>
      <c r="C1758" s="1">
        <v>44083</v>
      </c>
      <c r="D1758" t="b">
        <v>1</v>
      </c>
      <c r="E1758" t="s">
        <v>10</v>
      </c>
      <c r="F1758">
        <v>14652</v>
      </c>
    </row>
    <row r="1759" spans="1:6" x14ac:dyDescent="0.25">
      <c r="A1759" t="s">
        <v>3268</v>
      </c>
      <c r="B1759" t="s">
        <v>3269</v>
      </c>
      <c r="C1759" s="1">
        <v>44083</v>
      </c>
      <c r="D1759" t="b">
        <v>1</v>
      </c>
      <c r="E1759" t="s">
        <v>10</v>
      </c>
      <c r="F1759">
        <v>1452</v>
      </c>
    </row>
    <row r="1760" spans="1:6" x14ac:dyDescent="0.25">
      <c r="A1760" t="s">
        <v>3270</v>
      </c>
      <c r="B1760" t="s">
        <v>3271</v>
      </c>
      <c r="C1760" s="1">
        <v>44083</v>
      </c>
      <c r="D1760" t="b">
        <v>1</v>
      </c>
      <c r="E1760" t="s">
        <v>10</v>
      </c>
      <c r="F1760">
        <v>1453</v>
      </c>
    </row>
    <row r="1761" spans="1:6" x14ac:dyDescent="0.25">
      <c r="A1761" t="s">
        <v>3272</v>
      </c>
      <c r="B1761" t="s">
        <v>3273</v>
      </c>
      <c r="C1761" s="1">
        <v>44083</v>
      </c>
      <c r="D1761" t="b">
        <v>1</v>
      </c>
      <c r="E1761" t="s">
        <v>10</v>
      </c>
      <c r="F1761">
        <v>10412</v>
      </c>
    </row>
    <row r="1762" spans="1:6" x14ac:dyDescent="0.25">
      <c r="A1762" t="s">
        <v>3274</v>
      </c>
      <c r="B1762" t="s">
        <v>3275</v>
      </c>
      <c r="C1762" s="1">
        <v>44083</v>
      </c>
      <c r="D1762" t="b">
        <v>1</v>
      </c>
      <c r="E1762" t="s">
        <v>10</v>
      </c>
      <c r="F1762">
        <v>9559</v>
      </c>
    </row>
    <row r="1763" spans="1:6" x14ac:dyDescent="0.25">
      <c r="A1763" t="s">
        <v>3276</v>
      </c>
      <c r="B1763" t="s">
        <v>3277</v>
      </c>
      <c r="C1763" s="1">
        <v>44083</v>
      </c>
      <c r="D1763" t="b">
        <v>1</v>
      </c>
      <c r="E1763" t="s">
        <v>10</v>
      </c>
      <c r="F1763">
        <v>9920</v>
      </c>
    </row>
    <row r="1764" spans="1:6" x14ac:dyDescent="0.25">
      <c r="A1764" t="s">
        <v>3278</v>
      </c>
      <c r="B1764" t="s">
        <v>3279</v>
      </c>
      <c r="C1764" s="1">
        <v>44083</v>
      </c>
      <c r="D1764" t="b">
        <v>1</v>
      </c>
      <c r="E1764" t="s">
        <v>10</v>
      </c>
      <c r="F1764">
        <v>1456</v>
      </c>
    </row>
    <row r="1765" spans="1:6" x14ac:dyDescent="0.25">
      <c r="A1765" t="s">
        <v>3280</v>
      </c>
      <c r="B1765" t="s">
        <v>3281</v>
      </c>
      <c r="C1765" s="1">
        <v>44083</v>
      </c>
      <c r="D1765" t="b">
        <v>1</v>
      </c>
      <c r="E1765" t="s">
        <v>10</v>
      </c>
      <c r="F1765">
        <v>1457</v>
      </c>
    </row>
    <row r="1766" spans="1:6" x14ac:dyDescent="0.25">
      <c r="A1766" t="s">
        <v>3282</v>
      </c>
      <c r="B1766" t="s">
        <v>3283</v>
      </c>
      <c r="C1766" s="1">
        <v>44083</v>
      </c>
      <c r="D1766" t="b">
        <v>1</v>
      </c>
      <c r="E1766" t="s">
        <v>10</v>
      </c>
      <c r="F1766">
        <v>6901</v>
      </c>
    </row>
    <row r="1767" spans="1:6" x14ac:dyDescent="0.25">
      <c r="A1767" t="s">
        <v>3284</v>
      </c>
      <c r="B1767" t="s">
        <v>3285</v>
      </c>
      <c r="C1767" s="1">
        <v>44083</v>
      </c>
      <c r="D1767" t="b">
        <v>1</v>
      </c>
      <c r="E1767" t="s">
        <v>10</v>
      </c>
      <c r="F1767">
        <v>1460</v>
      </c>
    </row>
    <row r="1768" spans="1:6" x14ac:dyDescent="0.25">
      <c r="A1768" t="s">
        <v>3286</v>
      </c>
      <c r="B1768" t="s">
        <v>3287</v>
      </c>
      <c r="C1768" s="1">
        <v>44083</v>
      </c>
      <c r="D1768" t="b">
        <v>1</v>
      </c>
      <c r="E1768" t="s">
        <v>10</v>
      </c>
      <c r="F1768">
        <v>1461</v>
      </c>
    </row>
    <row r="1769" spans="1:6" x14ac:dyDescent="0.25">
      <c r="A1769" t="s">
        <v>3288</v>
      </c>
      <c r="B1769" t="s">
        <v>3289</v>
      </c>
      <c r="C1769" s="1">
        <v>44083</v>
      </c>
      <c r="D1769" t="b">
        <v>1</v>
      </c>
      <c r="E1769" t="s">
        <v>10</v>
      </c>
      <c r="F1769">
        <v>1462</v>
      </c>
    </row>
    <row r="1770" spans="1:6" x14ac:dyDescent="0.25">
      <c r="A1770" t="s">
        <v>3290</v>
      </c>
      <c r="B1770" t="s">
        <v>3291</v>
      </c>
      <c r="C1770" s="1">
        <v>44083</v>
      </c>
      <c r="D1770" t="b">
        <v>1</v>
      </c>
      <c r="E1770" t="s">
        <v>10</v>
      </c>
      <c r="F1770">
        <v>15235</v>
      </c>
    </row>
    <row r="1771" spans="1:6" x14ac:dyDescent="0.25">
      <c r="A1771" t="s">
        <v>3292</v>
      </c>
      <c r="C1771" s="1">
        <v>44083</v>
      </c>
      <c r="D1771" t="b">
        <v>1</v>
      </c>
      <c r="E1771" t="s">
        <v>10</v>
      </c>
      <c r="F1771">
        <v>15236</v>
      </c>
    </row>
    <row r="1772" spans="1:6" x14ac:dyDescent="0.25">
      <c r="A1772" t="s">
        <v>3293</v>
      </c>
      <c r="B1772" t="s">
        <v>3294</v>
      </c>
      <c r="C1772" s="1">
        <v>44083</v>
      </c>
      <c r="D1772" t="b">
        <v>1</v>
      </c>
      <c r="E1772" t="s">
        <v>10</v>
      </c>
      <c r="F1772">
        <v>1463</v>
      </c>
    </row>
    <row r="1773" spans="1:6" x14ac:dyDescent="0.25">
      <c r="A1773" t="s">
        <v>3295</v>
      </c>
      <c r="B1773" t="s">
        <v>3296</v>
      </c>
      <c r="C1773" s="1">
        <v>44083</v>
      </c>
      <c r="D1773" t="b">
        <v>1</v>
      </c>
      <c r="E1773" t="s">
        <v>10</v>
      </c>
      <c r="F1773">
        <v>1464</v>
      </c>
    </row>
    <row r="1774" spans="1:6" x14ac:dyDescent="0.25">
      <c r="A1774" t="s">
        <v>3297</v>
      </c>
      <c r="B1774" t="s">
        <v>3298</v>
      </c>
      <c r="C1774" s="1">
        <v>44083</v>
      </c>
      <c r="D1774" t="b">
        <v>1</v>
      </c>
      <c r="E1774" t="s">
        <v>10</v>
      </c>
      <c r="F1774">
        <v>17041</v>
      </c>
    </row>
    <row r="1775" spans="1:6" x14ac:dyDescent="0.25">
      <c r="A1775" t="s">
        <v>3299</v>
      </c>
      <c r="B1775" t="s">
        <v>3300</v>
      </c>
      <c r="C1775" s="1">
        <v>44083</v>
      </c>
      <c r="D1775" t="b">
        <v>1</v>
      </c>
      <c r="E1775" t="s">
        <v>10</v>
      </c>
      <c r="F1775">
        <v>10483</v>
      </c>
    </row>
    <row r="1776" spans="1:6" x14ac:dyDescent="0.25">
      <c r="A1776" t="s">
        <v>3301</v>
      </c>
      <c r="B1776" t="s">
        <v>3302</v>
      </c>
      <c r="C1776" s="1">
        <v>44083</v>
      </c>
      <c r="D1776" t="b">
        <v>1</v>
      </c>
      <c r="E1776" t="s">
        <v>10</v>
      </c>
      <c r="F1776">
        <v>1465</v>
      </c>
    </row>
    <row r="1777" spans="1:6" x14ac:dyDescent="0.25">
      <c r="A1777" t="s">
        <v>3303</v>
      </c>
      <c r="B1777" t="s">
        <v>3304</v>
      </c>
      <c r="C1777" s="1">
        <v>44083</v>
      </c>
      <c r="D1777" t="b">
        <v>1</v>
      </c>
      <c r="E1777" t="s">
        <v>10</v>
      </c>
      <c r="F1777">
        <v>1466</v>
      </c>
    </row>
    <row r="1778" spans="1:6" x14ac:dyDescent="0.25">
      <c r="A1778" t="s">
        <v>3305</v>
      </c>
      <c r="B1778" t="s">
        <v>3306</v>
      </c>
      <c r="C1778" s="1">
        <v>44083</v>
      </c>
      <c r="D1778" t="b">
        <v>1</v>
      </c>
      <c r="E1778" t="s">
        <v>10</v>
      </c>
      <c r="F1778">
        <v>1467</v>
      </c>
    </row>
    <row r="1779" spans="1:6" x14ac:dyDescent="0.25">
      <c r="A1779" t="s">
        <v>3307</v>
      </c>
      <c r="B1779" t="s">
        <v>3308</v>
      </c>
      <c r="C1779" s="1">
        <v>44083</v>
      </c>
      <c r="D1779" t="b">
        <v>1</v>
      </c>
      <c r="E1779" t="s">
        <v>10</v>
      </c>
      <c r="F1779">
        <v>1468</v>
      </c>
    </row>
    <row r="1780" spans="1:6" x14ac:dyDescent="0.25">
      <c r="A1780" t="s">
        <v>3309</v>
      </c>
      <c r="B1780" t="s">
        <v>3310</v>
      </c>
      <c r="C1780" s="1">
        <v>44083</v>
      </c>
      <c r="D1780" t="b">
        <v>1</v>
      </c>
      <c r="E1780" t="s">
        <v>10</v>
      </c>
      <c r="F1780">
        <v>1469</v>
      </c>
    </row>
    <row r="1781" spans="1:6" x14ac:dyDescent="0.25">
      <c r="A1781" t="s">
        <v>3311</v>
      </c>
      <c r="B1781" t="s">
        <v>3312</v>
      </c>
      <c r="C1781" s="1">
        <v>44083</v>
      </c>
      <c r="D1781" t="b">
        <v>1</v>
      </c>
      <c r="E1781" t="s">
        <v>10</v>
      </c>
      <c r="F1781">
        <v>1472</v>
      </c>
    </row>
    <row r="1782" spans="1:6" x14ac:dyDescent="0.25">
      <c r="A1782" t="s">
        <v>3313</v>
      </c>
      <c r="B1782" t="s">
        <v>3314</v>
      </c>
      <c r="C1782" s="1">
        <v>44083</v>
      </c>
      <c r="D1782" t="b">
        <v>1</v>
      </c>
      <c r="E1782" t="s">
        <v>10</v>
      </c>
      <c r="F1782">
        <v>1474</v>
      </c>
    </row>
    <row r="1783" spans="1:6" x14ac:dyDescent="0.25">
      <c r="A1783" t="s">
        <v>3315</v>
      </c>
      <c r="B1783" t="s">
        <v>3316</v>
      </c>
      <c r="C1783" s="1">
        <v>44083</v>
      </c>
      <c r="D1783" t="b">
        <v>1</v>
      </c>
      <c r="E1783" t="s">
        <v>10</v>
      </c>
      <c r="F1783">
        <v>16043</v>
      </c>
    </row>
    <row r="1784" spans="1:6" x14ac:dyDescent="0.25">
      <c r="A1784" t="s">
        <v>3317</v>
      </c>
      <c r="B1784" t="s">
        <v>3318</v>
      </c>
      <c r="C1784" s="1">
        <v>44083</v>
      </c>
      <c r="D1784" t="b">
        <v>1</v>
      </c>
      <c r="E1784" t="s">
        <v>10</v>
      </c>
      <c r="F1784">
        <v>1475</v>
      </c>
    </row>
    <row r="1785" spans="1:6" x14ac:dyDescent="0.25">
      <c r="A1785" t="s">
        <v>3319</v>
      </c>
      <c r="B1785" t="s">
        <v>3320</v>
      </c>
      <c r="C1785" s="1">
        <v>44083</v>
      </c>
      <c r="D1785" t="b">
        <v>1</v>
      </c>
      <c r="E1785" t="s">
        <v>10</v>
      </c>
      <c r="F1785">
        <v>14773</v>
      </c>
    </row>
    <row r="1786" spans="1:6" x14ac:dyDescent="0.25">
      <c r="A1786" t="s">
        <v>3321</v>
      </c>
      <c r="B1786" t="s">
        <v>3322</v>
      </c>
      <c r="C1786" s="1">
        <v>44083</v>
      </c>
      <c r="D1786" t="b">
        <v>1</v>
      </c>
      <c r="E1786" t="s">
        <v>10</v>
      </c>
      <c r="F1786">
        <v>1476</v>
      </c>
    </row>
    <row r="1787" spans="1:6" x14ac:dyDescent="0.25">
      <c r="A1787" t="s">
        <v>3323</v>
      </c>
      <c r="B1787" t="s">
        <v>3324</v>
      </c>
      <c r="C1787" s="1">
        <v>44083</v>
      </c>
      <c r="D1787" t="b">
        <v>1</v>
      </c>
      <c r="E1787" t="s">
        <v>10</v>
      </c>
      <c r="F1787">
        <v>14203</v>
      </c>
    </row>
    <row r="1788" spans="1:6" x14ac:dyDescent="0.25">
      <c r="A1788" t="s">
        <v>3325</v>
      </c>
      <c r="B1788" t="s">
        <v>3326</v>
      </c>
      <c r="C1788" s="1">
        <v>44083</v>
      </c>
      <c r="D1788" t="b">
        <v>1</v>
      </c>
      <c r="E1788" t="s">
        <v>10</v>
      </c>
      <c r="F1788">
        <v>1478</v>
      </c>
    </row>
    <row r="1789" spans="1:6" x14ac:dyDescent="0.25">
      <c r="A1789" t="s">
        <v>3327</v>
      </c>
      <c r="B1789" t="s">
        <v>3328</v>
      </c>
      <c r="C1789" s="1">
        <v>44083</v>
      </c>
      <c r="D1789" t="b">
        <v>1</v>
      </c>
      <c r="E1789" t="s">
        <v>10</v>
      </c>
      <c r="F1789">
        <v>1482</v>
      </c>
    </row>
    <row r="1790" spans="1:6" x14ac:dyDescent="0.25">
      <c r="A1790" t="s">
        <v>3329</v>
      </c>
      <c r="B1790" t="s">
        <v>3330</v>
      </c>
      <c r="C1790" s="1">
        <v>44083</v>
      </c>
      <c r="D1790" t="b">
        <v>1</v>
      </c>
      <c r="E1790" t="s">
        <v>10</v>
      </c>
      <c r="F1790">
        <v>15631</v>
      </c>
    </row>
    <row r="1791" spans="1:6" x14ac:dyDescent="0.25">
      <c r="A1791" t="s">
        <v>3331</v>
      </c>
      <c r="B1791" t="s">
        <v>3332</v>
      </c>
      <c r="C1791" s="1">
        <v>44083</v>
      </c>
      <c r="D1791" t="b">
        <v>1</v>
      </c>
      <c r="E1791" t="s">
        <v>10</v>
      </c>
      <c r="F1791">
        <v>15486</v>
      </c>
    </row>
    <row r="1792" spans="1:6" x14ac:dyDescent="0.25">
      <c r="A1792" t="s">
        <v>3333</v>
      </c>
      <c r="C1792" s="1">
        <v>44083</v>
      </c>
      <c r="D1792" t="b">
        <v>1</v>
      </c>
      <c r="E1792" t="s">
        <v>10</v>
      </c>
      <c r="F1792">
        <v>15640</v>
      </c>
    </row>
    <row r="1793" spans="1:6" x14ac:dyDescent="0.25">
      <c r="A1793" t="s">
        <v>3334</v>
      </c>
      <c r="B1793" t="s">
        <v>3335</v>
      </c>
      <c r="C1793" s="1">
        <v>44083</v>
      </c>
      <c r="D1793" t="b">
        <v>1</v>
      </c>
      <c r="E1793" t="s">
        <v>10</v>
      </c>
      <c r="F1793">
        <v>11934</v>
      </c>
    </row>
    <row r="1794" spans="1:6" x14ac:dyDescent="0.25">
      <c r="A1794" t="s">
        <v>3336</v>
      </c>
      <c r="B1794" t="s">
        <v>3337</v>
      </c>
      <c r="C1794" s="1">
        <v>44083</v>
      </c>
      <c r="D1794" t="b">
        <v>1</v>
      </c>
      <c r="E1794" t="s">
        <v>10</v>
      </c>
      <c r="F1794">
        <v>1484</v>
      </c>
    </row>
    <row r="1795" spans="1:6" x14ac:dyDescent="0.25">
      <c r="A1795" t="s">
        <v>3338</v>
      </c>
      <c r="B1795" t="s">
        <v>3339</v>
      </c>
      <c r="C1795" s="1">
        <v>44083</v>
      </c>
      <c r="D1795" t="b">
        <v>1</v>
      </c>
      <c r="E1795" t="s">
        <v>10</v>
      </c>
      <c r="F1795">
        <v>8059</v>
      </c>
    </row>
    <row r="1796" spans="1:6" x14ac:dyDescent="0.25">
      <c r="A1796" t="s">
        <v>3340</v>
      </c>
      <c r="B1796" t="s">
        <v>3341</v>
      </c>
      <c r="C1796" s="1">
        <v>44083</v>
      </c>
      <c r="D1796" t="b">
        <v>1</v>
      </c>
      <c r="E1796" t="s">
        <v>10</v>
      </c>
      <c r="F1796">
        <v>15641</v>
      </c>
    </row>
    <row r="1797" spans="1:6" x14ac:dyDescent="0.25">
      <c r="A1797" t="s">
        <v>3342</v>
      </c>
      <c r="B1797" t="s">
        <v>3343</v>
      </c>
      <c r="C1797" s="1">
        <v>44083</v>
      </c>
      <c r="D1797" t="b">
        <v>1</v>
      </c>
      <c r="E1797" t="s">
        <v>10</v>
      </c>
      <c r="F1797">
        <v>1487</v>
      </c>
    </row>
    <row r="1798" spans="1:6" x14ac:dyDescent="0.25">
      <c r="A1798" t="s">
        <v>3344</v>
      </c>
      <c r="B1798" t="s">
        <v>3345</v>
      </c>
      <c r="C1798" s="1">
        <v>44083</v>
      </c>
      <c r="D1798" t="b">
        <v>1</v>
      </c>
      <c r="E1798" t="s">
        <v>10</v>
      </c>
      <c r="F1798">
        <v>1489</v>
      </c>
    </row>
    <row r="1799" spans="1:6" x14ac:dyDescent="0.25">
      <c r="A1799" t="s">
        <v>3346</v>
      </c>
      <c r="B1799" t="s">
        <v>3347</v>
      </c>
      <c r="C1799" s="1">
        <v>44083</v>
      </c>
      <c r="D1799" t="b">
        <v>1</v>
      </c>
      <c r="E1799" t="s">
        <v>10</v>
      </c>
      <c r="F1799">
        <v>10995</v>
      </c>
    </row>
    <row r="1800" spans="1:6" x14ac:dyDescent="0.25">
      <c r="A1800" t="s">
        <v>3348</v>
      </c>
      <c r="B1800" t="s">
        <v>3349</v>
      </c>
      <c r="C1800" s="1">
        <v>44083</v>
      </c>
      <c r="D1800" t="b">
        <v>1</v>
      </c>
      <c r="E1800" t="s">
        <v>10</v>
      </c>
      <c r="F1800">
        <v>15729</v>
      </c>
    </row>
    <row r="1801" spans="1:6" x14ac:dyDescent="0.25">
      <c r="A1801" t="s">
        <v>3350</v>
      </c>
      <c r="B1801" t="s">
        <v>3351</v>
      </c>
      <c r="C1801" s="1">
        <v>44083</v>
      </c>
      <c r="D1801" t="b">
        <v>1</v>
      </c>
      <c r="E1801" t="s">
        <v>10</v>
      </c>
      <c r="F1801">
        <v>1492</v>
      </c>
    </row>
    <row r="1802" spans="1:6" x14ac:dyDescent="0.25">
      <c r="A1802" t="s">
        <v>3352</v>
      </c>
      <c r="B1802" t="s">
        <v>3353</v>
      </c>
      <c r="C1802" s="1">
        <v>44083</v>
      </c>
      <c r="D1802" t="b">
        <v>1</v>
      </c>
      <c r="E1802" t="s">
        <v>10</v>
      </c>
      <c r="F1802">
        <v>1493</v>
      </c>
    </row>
    <row r="1803" spans="1:6" x14ac:dyDescent="0.25">
      <c r="A1803" t="s">
        <v>3354</v>
      </c>
      <c r="B1803" t="s">
        <v>3355</v>
      </c>
      <c r="C1803" s="1">
        <v>44083</v>
      </c>
      <c r="D1803" t="b">
        <v>1</v>
      </c>
      <c r="E1803" t="s">
        <v>10</v>
      </c>
      <c r="F1803">
        <v>1495</v>
      </c>
    </row>
    <row r="1804" spans="1:6" x14ac:dyDescent="0.25">
      <c r="A1804" t="s">
        <v>3356</v>
      </c>
      <c r="B1804" t="s">
        <v>3357</v>
      </c>
      <c r="C1804" s="1">
        <v>44083</v>
      </c>
      <c r="D1804" t="b">
        <v>1</v>
      </c>
      <c r="E1804" t="s">
        <v>10</v>
      </c>
      <c r="F1804">
        <v>10271</v>
      </c>
    </row>
    <row r="1805" spans="1:6" x14ac:dyDescent="0.25">
      <c r="A1805" t="s">
        <v>3358</v>
      </c>
      <c r="B1805" t="s">
        <v>3359</v>
      </c>
      <c r="C1805" s="1">
        <v>44083</v>
      </c>
      <c r="D1805" t="b">
        <v>1</v>
      </c>
      <c r="E1805" t="s">
        <v>10</v>
      </c>
      <c r="F1805">
        <v>10272</v>
      </c>
    </row>
    <row r="1806" spans="1:6" x14ac:dyDescent="0.25">
      <c r="A1806" t="s">
        <v>3360</v>
      </c>
      <c r="B1806" t="s">
        <v>3361</v>
      </c>
      <c r="C1806" s="1">
        <v>44083</v>
      </c>
      <c r="D1806" t="b">
        <v>1</v>
      </c>
      <c r="E1806" t="s">
        <v>10</v>
      </c>
      <c r="F1806">
        <v>10434</v>
      </c>
    </row>
    <row r="1807" spans="1:6" x14ac:dyDescent="0.25">
      <c r="A1807" t="s">
        <v>3362</v>
      </c>
      <c r="B1807" t="s">
        <v>3363</v>
      </c>
      <c r="C1807" s="1">
        <v>44083</v>
      </c>
      <c r="D1807" t="b">
        <v>1</v>
      </c>
      <c r="E1807" t="s">
        <v>10</v>
      </c>
      <c r="F1807">
        <v>1500</v>
      </c>
    </row>
    <row r="1808" spans="1:6" x14ac:dyDescent="0.25">
      <c r="A1808" t="s">
        <v>3364</v>
      </c>
      <c r="B1808" t="s">
        <v>3365</v>
      </c>
      <c r="C1808" s="1">
        <v>44083</v>
      </c>
      <c r="D1808" t="b">
        <v>1</v>
      </c>
      <c r="E1808" t="s">
        <v>10</v>
      </c>
      <c r="F1808">
        <v>14378</v>
      </c>
    </row>
    <row r="1809" spans="1:6" x14ac:dyDescent="0.25">
      <c r="A1809" t="s">
        <v>3366</v>
      </c>
      <c r="B1809" t="s">
        <v>3367</v>
      </c>
      <c r="C1809" s="1">
        <v>44083</v>
      </c>
      <c r="D1809" t="b">
        <v>1</v>
      </c>
      <c r="E1809" t="s">
        <v>10</v>
      </c>
      <c r="F1809">
        <v>9110</v>
      </c>
    </row>
    <row r="1810" spans="1:6" x14ac:dyDescent="0.25">
      <c r="A1810" t="s">
        <v>3368</v>
      </c>
      <c r="B1810" t="s">
        <v>3369</v>
      </c>
      <c r="C1810" s="1">
        <v>44083</v>
      </c>
      <c r="D1810" t="b">
        <v>1</v>
      </c>
      <c r="E1810" t="s">
        <v>10</v>
      </c>
      <c r="F1810">
        <v>1507</v>
      </c>
    </row>
    <row r="1811" spans="1:6" x14ac:dyDescent="0.25">
      <c r="A1811" t="s">
        <v>3370</v>
      </c>
      <c r="B1811" t="s">
        <v>3371</v>
      </c>
      <c r="C1811" s="1">
        <v>44083</v>
      </c>
      <c r="D1811" t="b">
        <v>1</v>
      </c>
      <c r="E1811" t="s">
        <v>10</v>
      </c>
      <c r="F1811">
        <v>1508</v>
      </c>
    </row>
    <row r="1812" spans="1:6" x14ac:dyDescent="0.25">
      <c r="A1812" t="s">
        <v>3372</v>
      </c>
      <c r="B1812" t="s">
        <v>3373</v>
      </c>
      <c r="C1812" s="1">
        <v>44083</v>
      </c>
      <c r="D1812" t="b">
        <v>1</v>
      </c>
      <c r="E1812" t="s">
        <v>10</v>
      </c>
      <c r="F1812">
        <v>1511</v>
      </c>
    </row>
    <row r="1813" spans="1:6" x14ac:dyDescent="0.25">
      <c r="A1813" t="s">
        <v>3374</v>
      </c>
      <c r="B1813" t="s">
        <v>3375</v>
      </c>
      <c r="C1813" s="1">
        <v>44083</v>
      </c>
      <c r="D1813" t="b">
        <v>1</v>
      </c>
      <c r="E1813" t="s">
        <v>10</v>
      </c>
      <c r="F1813">
        <v>1512</v>
      </c>
    </row>
    <row r="1814" spans="1:6" x14ac:dyDescent="0.25">
      <c r="A1814" t="s">
        <v>3376</v>
      </c>
      <c r="B1814" t="s">
        <v>3377</v>
      </c>
      <c r="C1814" s="1">
        <v>44083</v>
      </c>
      <c r="D1814" t="b">
        <v>1</v>
      </c>
      <c r="E1814" t="s">
        <v>10</v>
      </c>
      <c r="F1814">
        <v>1514</v>
      </c>
    </row>
    <row r="1815" spans="1:6" x14ac:dyDescent="0.25">
      <c r="A1815" t="s">
        <v>3378</v>
      </c>
      <c r="B1815" t="s">
        <v>3379</v>
      </c>
      <c r="C1815" s="1">
        <v>44083</v>
      </c>
      <c r="D1815" t="b">
        <v>1</v>
      </c>
      <c r="E1815" t="s">
        <v>10</v>
      </c>
      <c r="F1815">
        <v>8282</v>
      </c>
    </row>
    <row r="1816" spans="1:6" x14ac:dyDescent="0.25">
      <c r="A1816" t="s">
        <v>3380</v>
      </c>
      <c r="B1816" t="s">
        <v>3381</v>
      </c>
      <c r="C1816" s="1">
        <v>44083</v>
      </c>
      <c r="D1816" t="b">
        <v>1</v>
      </c>
      <c r="E1816" t="s">
        <v>10</v>
      </c>
      <c r="F1816">
        <v>1516</v>
      </c>
    </row>
    <row r="1817" spans="1:6" x14ac:dyDescent="0.25">
      <c r="A1817" t="s">
        <v>3382</v>
      </c>
      <c r="B1817" t="s">
        <v>3383</v>
      </c>
      <c r="C1817" s="1">
        <v>44083</v>
      </c>
      <c r="D1817" t="b">
        <v>1</v>
      </c>
      <c r="E1817" t="s">
        <v>10</v>
      </c>
      <c r="F1817">
        <v>12918</v>
      </c>
    </row>
    <row r="1818" spans="1:6" x14ac:dyDescent="0.25">
      <c r="A1818" t="s">
        <v>3384</v>
      </c>
      <c r="B1818" t="s">
        <v>3385</v>
      </c>
      <c r="C1818" s="1">
        <v>44083</v>
      </c>
      <c r="D1818" t="b">
        <v>1</v>
      </c>
      <c r="E1818" t="s">
        <v>10</v>
      </c>
      <c r="F1818">
        <v>1520</v>
      </c>
    </row>
    <row r="1819" spans="1:6" x14ac:dyDescent="0.25">
      <c r="A1819" t="s">
        <v>3386</v>
      </c>
      <c r="B1819" t="s">
        <v>3387</v>
      </c>
      <c r="C1819" s="1">
        <v>44083</v>
      </c>
      <c r="D1819" t="b">
        <v>1</v>
      </c>
      <c r="E1819" t="s">
        <v>10</v>
      </c>
      <c r="F1819">
        <v>1522</v>
      </c>
    </row>
    <row r="1820" spans="1:6" x14ac:dyDescent="0.25">
      <c r="A1820" t="s">
        <v>3388</v>
      </c>
      <c r="B1820" t="s">
        <v>3389</v>
      </c>
      <c r="C1820" s="1">
        <v>44083</v>
      </c>
      <c r="D1820" t="b">
        <v>1</v>
      </c>
      <c r="E1820" t="s">
        <v>10</v>
      </c>
      <c r="F1820">
        <v>16454</v>
      </c>
    </row>
    <row r="1821" spans="1:6" x14ac:dyDescent="0.25">
      <c r="A1821" t="s">
        <v>3390</v>
      </c>
      <c r="B1821" t="s">
        <v>3391</v>
      </c>
      <c r="C1821" s="1">
        <v>44083</v>
      </c>
      <c r="D1821" t="b">
        <v>1</v>
      </c>
      <c r="E1821" t="s">
        <v>10</v>
      </c>
      <c r="F1821">
        <v>1523</v>
      </c>
    </row>
    <row r="1822" spans="1:6" x14ac:dyDescent="0.25">
      <c r="A1822" t="s">
        <v>3392</v>
      </c>
      <c r="B1822" t="s">
        <v>3393</v>
      </c>
      <c r="C1822" s="1">
        <v>44083</v>
      </c>
      <c r="D1822" t="b">
        <v>1</v>
      </c>
      <c r="E1822" t="s">
        <v>10</v>
      </c>
      <c r="F1822">
        <v>13279</v>
      </c>
    </row>
    <row r="1823" spans="1:6" x14ac:dyDescent="0.25">
      <c r="A1823" t="s">
        <v>3394</v>
      </c>
      <c r="C1823" s="1">
        <v>44083</v>
      </c>
      <c r="D1823" t="b">
        <v>1</v>
      </c>
      <c r="E1823" t="s">
        <v>10</v>
      </c>
      <c r="F1823">
        <v>16995</v>
      </c>
    </row>
    <row r="1824" spans="1:6" x14ac:dyDescent="0.25">
      <c r="A1824" t="s">
        <v>3395</v>
      </c>
      <c r="C1824" s="1">
        <v>44083</v>
      </c>
      <c r="D1824" t="b">
        <v>1</v>
      </c>
      <c r="E1824" t="s">
        <v>10</v>
      </c>
      <c r="F1824">
        <v>14770</v>
      </c>
    </row>
    <row r="1825" spans="1:6" x14ac:dyDescent="0.25">
      <c r="A1825" t="s">
        <v>3396</v>
      </c>
      <c r="B1825" t="s">
        <v>3397</v>
      </c>
      <c r="C1825" s="1">
        <v>44083</v>
      </c>
      <c r="D1825" t="b">
        <v>1</v>
      </c>
      <c r="E1825" t="s">
        <v>10</v>
      </c>
      <c r="F1825">
        <v>1527</v>
      </c>
    </row>
    <row r="1826" spans="1:6" x14ac:dyDescent="0.25">
      <c r="A1826" t="s">
        <v>3398</v>
      </c>
      <c r="B1826" t="s">
        <v>3399</v>
      </c>
      <c r="C1826" s="1">
        <v>44083</v>
      </c>
      <c r="D1826" t="b">
        <v>1</v>
      </c>
      <c r="E1826" t="s">
        <v>10</v>
      </c>
      <c r="F1826">
        <v>15878</v>
      </c>
    </row>
    <row r="1827" spans="1:6" x14ac:dyDescent="0.25">
      <c r="A1827" t="s">
        <v>3400</v>
      </c>
      <c r="B1827" t="s">
        <v>3401</v>
      </c>
      <c r="C1827" s="1">
        <v>44083</v>
      </c>
      <c r="D1827" t="b">
        <v>1</v>
      </c>
      <c r="E1827" t="s">
        <v>10</v>
      </c>
      <c r="F1827">
        <v>1528</v>
      </c>
    </row>
    <row r="1828" spans="1:6" x14ac:dyDescent="0.25">
      <c r="A1828" t="s">
        <v>3402</v>
      </c>
      <c r="B1828" t="s">
        <v>3403</v>
      </c>
      <c r="C1828" s="1">
        <v>44083</v>
      </c>
      <c r="D1828" t="b">
        <v>1</v>
      </c>
      <c r="E1828" t="s">
        <v>10</v>
      </c>
      <c r="F1828">
        <v>11768</v>
      </c>
    </row>
    <row r="1829" spans="1:6" x14ac:dyDescent="0.25">
      <c r="A1829" t="s">
        <v>3404</v>
      </c>
      <c r="B1829" t="s">
        <v>3405</v>
      </c>
      <c r="C1829" s="1">
        <v>44083</v>
      </c>
      <c r="D1829" t="b">
        <v>1</v>
      </c>
      <c r="E1829" t="s">
        <v>10</v>
      </c>
      <c r="F1829">
        <v>1529</v>
      </c>
    </row>
    <row r="1830" spans="1:6" x14ac:dyDescent="0.25">
      <c r="A1830" t="s">
        <v>3406</v>
      </c>
      <c r="B1830" t="s">
        <v>3407</v>
      </c>
      <c r="C1830" s="1">
        <v>44083</v>
      </c>
      <c r="D1830" t="b">
        <v>1</v>
      </c>
      <c r="E1830" t="s">
        <v>10</v>
      </c>
      <c r="F1830">
        <v>1531</v>
      </c>
    </row>
    <row r="1831" spans="1:6" x14ac:dyDescent="0.25">
      <c r="A1831" t="s">
        <v>3408</v>
      </c>
      <c r="B1831" t="s">
        <v>3409</v>
      </c>
      <c r="C1831" s="1">
        <v>44083</v>
      </c>
      <c r="D1831" t="b">
        <v>1</v>
      </c>
      <c r="E1831" t="s">
        <v>10</v>
      </c>
      <c r="F1831">
        <v>1532</v>
      </c>
    </row>
    <row r="1832" spans="1:6" x14ac:dyDescent="0.25">
      <c r="A1832" t="s">
        <v>3410</v>
      </c>
      <c r="C1832" s="1">
        <v>44083</v>
      </c>
      <c r="D1832" t="b">
        <v>1</v>
      </c>
      <c r="E1832" t="s">
        <v>10</v>
      </c>
      <c r="F1832">
        <v>13915</v>
      </c>
    </row>
    <row r="1833" spans="1:6" x14ac:dyDescent="0.25">
      <c r="A1833" t="s">
        <v>3411</v>
      </c>
      <c r="B1833" t="s">
        <v>3412</v>
      </c>
      <c r="C1833" s="1">
        <v>44083</v>
      </c>
      <c r="D1833" t="b">
        <v>1</v>
      </c>
      <c r="E1833" t="s">
        <v>10</v>
      </c>
      <c r="F1833">
        <v>10515</v>
      </c>
    </row>
    <row r="1834" spans="1:6" x14ac:dyDescent="0.25">
      <c r="A1834" t="s">
        <v>3413</v>
      </c>
      <c r="B1834" t="s">
        <v>3414</v>
      </c>
      <c r="C1834" s="1">
        <v>44083</v>
      </c>
      <c r="D1834" t="b">
        <v>1</v>
      </c>
      <c r="E1834" t="s">
        <v>10</v>
      </c>
      <c r="F1834">
        <v>1533</v>
      </c>
    </row>
    <row r="1835" spans="1:6" x14ac:dyDescent="0.25">
      <c r="A1835" t="s">
        <v>3415</v>
      </c>
      <c r="C1835" s="1">
        <v>44083</v>
      </c>
      <c r="D1835" t="b">
        <v>1</v>
      </c>
      <c r="E1835" t="s">
        <v>10</v>
      </c>
      <c r="F1835">
        <v>1709</v>
      </c>
    </row>
    <row r="1836" spans="1:6" x14ac:dyDescent="0.25">
      <c r="A1836" t="s">
        <v>3416</v>
      </c>
      <c r="C1836" s="1">
        <v>44083</v>
      </c>
      <c r="D1836" t="b">
        <v>1</v>
      </c>
      <c r="E1836" t="s">
        <v>10</v>
      </c>
      <c r="F1836">
        <v>1710</v>
      </c>
    </row>
    <row r="1837" spans="1:6" x14ac:dyDescent="0.25">
      <c r="A1837" t="s">
        <v>3417</v>
      </c>
      <c r="C1837" s="1">
        <v>44083</v>
      </c>
      <c r="D1837" t="b">
        <v>1</v>
      </c>
      <c r="E1837" t="s">
        <v>10</v>
      </c>
      <c r="F1837">
        <v>11049</v>
      </c>
    </row>
    <row r="1838" spans="1:6" x14ac:dyDescent="0.25">
      <c r="A1838" t="s">
        <v>3418</v>
      </c>
      <c r="B1838" t="s">
        <v>3419</v>
      </c>
      <c r="C1838" s="1">
        <v>44083</v>
      </c>
      <c r="D1838" t="b">
        <v>1</v>
      </c>
      <c r="E1838" t="s">
        <v>10</v>
      </c>
      <c r="F1838">
        <v>1534</v>
      </c>
    </row>
    <row r="1839" spans="1:6" x14ac:dyDescent="0.25">
      <c r="A1839" t="s">
        <v>3420</v>
      </c>
      <c r="B1839" t="s">
        <v>3421</v>
      </c>
      <c r="C1839" s="1">
        <v>44083</v>
      </c>
      <c r="D1839" t="b">
        <v>1</v>
      </c>
      <c r="E1839" t="s">
        <v>10</v>
      </c>
      <c r="F1839">
        <v>1535</v>
      </c>
    </row>
    <row r="1840" spans="1:6" x14ac:dyDescent="0.25">
      <c r="A1840" t="s">
        <v>3422</v>
      </c>
      <c r="C1840" s="1">
        <v>44083</v>
      </c>
      <c r="D1840" t="b">
        <v>1</v>
      </c>
      <c r="E1840" t="s">
        <v>10</v>
      </c>
      <c r="F1840">
        <v>11706</v>
      </c>
    </row>
    <row r="1841" spans="1:6" x14ac:dyDescent="0.25">
      <c r="A1841" t="s">
        <v>3423</v>
      </c>
      <c r="B1841" t="s">
        <v>3424</v>
      </c>
      <c r="C1841" s="1">
        <v>44083</v>
      </c>
      <c r="D1841" t="b">
        <v>1</v>
      </c>
      <c r="E1841" t="s">
        <v>10</v>
      </c>
      <c r="F1841">
        <v>1536</v>
      </c>
    </row>
    <row r="1842" spans="1:6" x14ac:dyDescent="0.25">
      <c r="A1842" t="s">
        <v>3425</v>
      </c>
      <c r="C1842" s="1">
        <v>44083</v>
      </c>
      <c r="D1842" t="b">
        <v>1</v>
      </c>
      <c r="E1842" t="s">
        <v>10</v>
      </c>
      <c r="F1842">
        <v>12834</v>
      </c>
    </row>
    <row r="1843" spans="1:6" x14ac:dyDescent="0.25">
      <c r="A1843" t="s">
        <v>3426</v>
      </c>
      <c r="B1843" t="s">
        <v>3427</v>
      </c>
      <c r="C1843" s="1">
        <v>44083</v>
      </c>
      <c r="D1843" t="b">
        <v>1</v>
      </c>
      <c r="E1843" t="s">
        <v>10</v>
      </c>
      <c r="F1843">
        <v>12388</v>
      </c>
    </row>
    <row r="1844" spans="1:6" x14ac:dyDescent="0.25">
      <c r="A1844" t="s">
        <v>3428</v>
      </c>
      <c r="B1844" t="s">
        <v>3429</v>
      </c>
      <c r="C1844" s="1">
        <v>44083</v>
      </c>
      <c r="D1844" t="b">
        <v>1</v>
      </c>
      <c r="E1844" t="s">
        <v>10</v>
      </c>
      <c r="F1844">
        <v>1542</v>
      </c>
    </row>
    <row r="1845" spans="1:6" x14ac:dyDescent="0.25">
      <c r="A1845" t="s">
        <v>3430</v>
      </c>
      <c r="B1845" t="s">
        <v>3431</v>
      </c>
      <c r="C1845" s="1">
        <v>44083</v>
      </c>
      <c r="D1845" t="b">
        <v>1</v>
      </c>
      <c r="E1845" t="s">
        <v>10</v>
      </c>
      <c r="F1845">
        <v>1543</v>
      </c>
    </row>
    <row r="1846" spans="1:6" x14ac:dyDescent="0.25">
      <c r="A1846" t="s">
        <v>3432</v>
      </c>
      <c r="B1846" t="s">
        <v>3433</v>
      </c>
      <c r="C1846" s="1">
        <v>44083</v>
      </c>
      <c r="D1846" t="b">
        <v>1</v>
      </c>
      <c r="E1846" t="s">
        <v>10</v>
      </c>
      <c r="F1846">
        <v>1544</v>
      </c>
    </row>
    <row r="1847" spans="1:6" x14ac:dyDescent="0.25">
      <c r="A1847" t="s">
        <v>3434</v>
      </c>
      <c r="B1847" t="s">
        <v>3435</v>
      </c>
      <c r="C1847" s="1">
        <v>44083</v>
      </c>
      <c r="D1847" t="b">
        <v>1</v>
      </c>
      <c r="E1847" t="s">
        <v>10</v>
      </c>
      <c r="F1847">
        <v>14092</v>
      </c>
    </row>
    <row r="1848" spans="1:6" x14ac:dyDescent="0.25">
      <c r="A1848" t="s">
        <v>3436</v>
      </c>
      <c r="B1848" t="s">
        <v>3437</v>
      </c>
      <c r="C1848" s="1">
        <v>44083</v>
      </c>
      <c r="D1848" t="b">
        <v>1</v>
      </c>
      <c r="E1848" t="s">
        <v>10</v>
      </c>
      <c r="F1848">
        <v>14933</v>
      </c>
    </row>
    <row r="1849" spans="1:6" x14ac:dyDescent="0.25">
      <c r="A1849" t="s">
        <v>3438</v>
      </c>
      <c r="B1849" t="s">
        <v>3439</v>
      </c>
      <c r="C1849" s="1">
        <v>44083</v>
      </c>
      <c r="D1849" t="b">
        <v>1</v>
      </c>
      <c r="E1849" t="s">
        <v>10</v>
      </c>
      <c r="F1849">
        <v>1546</v>
      </c>
    </row>
    <row r="1850" spans="1:6" x14ac:dyDescent="0.25">
      <c r="A1850" t="s">
        <v>3440</v>
      </c>
      <c r="B1850" t="s">
        <v>3441</v>
      </c>
      <c r="C1850" s="1">
        <v>44083</v>
      </c>
      <c r="D1850" t="b">
        <v>1</v>
      </c>
      <c r="E1850" t="s">
        <v>10</v>
      </c>
      <c r="F1850">
        <v>8543</v>
      </c>
    </row>
    <row r="1851" spans="1:6" x14ac:dyDescent="0.25">
      <c r="A1851" t="s">
        <v>3442</v>
      </c>
      <c r="B1851" t="s">
        <v>3443</v>
      </c>
      <c r="C1851" s="1">
        <v>44083</v>
      </c>
      <c r="D1851" t="b">
        <v>1</v>
      </c>
      <c r="E1851" t="s">
        <v>10</v>
      </c>
      <c r="F1851">
        <v>10460</v>
      </c>
    </row>
    <row r="1852" spans="1:6" x14ac:dyDescent="0.25">
      <c r="A1852" t="s">
        <v>3444</v>
      </c>
      <c r="B1852" t="s">
        <v>3445</v>
      </c>
      <c r="C1852" s="1">
        <v>44083</v>
      </c>
      <c r="D1852" t="b">
        <v>1</v>
      </c>
      <c r="E1852" t="s">
        <v>10</v>
      </c>
      <c r="F1852">
        <v>1548</v>
      </c>
    </row>
    <row r="1853" spans="1:6" x14ac:dyDescent="0.25">
      <c r="A1853" t="s">
        <v>3446</v>
      </c>
      <c r="B1853" t="s">
        <v>2589</v>
      </c>
      <c r="C1853" s="1">
        <v>44083</v>
      </c>
      <c r="D1853" t="b">
        <v>1</v>
      </c>
      <c r="E1853" t="s">
        <v>10</v>
      </c>
      <c r="F1853">
        <v>1551</v>
      </c>
    </row>
    <row r="1854" spans="1:6" x14ac:dyDescent="0.25">
      <c r="A1854" t="s">
        <v>3447</v>
      </c>
      <c r="B1854" t="s">
        <v>3448</v>
      </c>
      <c r="C1854" s="1">
        <v>44083</v>
      </c>
      <c r="D1854" t="b">
        <v>1</v>
      </c>
      <c r="E1854" t="s">
        <v>10</v>
      </c>
      <c r="F1854">
        <v>15215</v>
      </c>
    </row>
    <row r="1855" spans="1:6" x14ac:dyDescent="0.25">
      <c r="A1855" t="s">
        <v>3449</v>
      </c>
      <c r="B1855" t="s">
        <v>3450</v>
      </c>
      <c r="C1855" s="1">
        <v>44083</v>
      </c>
      <c r="D1855" t="b">
        <v>1</v>
      </c>
      <c r="E1855" t="s">
        <v>10</v>
      </c>
      <c r="F1855">
        <v>8624</v>
      </c>
    </row>
    <row r="1856" spans="1:6" x14ac:dyDescent="0.25">
      <c r="A1856" t="s">
        <v>3451</v>
      </c>
      <c r="B1856" t="s">
        <v>3452</v>
      </c>
      <c r="C1856" s="1">
        <v>44083</v>
      </c>
      <c r="D1856" t="b">
        <v>1</v>
      </c>
      <c r="E1856" t="s">
        <v>10</v>
      </c>
      <c r="F1856">
        <v>15428</v>
      </c>
    </row>
    <row r="1857" spans="1:6" x14ac:dyDescent="0.25">
      <c r="A1857" t="s">
        <v>3453</v>
      </c>
      <c r="B1857" t="s">
        <v>3454</v>
      </c>
      <c r="C1857" s="1">
        <v>44083</v>
      </c>
      <c r="D1857" t="b">
        <v>1</v>
      </c>
      <c r="E1857" t="s">
        <v>10</v>
      </c>
      <c r="F1857">
        <v>1553</v>
      </c>
    </row>
    <row r="1858" spans="1:6" x14ac:dyDescent="0.25">
      <c r="A1858" t="s">
        <v>3455</v>
      </c>
      <c r="B1858" t="s">
        <v>3456</v>
      </c>
      <c r="C1858" s="1">
        <v>44083</v>
      </c>
      <c r="D1858" t="b">
        <v>1</v>
      </c>
      <c r="E1858" t="s">
        <v>10</v>
      </c>
      <c r="F1858">
        <v>1556</v>
      </c>
    </row>
    <row r="1859" spans="1:6" x14ac:dyDescent="0.25">
      <c r="A1859" t="s">
        <v>3457</v>
      </c>
      <c r="B1859" t="s">
        <v>3458</v>
      </c>
      <c r="C1859" s="1">
        <v>44083</v>
      </c>
      <c r="D1859" t="b">
        <v>1</v>
      </c>
      <c r="E1859" t="s">
        <v>10</v>
      </c>
      <c r="F1859">
        <v>1557</v>
      </c>
    </row>
    <row r="1860" spans="1:6" x14ac:dyDescent="0.25">
      <c r="A1860" t="s">
        <v>3459</v>
      </c>
      <c r="B1860" t="s">
        <v>3460</v>
      </c>
      <c r="C1860" s="1">
        <v>44083</v>
      </c>
      <c r="D1860" t="b">
        <v>1</v>
      </c>
      <c r="E1860" t="s">
        <v>10</v>
      </c>
      <c r="F1860">
        <v>9614</v>
      </c>
    </row>
    <row r="1861" spans="1:6" x14ac:dyDescent="0.25">
      <c r="A1861" t="s">
        <v>3461</v>
      </c>
      <c r="B1861" t="s">
        <v>3462</v>
      </c>
      <c r="C1861" s="1">
        <v>44083</v>
      </c>
      <c r="D1861" t="b">
        <v>1</v>
      </c>
      <c r="E1861" t="s">
        <v>10</v>
      </c>
      <c r="F1861">
        <v>7805</v>
      </c>
    </row>
    <row r="1862" spans="1:6" x14ac:dyDescent="0.25">
      <c r="A1862" t="s">
        <v>3463</v>
      </c>
      <c r="B1862" t="s">
        <v>3464</v>
      </c>
      <c r="C1862" s="1">
        <v>44083</v>
      </c>
      <c r="D1862" t="b">
        <v>1</v>
      </c>
      <c r="E1862" t="s">
        <v>10</v>
      </c>
      <c r="F1862">
        <v>15756</v>
      </c>
    </row>
    <row r="1863" spans="1:6" x14ac:dyDescent="0.25">
      <c r="A1863" t="s">
        <v>3465</v>
      </c>
      <c r="B1863" t="s">
        <v>3466</v>
      </c>
      <c r="C1863" s="1">
        <v>44083</v>
      </c>
      <c r="D1863" t="b">
        <v>1</v>
      </c>
      <c r="E1863" t="s">
        <v>10</v>
      </c>
      <c r="F1863">
        <v>13219</v>
      </c>
    </row>
    <row r="1864" spans="1:6" x14ac:dyDescent="0.25">
      <c r="A1864" t="s">
        <v>3467</v>
      </c>
      <c r="C1864" s="1">
        <v>44083</v>
      </c>
      <c r="D1864" t="b">
        <v>1</v>
      </c>
      <c r="E1864" t="s">
        <v>10</v>
      </c>
      <c r="F1864">
        <v>13220</v>
      </c>
    </row>
    <row r="1865" spans="1:6" x14ac:dyDescent="0.25">
      <c r="A1865" t="s">
        <v>3468</v>
      </c>
      <c r="B1865" t="s">
        <v>3469</v>
      </c>
      <c r="C1865" s="1">
        <v>44083</v>
      </c>
      <c r="D1865" t="b">
        <v>1</v>
      </c>
      <c r="E1865" t="s">
        <v>10</v>
      </c>
      <c r="F1865">
        <v>1562</v>
      </c>
    </row>
    <row r="1866" spans="1:6" x14ac:dyDescent="0.25">
      <c r="A1866" t="s">
        <v>3470</v>
      </c>
      <c r="C1866" s="1">
        <v>44083</v>
      </c>
      <c r="D1866" t="b">
        <v>1</v>
      </c>
      <c r="E1866" t="s">
        <v>10</v>
      </c>
      <c r="F1866">
        <v>1563</v>
      </c>
    </row>
    <row r="1867" spans="1:6" x14ac:dyDescent="0.25">
      <c r="A1867" t="s">
        <v>3471</v>
      </c>
      <c r="C1867" s="1">
        <v>44083</v>
      </c>
      <c r="D1867" t="b">
        <v>1</v>
      </c>
      <c r="E1867" t="s">
        <v>10</v>
      </c>
      <c r="F1867">
        <v>10510</v>
      </c>
    </row>
    <row r="1868" spans="1:6" x14ac:dyDescent="0.25">
      <c r="A1868" t="s">
        <v>3472</v>
      </c>
      <c r="B1868" t="s">
        <v>3473</v>
      </c>
      <c r="C1868" s="1">
        <v>44083</v>
      </c>
      <c r="D1868" t="b">
        <v>1</v>
      </c>
      <c r="E1868" t="s">
        <v>10</v>
      </c>
      <c r="F1868">
        <v>1567</v>
      </c>
    </row>
    <row r="1869" spans="1:6" x14ac:dyDescent="0.25">
      <c r="A1869" t="s">
        <v>3474</v>
      </c>
      <c r="B1869" t="s">
        <v>3475</v>
      </c>
      <c r="C1869" s="1">
        <v>44083</v>
      </c>
      <c r="D1869" t="b">
        <v>1</v>
      </c>
      <c r="E1869" t="s">
        <v>10</v>
      </c>
      <c r="F1869">
        <v>1568</v>
      </c>
    </row>
    <row r="1870" spans="1:6" x14ac:dyDescent="0.25">
      <c r="A1870" t="s">
        <v>3476</v>
      </c>
      <c r="C1870" s="1">
        <v>44083</v>
      </c>
      <c r="D1870" t="b">
        <v>1</v>
      </c>
      <c r="E1870" t="s">
        <v>10</v>
      </c>
      <c r="F1870">
        <v>16411</v>
      </c>
    </row>
    <row r="1871" spans="1:6" x14ac:dyDescent="0.25">
      <c r="A1871" t="s">
        <v>3477</v>
      </c>
      <c r="B1871" t="s">
        <v>3478</v>
      </c>
      <c r="C1871" s="1">
        <v>44083</v>
      </c>
      <c r="D1871" t="b">
        <v>1</v>
      </c>
      <c r="E1871" t="s">
        <v>10</v>
      </c>
      <c r="F1871">
        <v>1569</v>
      </c>
    </row>
    <row r="1872" spans="1:6" x14ac:dyDescent="0.25">
      <c r="A1872" t="s">
        <v>3479</v>
      </c>
      <c r="B1872" t="s">
        <v>3480</v>
      </c>
      <c r="C1872" s="1">
        <v>44083</v>
      </c>
      <c r="D1872" t="b">
        <v>1</v>
      </c>
      <c r="E1872" t="s">
        <v>10</v>
      </c>
      <c r="F1872">
        <v>1571</v>
      </c>
    </row>
    <row r="1873" spans="1:6" x14ac:dyDescent="0.25">
      <c r="A1873" t="s">
        <v>3481</v>
      </c>
      <c r="C1873" s="1">
        <v>44083</v>
      </c>
      <c r="D1873" t="b">
        <v>1</v>
      </c>
      <c r="E1873" t="s">
        <v>10</v>
      </c>
      <c r="F1873">
        <v>10018</v>
      </c>
    </row>
    <row r="1874" spans="1:6" x14ac:dyDescent="0.25">
      <c r="A1874" t="s">
        <v>3482</v>
      </c>
      <c r="C1874" s="1">
        <v>44083</v>
      </c>
      <c r="D1874" t="b">
        <v>1</v>
      </c>
      <c r="E1874" t="s">
        <v>10</v>
      </c>
      <c r="F1874">
        <v>11050</v>
      </c>
    </row>
    <row r="1875" spans="1:6" x14ac:dyDescent="0.25">
      <c r="A1875" t="s">
        <v>3483</v>
      </c>
      <c r="C1875" s="1">
        <v>44083</v>
      </c>
      <c r="D1875" t="b">
        <v>1</v>
      </c>
      <c r="E1875" t="s">
        <v>10</v>
      </c>
      <c r="F1875">
        <v>11309</v>
      </c>
    </row>
    <row r="1876" spans="1:6" x14ac:dyDescent="0.25">
      <c r="A1876" t="s">
        <v>3484</v>
      </c>
      <c r="C1876" s="1">
        <v>44083</v>
      </c>
      <c r="D1876" t="b">
        <v>1</v>
      </c>
      <c r="E1876" t="s">
        <v>10</v>
      </c>
      <c r="F1876">
        <v>11881</v>
      </c>
    </row>
    <row r="1877" spans="1:6" x14ac:dyDescent="0.25">
      <c r="A1877" t="s">
        <v>3485</v>
      </c>
      <c r="B1877" t="s">
        <v>3486</v>
      </c>
      <c r="C1877" s="1">
        <v>44083</v>
      </c>
      <c r="D1877" t="b">
        <v>1</v>
      </c>
      <c r="E1877" t="s">
        <v>10</v>
      </c>
      <c r="F1877">
        <v>13879</v>
      </c>
    </row>
    <row r="1878" spans="1:6" x14ac:dyDescent="0.25">
      <c r="A1878" t="s">
        <v>3487</v>
      </c>
      <c r="B1878" t="s">
        <v>3488</v>
      </c>
      <c r="C1878" s="1">
        <v>44083</v>
      </c>
      <c r="D1878" t="b">
        <v>1</v>
      </c>
      <c r="E1878" t="s">
        <v>10</v>
      </c>
      <c r="F1878">
        <v>1574</v>
      </c>
    </row>
    <row r="1879" spans="1:6" x14ac:dyDescent="0.25">
      <c r="A1879" t="s">
        <v>3489</v>
      </c>
      <c r="B1879" t="s">
        <v>3490</v>
      </c>
      <c r="C1879" s="1">
        <v>44083</v>
      </c>
      <c r="D1879" t="b">
        <v>1</v>
      </c>
      <c r="E1879" t="s">
        <v>10</v>
      </c>
      <c r="F1879">
        <v>1174</v>
      </c>
    </row>
    <row r="1880" spans="1:6" x14ac:dyDescent="0.25">
      <c r="A1880" t="s">
        <v>3491</v>
      </c>
      <c r="B1880" t="s">
        <v>3492</v>
      </c>
      <c r="C1880" s="1">
        <v>44083</v>
      </c>
      <c r="D1880" t="b">
        <v>1</v>
      </c>
      <c r="E1880" t="s">
        <v>10</v>
      </c>
      <c r="F1880">
        <v>1579</v>
      </c>
    </row>
    <row r="1881" spans="1:6" x14ac:dyDescent="0.25">
      <c r="A1881" t="s">
        <v>3493</v>
      </c>
      <c r="B1881" t="s">
        <v>3494</v>
      </c>
      <c r="C1881" s="1">
        <v>44083</v>
      </c>
      <c r="D1881" t="b">
        <v>1</v>
      </c>
      <c r="E1881" t="s">
        <v>10</v>
      </c>
      <c r="F1881">
        <v>13641</v>
      </c>
    </row>
    <row r="1882" spans="1:6" x14ac:dyDescent="0.25">
      <c r="A1882" t="s">
        <v>3495</v>
      </c>
      <c r="B1882" t="s">
        <v>3496</v>
      </c>
      <c r="C1882" s="1">
        <v>44083</v>
      </c>
      <c r="D1882" t="b">
        <v>1</v>
      </c>
      <c r="E1882" t="s">
        <v>10</v>
      </c>
      <c r="F1882">
        <v>14379</v>
      </c>
    </row>
    <row r="1883" spans="1:6" x14ac:dyDescent="0.25">
      <c r="A1883" t="s">
        <v>3497</v>
      </c>
      <c r="B1883" t="s">
        <v>3498</v>
      </c>
      <c r="C1883" s="1">
        <v>44083</v>
      </c>
      <c r="D1883" t="b">
        <v>1</v>
      </c>
      <c r="E1883" t="s">
        <v>10</v>
      </c>
      <c r="F1883">
        <v>1581</v>
      </c>
    </row>
    <row r="1884" spans="1:6" x14ac:dyDescent="0.25">
      <c r="A1884" t="s">
        <v>3499</v>
      </c>
      <c r="B1884" t="s">
        <v>3500</v>
      </c>
      <c r="C1884" s="1">
        <v>44083</v>
      </c>
      <c r="D1884" t="b">
        <v>1</v>
      </c>
      <c r="E1884" t="s">
        <v>10</v>
      </c>
      <c r="F1884">
        <v>1582</v>
      </c>
    </row>
    <row r="1885" spans="1:6" x14ac:dyDescent="0.25">
      <c r="A1885" t="s">
        <v>3501</v>
      </c>
      <c r="B1885" t="s">
        <v>3502</v>
      </c>
      <c r="C1885" s="1">
        <v>44083</v>
      </c>
      <c r="D1885" t="b">
        <v>1</v>
      </c>
      <c r="E1885" t="s">
        <v>10</v>
      </c>
      <c r="F1885">
        <v>1584</v>
      </c>
    </row>
    <row r="1886" spans="1:6" x14ac:dyDescent="0.25">
      <c r="A1886" t="s">
        <v>3503</v>
      </c>
      <c r="B1886" t="s">
        <v>3504</v>
      </c>
      <c r="C1886" s="1">
        <v>44083</v>
      </c>
      <c r="D1886" t="b">
        <v>1</v>
      </c>
      <c r="E1886" t="s">
        <v>10</v>
      </c>
      <c r="F1886">
        <v>17008</v>
      </c>
    </row>
    <row r="1887" spans="1:6" x14ac:dyDescent="0.25">
      <c r="A1887" t="s">
        <v>3505</v>
      </c>
      <c r="B1887" t="s">
        <v>3506</v>
      </c>
      <c r="C1887" s="1">
        <v>44083</v>
      </c>
      <c r="D1887" t="b">
        <v>1</v>
      </c>
      <c r="E1887" t="s">
        <v>10</v>
      </c>
      <c r="F1887">
        <v>1586</v>
      </c>
    </row>
    <row r="1888" spans="1:6" x14ac:dyDescent="0.25">
      <c r="A1888" t="s">
        <v>3507</v>
      </c>
      <c r="B1888" t="s">
        <v>3508</v>
      </c>
      <c r="C1888" s="1">
        <v>44083</v>
      </c>
      <c r="D1888" t="b">
        <v>1</v>
      </c>
      <c r="E1888" t="s">
        <v>10</v>
      </c>
      <c r="F1888">
        <v>1588</v>
      </c>
    </row>
    <row r="1889" spans="1:6" x14ac:dyDescent="0.25">
      <c r="A1889" t="s">
        <v>3509</v>
      </c>
      <c r="B1889" t="s">
        <v>3510</v>
      </c>
      <c r="C1889" s="1">
        <v>44083</v>
      </c>
      <c r="D1889" t="b">
        <v>1</v>
      </c>
      <c r="E1889" t="s">
        <v>10</v>
      </c>
      <c r="F1889">
        <v>1589</v>
      </c>
    </row>
    <row r="1890" spans="1:6" x14ac:dyDescent="0.25">
      <c r="A1890" t="s">
        <v>3511</v>
      </c>
      <c r="B1890" t="s">
        <v>3512</v>
      </c>
      <c r="C1890" s="1">
        <v>44083</v>
      </c>
      <c r="D1890" t="b">
        <v>1</v>
      </c>
      <c r="E1890" t="s">
        <v>10</v>
      </c>
      <c r="F1890">
        <v>1591</v>
      </c>
    </row>
    <row r="1891" spans="1:6" x14ac:dyDescent="0.25">
      <c r="A1891" t="s">
        <v>3513</v>
      </c>
      <c r="B1891" t="s">
        <v>3514</v>
      </c>
      <c r="C1891" s="1">
        <v>44083</v>
      </c>
      <c r="D1891" t="b">
        <v>1</v>
      </c>
      <c r="E1891" t="s">
        <v>10</v>
      </c>
      <c r="F1891">
        <v>10312</v>
      </c>
    </row>
    <row r="1892" spans="1:6" x14ac:dyDescent="0.25">
      <c r="A1892" t="s">
        <v>3515</v>
      </c>
      <c r="B1892" t="s">
        <v>3516</v>
      </c>
      <c r="C1892" s="1">
        <v>44083</v>
      </c>
      <c r="D1892" t="b">
        <v>1</v>
      </c>
      <c r="E1892" t="s">
        <v>10</v>
      </c>
      <c r="F1892">
        <v>15370</v>
      </c>
    </row>
    <row r="1893" spans="1:6" x14ac:dyDescent="0.25">
      <c r="A1893" t="s">
        <v>3517</v>
      </c>
      <c r="B1893" t="s">
        <v>3518</v>
      </c>
      <c r="C1893" s="1">
        <v>44083</v>
      </c>
      <c r="D1893" t="b">
        <v>1</v>
      </c>
      <c r="E1893" t="s">
        <v>10</v>
      </c>
      <c r="F1893">
        <v>1593</v>
      </c>
    </row>
    <row r="1894" spans="1:6" x14ac:dyDescent="0.25">
      <c r="A1894" t="s">
        <v>3519</v>
      </c>
      <c r="B1894" t="s">
        <v>3520</v>
      </c>
      <c r="C1894" s="1">
        <v>44083</v>
      </c>
      <c r="D1894" t="b">
        <v>1</v>
      </c>
      <c r="E1894" t="s">
        <v>10</v>
      </c>
      <c r="F1894">
        <v>1594</v>
      </c>
    </row>
    <row r="1895" spans="1:6" x14ac:dyDescent="0.25">
      <c r="A1895" t="s">
        <v>3521</v>
      </c>
      <c r="B1895" t="s">
        <v>3522</v>
      </c>
      <c r="C1895" s="1">
        <v>44083</v>
      </c>
      <c r="D1895" t="b">
        <v>1</v>
      </c>
      <c r="E1895" t="s">
        <v>10</v>
      </c>
      <c r="F1895">
        <v>1595</v>
      </c>
    </row>
    <row r="1896" spans="1:6" x14ac:dyDescent="0.25">
      <c r="A1896" t="s">
        <v>3523</v>
      </c>
      <c r="B1896" t="s">
        <v>3524</v>
      </c>
      <c r="C1896" s="1">
        <v>44083</v>
      </c>
      <c r="D1896" t="b">
        <v>1</v>
      </c>
      <c r="E1896" t="s">
        <v>10</v>
      </c>
      <c r="F1896">
        <v>1604</v>
      </c>
    </row>
    <row r="1897" spans="1:6" x14ac:dyDescent="0.25">
      <c r="A1897" t="s">
        <v>3525</v>
      </c>
      <c r="B1897" t="s">
        <v>3526</v>
      </c>
      <c r="C1897" s="1">
        <v>44083</v>
      </c>
      <c r="D1897" t="b">
        <v>1</v>
      </c>
      <c r="E1897" t="s">
        <v>10</v>
      </c>
      <c r="F1897">
        <v>1596</v>
      </c>
    </row>
    <row r="1898" spans="1:6" x14ac:dyDescent="0.25">
      <c r="A1898" t="s">
        <v>3527</v>
      </c>
      <c r="B1898" t="s">
        <v>3528</v>
      </c>
      <c r="C1898" s="1">
        <v>44083</v>
      </c>
      <c r="D1898" t="b">
        <v>1</v>
      </c>
      <c r="E1898" t="s">
        <v>10</v>
      </c>
      <c r="F1898">
        <v>1597</v>
      </c>
    </row>
    <row r="1899" spans="1:6" x14ac:dyDescent="0.25">
      <c r="A1899" t="s">
        <v>3529</v>
      </c>
      <c r="B1899" t="s">
        <v>3530</v>
      </c>
      <c r="C1899" s="1">
        <v>44083</v>
      </c>
      <c r="D1899" t="b">
        <v>1</v>
      </c>
      <c r="E1899" t="s">
        <v>10</v>
      </c>
      <c r="F1899">
        <v>1598</v>
      </c>
    </row>
    <row r="1900" spans="1:6" x14ac:dyDescent="0.25">
      <c r="A1900" t="s">
        <v>3531</v>
      </c>
      <c r="B1900" t="s">
        <v>3532</v>
      </c>
      <c r="C1900" s="1">
        <v>44083</v>
      </c>
      <c r="D1900" t="b">
        <v>1</v>
      </c>
      <c r="E1900" t="s">
        <v>10</v>
      </c>
      <c r="F1900">
        <v>12750</v>
      </c>
    </row>
    <row r="1901" spans="1:6" x14ac:dyDescent="0.25">
      <c r="A1901" t="s">
        <v>3533</v>
      </c>
      <c r="B1901" t="s">
        <v>3534</v>
      </c>
      <c r="C1901" s="1">
        <v>44083</v>
      </c>
      <c r="D1901" t="b">
        <v>1</v>
      </c>
      <c r="E1901" t="s">
        <v>10</v>
      </c>
      <c r="F1901">
        <v>1601</v>
      </c>
    </row>
    <row r="1902" spans="1:6" x14ac:dyDescent="0.25">
      <c r="A1902" t="s">
        <v>3535</v>
      </c>
      <c r="B1902" t="s">
        <v>3536</v>
      </c>
      <c r="C1902" s="1">
        <v>44083</v>
      </c>
      <c r="D1902" t="b">
        <v>1</v>
      </c>
      <c r="E1902" t="s">
        <v>10</v>
      </c>
      <c r="F1902">
        <v>1603</v>
      </c>
    </row>
    <row r="1903" spans="1:6" x14ac:dyDescent="0.25">
      <c r="A1903" t="s">
        <v>3537</v>
      </c>
      <c r="B1903" t="s">
        <v>3538</v>
      </c>
      <c r="C1903" s="1">
        <v>44083</v>
      </c>
      <c r="D1903" t="b">
        <v>1</v>
      </c>
      <c r="E1903" t="s">
        <v>10</v>
      </c>
      <c r="F1903">
        <v>1605</v>
      </c>
    </row>
    <row r="1904" spans="1:6" x14ac:dyDescent="0.25">
      <c r="A1904" t="s">
        <v>3539</v>
      </c>
      <c r="B1904" t="s">
        <v>3540</v>
      </c>
      <c r="C1904" s="1">
        <v>44083</v>
      </c>
      <c r="D1904" t="b">
        <v>1</v>
      </c>
      <c r="E1904" t="s">
        <v>10</v>
      </c>
      <c r="F1904">
        <v>1606</v>
      </c>
    </row>
    <row r="1905" spans="1:6" x14ac:dyDescent="0.25">
      <c r="A1905" t="s">
        <v>3541</v>
      </c>
      <c r="B1905" t="s">
        <v>3542</v>
      </c>
      <c r="C1905" s="1">
        <v>44083</v>
      </c>
      <c r="D1905" t="b">
        <v>1</v>
      </c>
      <c r="E1905" t="s">
        <v>10</v>
      </c>
      <c r="F1905">
        <v>1607</v>
      </c>
    </row>
    <row r="1906" spans="1:6" x14ac:dyDescent="0.25">
      <c r="A1906" t="s">
        <v>3543</v>
      </c>
      <c r="B1906" t="s">
        <v>3544</v>
      </c>
      <c r="C1906" s="1">
        <v>44083</v>
      </c>
      <c r="D1906" t="b">
        <v>1</v>
      </c>
      <c r="E1906" t="s">
        <v>10</v>
      </c>
      <c r="F1906">
        <v>14380</v>
      </c>
    </row>
    <row r="1907" spans="1:6" x14ac:dyDescent="0.25">
      <c r="A1907" t="s">
        <v>3545</v>
      </c>
      <c r="B1907" t="s">
        <v>3546</v>
      </c>
      <c r="C1907" s="1">
        <v>44083</v>
      </c>
      <c r="D1907" t="b">
        <v>1</v>
      </c>
      <c r="E1907" t="s">
        <v>10</v>
      </c>
      <c r="F1907">
        <v>1609</v>
      </c>
    </row>
    <row r="1908" spans="1:6" x14ac:dyDescent="0.25">
      <c r="A1908" t="s">
        <v>3547</v>
      </c>
      <c r="B1908" t="s">
        <v>3548</v>
      </c>
      <c r="C1908" s="1">
        <v>44083</v>
      </c>
      <c r="D1908" t="b">
        <v>1</v>
      </c>
      <c r="E1908" t="s">
        <v>10</v>
      </c>
      <c r="F1908">
        <v>1610</v>
      </c>
    </row>
    <row r="1909" spans="1:6" x14ac:dyDescent="0.25">
      <c r="A1909" t="s">
        <v>3549</v>
      </c>
      <c r="B1909" t="s">
        <v>3550</v>
      </c>
      <c r="C1909" s="1">
        <v>44083</v>
      </c>
      <c r="D1909" t="b">
        <v>1</v>
      </c>
      <c r="E1909" t="s">
        <v>10</v>
      </c>
      <c r="F1909">
        <v>1611</v>
      </c>
    </row>
    <row r="1910" spans="1:6" x14ac:dyDescent="0.25">
      <c r="A1910" t="s">
        <v>3551</v>
      </c>
      <c r="B1910" t="s">
        <v>3552</v>
      </c>
      <c r="C1910" s="1">
        <v>44083</v>
      </c>
      <c r="D1910" t="b">
        <v>1</v>
      </c>
      <c r="E1910" t="s">
        <v>10</v>
      </c>
      <c r="F1910">
        <v>13924</v>
      </c>
    </row>
    <row r="1911" spans="1:6" x14ac:dyDescent="0.25">
      <c r="A1911" t="s">
        <v>3553</v>
      </c>
      <c r="B1911" t="s">
        <v>3554</v>
      </c>
      <c r="C1911" s="1">
        <v>44083</v>
      </c>
      <c r="D1911" t="b">
        <v>1</v>
      </c>
      <c r="E1911" t="s">
        <v>10</v>
      </c>
      <c r="F1911">
        <v>1612</v>
      </c>
    </row>
    <row r="1912" spans="1:6" x14ac:dyDescent="0.25">
      <c r="A1912" t="s">
        <v>3555</v>
      </c>
      <c r="B1912" t="s">
        <v>3556</v>
      </c>
      <c r="C1912" s="1">
        <v>44083</v>
      </c>
      <c r="D1912" t="b">
        <v>1</v>
      </c>
      <c r="E1912" t="s">
        <v>10</v>
      </c>
      <c r="F1912">
        <v>12044</v>
      </c>
    </row>
    <row r="1913" spans="1:6" x14ac:dyDescent="0.25">
      <c r="A1913" t="s">
        <v>3557</v>
      </c>
      <c r="B1913" t="s">
        <v>3558</v>
      </c>
      <c r="C1913" s="1">
        <v>44083</v>
      </c>
      <c r="D1913" t="b">
        <v>1</v>
      </c>
      <c r="E1913" t="s">
        <v>10</v>
      </c>
      <c r="F1913">
        <v>10001</v>
      </c>
    </row>
    <row r="1914" spans="1:6" x14ac:dyDescent="0.25">
      <c r="A1914" t="s">
        <v>3559</v>
      </c>
      <c r="B1914" t="s">
        <v>3560</v>
      </c>
      <c r="C1914" s="1">
        <v>44083</v>
      </c>
      <c r="D1914" t="b">
        <v>1</v>
      </c>
      <c r="E1914" t="s">
        <v>10</v>
      </c>
      <c r="F1914">
        <v>5057</v>
      </c>
    </row>
    <row r="1915" spans="1:6" x14ac:dyDescent="0.25">
      <c r="A1915" t="s">
        <v>3561</v>
      </c>
      <c r="B1915" t="s">
        <v>3562</v>
      </c>
      <c r="C1915" s="1">
        <v>44083</v>
      </c>
      <c r="D1915" t="b">
        <v>1</v>
      </c>
      <c r="E1915" t="s">
        <v>10</v>
      </c>
      <c r="F1915">
        <v>11890</v>
      </c>
    </row>
    <row r="1916" spans="1:6" x14ac:dyDescent="0.25">
      <c r="A1916" t="s">
        <v>3563</v>
      </c>
      <c r="B1916" t="s">
        <v>3564</v>
      </c>
      <c r="C1916" s="1">
        <v>44083</v>
      </c>
      <c r="D1916" t="b">
        <v>1</v>
      </c>
      <c r="E1916" t="s">
        <v>10</v>
      </c>
      <c r="F1916">
        <v>1619</v>
      </c>
    </row>
    <row r="1917" spans="1:6" x14ac:dyDescent="0.25">
      <c r="A1917" t="s">
        <v>3565</v>
      </c>
      <c r="B1917" t="s">
        <v>3566</v>
      </c>
      <c r="C1917" s="1">
        <v>44083</v>
      </c>
      <c r="D1917" t="b">
        <v>1</v>
      </c>
      <c r="E1917" t="s">
        <v>10</v>
      </c>
      <c r="F1917">
        <v>14827</v>
      </c>
    </row>
    <row r="1918" spans="1:6" x14ac:dyDescent="0.25">
      <c r="A1918" t="s">
        <v>3567</v>
      </c>
      <c r="B1918" t="s">
        <v>3568</v>
      </c>
      <c r="C1918" s="1">
        <v>44083</v>
      </c>
      <c r="D1918" t="b">
        <v>1</v>
      </c>
      <c r="E1918" t="s">
        <v>10</v>
      </c>
      <c r="F1918">
        <v>11863</v>
      </c>
    </row>
    <row r="1919" spans="1:6" x14ac:dyDescent="0.25">
      <c r="A1919" t="s">
        <v>3569</v>
      </c>
      <c r="B1919" t="s">
        <v>3570</v>
      </c>
      <c r="C1919" s="1">
        <v>44083</v>
      </c>
      <c r="D1919" t="b">
        <v>1</v>
      </c>
      <c r="E1919" t="s">
        <v>10</v>
      </c>
      <c r="F1919">
        <v>1620</v>
      </c>
    </row>
    <row r="1920" spans="1:6" x14ac:dyDescent="0.25">
      <c r="A1920" t="s">
        <v>3571</v>
      </c>
      <c r="B1920" t="s">
        <v>3572</v>
      </c>
      <c r="C1920" s="1">
        <v>44083</v>
      </c>
      <c r="D1920" t="b">
        <v>1</v>
      </c>
      <c r="E1920" t="s">
        <v>10</v>
      </c>
      <c r="F1920">
        <v>1621</v>
      </c>
    </row>
    <row r="1921" spans="1:6" x14ac:dyDescent="0.25">
      <c r="A1921" t="s">
        <v>3573</v>
      </c>
      <c r="B1921" t="s">
        <v>3574</v>
      </c>
      <c r="C1921" s="1">
        <v>44083</v>
      </c>
      <c r="D1921" t="b">
        <v>1</v>
      </c>
      <c r="E1921" t="s">
        <v>10</v>
      </c>
      <c r="F1921">
        <v>1624</v>
      </c>
    </row>
    <row r="1922" spans="1:6" x14ac:dyDescent="0.25">
      <c r="A1922" t="s">
        <v>3575</v>
      </c>
      <c r="B1922" t="s">
        <v>3576</v>
      </c>
      <c r="C1922" s="1">
        <v>44083</v>
      </c>
      <c r="D1922" t="b">
        <v>1</v>
      </c>
      <c r="E1922" t="s">
        <v>10</v>
      </c>
      <c r="F1922">
        <v>1626</v>
      </c>
    </row>
    <row r="1923" spans="1:6" x14ac:dyDescent="0.25">
      <c r="A1923" t="s">
        <v>3577</v>
      </c>
      <c r="B1923" t="s">
        <v>3578</v>
      </c>
      <c r="C1923" s="1">
        <v>44083</v>
      </c>
      <c r="D1923" t="b">
        <v>1</v>
      </c>
      <c r="E1923" t="s">
        <v>10</v>
      </c>
      <c r="F1923">
        <v>2364</v>
      </c>
    </row>
    <row r="1924" spans="1:6" x14ac:dyDescent="0.25">
      <c r="A1924" t="s">
        <v>3579</v>
      </c>
      <c r="B1924" t="s">
        <v>3580</v>
      </c>
      <c r="C1924" s="1">
        <v>44083</v>
      </c>
      <c r="D1924" t="b">
        <v>1</v>
      </c>
      <c r="E1924" t="s">
        <v>10</v>
      </c>
      <c r="F1924">
        <v>1627</v>
      </c>
    </row>
    <row r="1925" spans="1:6" x14ac:dyDescent="0.25">
      <c r="A1925" t="s">
        <v>3581</v>
      </c>
      <c r="B1925" t="s">
        <v>3582</v>
      </c>
      <c r="C1925" s="1">
        <v>44083</v>
      </c>
      <c r="D1925" t="b">
        <v>1</v>
      </c>
      <c r="E1925" t="s">
        <v>10</v>
      </c>
      <c r="F1925">
        <v>1628</v>
      </c>
    </row>
    <row r="1926" spans="1:6" x14ac:dyDescent="0.25">
      <c r="A1926" t="s">
        <v>3583</v>
      </c>
      <c r="B1926" t="s">
        <v>3584</v>
      </c>
      <c r="C1926" s="1">
        <v>44083</v>
      </c>
      <c r="D1926" t="b">
        <v>1</v>
      </c>
      <c r="E1926" t="s">
        <v>10</v>
      </c>
      <c r="F1926">
        <v>1630</v>
      </c>
    </row>
    <row r="1927" spans="1:6" x14ac:dyDescent="0.25">
      <c r="A1927" t="s">
        <v>3585</v>
      </c>
      <c r="B1927" t="s">
        <v>3586</v>
      </c>
      <c r="C1927" s="1">
        <v>44083</v>
      </c>
      <c r="D1927" t="b">
        <v>1</v>
      </c>
      <c r="E1927" t="s">
        <v>10</v>
      </c>
      <c r="F1927">
        <v>8005</v>
      </c>
    </row>
    <row r="1928" spans="1:6" x14ac:dyDescent="0.25">
      <c r="A1928" t="s">
        <v>3587</v>
      </c>
      <c r="B1928" t="s">
        <v>3588</v>
      </c>
      <c r="C1928" s="1">
        <v>44083</v>
      </c>
      <c r="D1928" t="b">
        <v>1</v>
      </c>
      <c r="E1928" t="s">
        <v>10</v>
      </c>
      <c r="F1928">
        <v>1241</v>
      </c>
    </row>
    <row r="1929" spans="1:6" x14ac:dyDescent="0.25">
      <c r="A1929" t="s">
        <v>3589</v>
      </c>
      <c r="B1929" t="s">
        <v>3590</v>
      </c>
      <c r="C1929" s="1">
        <v>44083</v>
      </c>
      <c r="D1929" t="b">
        <v>1</v>
      </c>
      <c r="E1929" t="s">
        <v>10</v>
      </c>
      <c r="F1929">
        <v>1632</v>
      </c>
    </row>
    <row r="1930" spans="1:6" x14ac:dyDescent="0.25">
      <c r="A1930" t="s">
        <v>3591</v>
      </c>
      <c r="B1930" t="s">
        <v>3592</v>
      </c>
      <c r="C1930" s="1">
        <v>44083</v>
      </c>
      <c r="D1930" t="b">
        <v>1</v>
      </c>
      <c r="E1930" t="s">
        <v>10</v>
      </c>
      <c r="F1930">
        <v>10014</v>
      </c>
    </row>
    <row r="1931" spans="1:6" x14ac:dyDescent="0.25">
      <c r="A1931" t="s">
        <v>3593</v>
      </c>
      <c r="B1931" t="s">
        <v>3594</v>
      </c>
      <c r="C1931" s="1">
        <v>44083</v>
      </c>
      <c r="D1931" t="b">
        <v>1</v>
      </c>
      <c r="E1931" t="s">
        <v>10</v>
      </c>
      <c r="F1931">
        <v>1634</v>
      </c>
    </row>
    <row r="1932" spans="1:6" x14ac:dyDescent="0.25">
      <c r="A1932" t="s">
        <v>3595</v>
      </c>
      <c r="B1932" t="s">
        <v>3596</v>
      </c>
      <c r="C1932" s="1">
        <v>44083</v>
      </c>
      <c r="D1932" t="b">
        <v>1</v>
      </c>
      <c r="E1932" t="s">
        <v>10</v>
      </c>
      <c r="F1932">
        <v>1635</v>
      </c>
    </row>
    <row r="1933" spans="1:6" x14ac:dyDescent="0.25">
      <c r="A1933" t="s">
        <v>3597</v>
      </c>
      <c r="B1933" t="s">
        <v>3598</v>
      </c>
      <c r="C1933" s="1">
        <v>44083</v>
      </c>
      <c r="D1933" t="b">
        <v>1</v>
      </c>
      <c r="E1933" t="s">
        <v>10</v>
      </c>
      <c r="F1933">
        <v>1636</v>
      </c>
    </row>
    <row r="1934" spans="1:6" x14ac:dyDescent="0.25">
      <c r="A1934" t="s">
        <v>3599</v>
      </c>
      <c r="B1934" t="s">
        <v>3600</v>
      </c>
      <c r="C1934" s="1">
        <v>44083</v>
      </c>
      <c r="D1934" t="b">
        <v>1</v>
      </c>
      <c r="E1934" t="s">
        <v>10</v>
      </c>
      <c r="F1934">
        <v>8879</v>
      </c>
    </row>
    <row r="1935" spans="1:6" x14ac:dyDescent="0.25">
      <c r="A1935" t="s">
        <v>3601</v>
      </c>
      <c r="B1935" t="s">
        <v>3602</v>
      </c>
      <c r="C1935" s="1">
        <v>44083</v>
      </c>
      <c r="D1935" t="b">
        <v>1</v>
      </c>
      <c r="E1935" t="s">
        <v>10</v>
      </c>
      <c r="F1935">
        <v>1638</v>
      </c>
    </row>
    <row r="1936" spans="1:6" x14ac:dyDescent="0.25">
      <c r="A1936" t="s">
        <v>3603</v>
      </c>
      <c r="C1936" s="1">
        <v>44083</v>
      </c>
      <c r="D1936" t="b">
        <v>1</v>
      </c>
      <c r="E1936" t="s">
        <v>10</v>
      </c>
      <c r="F1936">
        <v>1639</v>
      </c>
    </row>
    <row r="1937" spans="1:6" x14ac:dyDescent="0.25">
      <c r="A1937" t="s">
        <v>3604</v>
      </c>
      <c r="B1937" t="s">
        <v>3605</v>
      </c>
      <c r="C1937" s="1">
        <v>44083</v>
      </c>
      <c r="D1937" t="b">
        <v>1</v>
      </c>
      <c r="E1937" t="s">
        <v>10</v>
      </c>
      <c r="F1937">
        <v>15507</v>
      </c>
    </row>
    <row r="1938" spans="1:6" x14ac:dyDescent="0.25">
      <c r="A1938" t="s">
        <v>3606</v>
      </c>
      <c r="B1938" t="s">
        <v>3607</v>
      </c>
      <c r="C1938" s="1">
        <v>44083</v>
      </c>
      <c r="D1938" t="b">
        <v>1</v>
      </c>
      <c r="E1938" t="s">
        <v>10</v>
      </c>
      <c r="F1938">
        <v>1640</v>
      </c>
    </row>
    <row r="1939" spans="1:6" x14ac:dyDescent="0.25">
      <c r="A1939" t="s">
        <v>3608</v>
      </c>
      <c r="B1939" t="s">
        <v>3609</v>
      </c>
      <c r="C1939" s="1">
        <v>44083</v>
      </c>
      <c r="D1939" t="b">
        <v>1</v>
      </c>
      <c r="E1939" t="s">
        <v>10</v>
      </c>
      <c r="F1939">
        <v>1642</v>
      </c>
    </row>
    <row r="1940" spans="1:6" x14ac:dyDescent="0.25">
      <c r="A1940" t="s">
        <v>3610</v>
      </c>
      <c r="B1940" t="s">
        <v>3611</v>
      </c>
      <c r="C1940" s="1">
        <v>44083</v>
      </c>
      <c r="D1940" t="b">
        <v>1</v>
      </c>
      <c r="E1940" t="s">
        <v>10</v>
      </c>
      <c r="F1940">
        <v>1538</v>
      </c>
    </row>
    <row r="1941" spans="1:6" x14ac:dyDescent="0.25">
      <c r="A1941" t="s">
        <v>3612</v>
      </c>
      <c r="B1941" t="s">
        <v>3613</v>
      </c>
      <c r="C1941" s="1">
        <v>44083</v>
      </c>
      <c r="D1941" t="b">
        <v>1</v>
      </c>
      <c r="E1941" t="s">
        <v>10</v>
      </c>
      <c r="F1941">
        <v>10338</v>
      </c>
    </row>
    <row r="1942" spans="1:6" x14ac:dyDescent="0.25">
      <c r="A1942" t="s">
        <v>3614</v>
      </c>
      <c r="B1942" t="s">
        <v>3615</v>
      </c>
      <c r="C1942" s="1">
        <v>44083</v>
      </c>
      <c r="D1942" t="b">
        <v>1</v>
      </c>
      <c r="E1942" t="s">
        <v>10</v>
      </c>
      <c r="F1942">
        <v>1652</v>
      </c>
    </row>
    <row r="1943" spans="1:6" x14ac:dyDescent="0.25">
      <c r="A1943" t="s">
        <v>3616</v>
      </c>
      <c r="B1943" t="s">
        <v>3617</v>
      </c>
      <c r="C1943" s="1">
        <v>44083</v>
      </c>
      <c r="D1943" t="b">
        <v>1</v>
      </c>
      <c r="E1943" t="s">
        <v>10</v>
      </c>
      <c r="F1943">
        <v>14381</v>
      </c>
    </row>
    <row r="1944" spans="1:6" x14ac:dyDescent="0.25">
      <c r="A1944" t="s">
        <v>3618</v>
      </c>
      <c r="B1944" t="s">
        <v>3619</v>
      </c>
      <c r="C1944" s="1">
        <v>44083</v>
      </c>
      <c r="D1944" t="b">
        <v>1</v>
      </c>
      <c r="E1944" t="s">
        <v>10</v>
      </c>
      <c r="F1944">
        <v>1657</v>
      </c>
    </row>
    <row r="1945" spans="1:6" x14ac:dyDescent="0.25">
      <c r="A1945" t="s">
        <v>3620</v>
      </c>
      <c r="B1945" t="s">
        <v>3621</v>
      </c>
      <c r="C1945" s="1">
        <v>44083</v>
      </c>
      <c r="D1945" t="b">
        <v>1</v>
      </c>
      <c r="E1945" t="s">
        <v>10</v>
      </c>
      <c r="F1945">
        <v>9281</v>
      </c>
    </row>
    <row r="1946" spans="1:6" x14ac:dyDescent="0.25">
      <c r="A1946" t="s">
        <v>3622</v>
      </c>
      <c r="B1946" t="s">
        <v>3623</v>
      </c>
      <c r="C1946" s="1">
        <v>44083</v>
      </c>
      <c r="D1946" t="b">
        <v>1</v>
      </c>
      <c r="E1946" t="s">
        <v>10</v>
      </c>
      <c r="F1946">
        <v>1659</v>
      </c>
    </row>
    <row r="1947" spans="1:6" x14ac:dyDescent="0.25">
      <c r="A1947" t="s">
        <v>3624</v>
      </c>
      <c r="B1947" t="s">
        <v>3625</v>
      </c>
      <c r="C1947" s="1">
        <v>44083</v>
      </c>
      <c r="D1947" t="b">
        <v>1</v>
      </c>
      <c r="E1947" t="s">
        <v>10</v>
      </c>
      <c r="F1947">
        <v>1660</v>
      </c>
    </row>
    <row r="1948" spans="1:6" x14ac:dyDescent="0.25">
      <c r="A1948" t="s">
        <v>3626</v>
      </c>
      <c r="B1948" t="s">
        <v>3627</v>
      </c>
      <c r="C1948" s="1">
        <v>44083</v>
      </c>
      <c r="D1948" t="b">
        <v>1</v>
      </c>
      <c r="E1948" t="s">
        <v>10</v>
      </c>
      <c r="F1948">
        <v>1661</v>
      </c>
    </row>
    <row r="1949" spans="1:6" x14ac:dyDescent="0.25">
      <c r="A1949" t="s">
        <v>3628</v>
      </c>
      <c r="B1949" t="s">
        <v>3629</v>
      </c>
      <c r="C1949" s="1">
        <v>44083</v>
      </c>
      <c r="D1949" t="b">
        <v>1</v>
      </c>
      <c r="E1949" t="s">
        <v>10</v>
      </c>
      <c r="F1949">
        <v>1662</v>
      </c>
    </row>
    <row r="1950" spans="1:6" x14ac:dyDescent="0.25">
      <c r="A1950" t="s">
        <v>3630</v>
      </c>
      <c r="B1950" t="s">
        <v>3631</v>
      </c>
      <c r="C1950" s="1">
        <v>44083</v>
      </c>
      <c r="D1950" t="b">
        <v>1</v>
      </c>
      <c r="E1950" t="s">
        <v>10</v>
      </c>
      <c r="F1950">
        <v>16729</v>
      </c>
    </row>
    <row r="1951" spans="1:6" x14ac:dyDescent="0.25">
      <c r="A1951" t="s">
        <v>3632</v>
      </c>
      <c r="B1951" t="s">
        <v>3633</v>
      </c>
      <c r="C1951" s="1">
        <v>44083</v>
      </c>
      <c r="D1951" t="b">
        <v>1</v>
      </c>
      <c r="E1951" t="s">
        <v>10</v>
      </c>
      <c r="F1951">
        <v>1665</v>
      </c>
    </row>
    <row r="1952" spans="1:6" x14ac:dyDescent="0.25">
      <c r="A1952" t="s">
        <v>3634</v>
      </c>
      <c r="B1952" t="s">
        <v>3635</v>
      </c>
      <c r="C1952" s="1">
        <v>44083</v>
      </c>
      <c r="D1952" t="b">
        <v>1</v>
      </c>
      <c r="E1952" t="s">
        <v>10</v>
      </c>
      <c r="F1952">
        <v>1666</v>
      </c>
    </row>
    <row r="1953" spans="1:6" x14ac:dyDescent="0.25">
      <c r="A1953" t="s">
        <v>3636</v>
      </c>
      <c r="B1953" t="s">
        <v>3637</v>
      </c>
      <c r="C1953" s="1">
        <v>44083</v>
      </c>
      <c r="D1953" t="b">
        <v>1</v>
      </c>
      <c r="E1953" t="s">
        <v>10</v>
      </c>
      <c r="F1953">
        <v>1667</v>
      </c>
    </row>
    <row r="1954" spans="1:6" x14ac:dyDescent="0.25">
      <c r="A1954" t="s">
        <v>3638</v>
      </c>
      <c r="B1954" t="s">
        <v>3639</v>
      </c>
      <c r="C1954" s="1">
        <v>44083</v>
      </c>
      <c r="D1954" t="b">
        <v>1</v>
      </c>
      <c r="E1954" t="s">
        <v>10</v>
      </c>
      <c r="F1954">
        <v>14541</v>
      </c>
    </row>
    <row r="1955" spans="1:6" x14ac:dyDescent="0.25">
      <c r="A1955" t="s">
        <v>3640</v>
      </c>
      <c r="B1955" t="s">
        <v>3641</v>
      </c>
      <c r="C1955" s="1">
        <v>44083</v>
      </c>
      <c r="D1955" t="b">
        <v>1</v>
      </c>
      <c r="E1955" t="s">
        <v>10</v>
      </c>
      <c r="F1955">
        <v>13459</v>
      </c>
    </row>
    <row r="1956" spans="1:6" x14ac:dyDescent="0.25">
      <c r="A1956" t="s">
        <v>3642</v>
      </c>
      <c r="B1956" t="s">
        <v>3643</v>
      </c>
      <c r="C1956" s="1">
        <v>44083</v>
      </c>
      <c r="D1956" t="b">
        <v>1</v>
      </c>
      <c r="E1956" t="s">
        <v>10</v>
      </c>
      <c r="F1956">
        <v>1668</v>
      </c>
    </row>
    <row r="1957" spans="1:6" x14ac:dyDescent="0.25">
      <c r="A1957" t="s">
        <v>3644</v>
      </c>
      <c r="B1957" t="s">
        <v>3645</v>
      </c>
      <c r="C1957" s="1">
        <v>44083</v>
      </c>
      <c r="D1957" t="b">
        <v>1</v>
      </c>
      <c r="E1957" t="s">
        <v>10</v>
      </c>
      <c r="F1957">
        <v>16136</v>
      </c>
    </row>
    <row r="1958" spans="1:6" x14ac:dyDescent="0.25">
      <c r="A1958" t="s">
        <v>3646</v>
      </c>
      <c r="B1958" t="s">
        <v>3647</v>
      </c>
      <c r="C1958" s="1">
        <v>44083</v>
      </c>
      <c r="D1958" t="b">
        <v>1</v>
      </c>
      <c r="E1958" t="s">
        <v>10</v>
      </c>
      <c r="F1958">
        <v>1670</v>
      </c>
    </row>
    <row r="1959" spans="1:6" x14ac:dyDescent="0.25">
      <c r="A1959" t="s">
        <v>3648</v>
      </c>
      <c r="B1959" t="s">
        <v>3649</v>
      </c>
      <c r="C1959" s="1">
        <v>44083</v>
      </c>
      <c r="D1959" t="b">
        <v>1</v>
      </c>
      <c r="E1959" t="s">
        <v>10</v>
      </c>
      <c r="F1959">
        <v>8482</v>
      </c>
    </row>
    <row r="1960" spans="1:6" x14ac:dyDescent="0.25">
      <c r="A1960" t="s">
        <v>3650</v>
      </c>
      <c r="B1960" t="s">
        <v>3651</v>
      </c>
      <c r="C1960" s="1">
        <v>44083</v>
      </c>
      <c r="D1960" t="b">
        <v>1</v>
      </c>
      <c r="E1960" t="s">
        <v>10</v>
      </c>
      <c r="F1960">
        <v>13897</v>
      </c>
    </row>
    <row r="1961" spans="1:6" x14ac:dyDescent="0.25">
      <c r="A1961" t="s">
        <v>3652</v>
      </c>
      <c r="B1961" t="s">
        <v>3653</v>
      </c>
      <c r="C1961" s="1">
        <v>44083</v>
      </c>
      <c r="D1961" t="b">
        <v>1</v>
      </c>
      <c r="E1961" t="s">
        <v>10</v>
      </c>
      <c r="F1961">
        <v>16267</v>
      </c>
    </row>
    <row r="1962" spans="1:6" x14ac:dyDescent="0.25">
      <c r="A1962" t="s">
        <v>3654</v>
      </c>
      <c r="B1962" t="s">
        <v>3655</v>
      </c>
      <c r="C1962" s="1">
        <v>44083</v>
      </c>
      <c r="D1962" t="b">
        <v>1</v>
      </c>
      <c r="E1962" t="s">
        <v>10</v>
      </c>
      <c r="F1962">
        <v>14795</v>
      </c>
    </row>
    <row r="1963" spans="1:6" x14ac:dyDescent="0.25">
      <c r="A1963" t="s">
        <v>3656</v>
      </c>
      <c r="B1963" t="s">
        <v>3657</v>
      </c>
      <c r="C1963" s="1">
        <v>44083</v>
      </c>
      <c r="D1963" t="b">
        <v>1</v>
      </c>
      <c r="E1963" t="s">
        <v>10</v>
      </c>
      <c r="F1963">
        <v>15333</v>
      </c>
    </row>
    <row r="1964" spans="1:6" x14ac:dyDescent="0.25">
      <c r="A1964" t="s">
        <v>3658</v>
      </c>
      <c r="B1964" t="s">
        <v>3659</v>
      </c>
      <c r="C1964" s="1">
        <v>44083</v>
      </c>
      <c r="D1964" t="b">
        <v>1</v>
      </c>
      <c r="E1964" t="s">
        <v>10</v>
      </c>
      <c r="F1964">
        <v>1675</v>
      </c>
    </row>
    <row r="1965" spans="1:6" x14ac:dyDescent="0.25">
      <c r="A1965" t="s">
        <v>3660</v>
      </c>
      <c r="B1965" t="s">
        <v>3661</v>
      </c>
      <c r="C1965" s="1">
        <v>44083</v>
      </c>
      <c r="D1965" t="b">
        <v>1</v>
      </c>
      <c r="E1965" t="s">
        <v>10</v>
      </c>
      <c r="F1965">
        <v>1676</v>
      </c>
    </row>
    <row r="1966" spans="1:6" x14ac:dyDescent="0.25">
      <c r="A1966" t="s">
        <v>3662</v>
      </c>
      <c r="B1966" t="s">
        <v>3663</v>
      </c>
      <c r="C1966" s="1">
        <v>44083</v>
      </c>
      <c r="D1966" t="b">
        <v>1</v>
      </c>
      <c r="E1966" t="s">
        <v>10</v>
      </c>
      <c r="F1966">
        <v>8212</v>
      </c>
    </row>
    <row r="1967" spans="1:6" x14ac:dyDescent="0.25">
      <c r="A1967" t="s">
        <v>3664</v>
      </c>
      <c r="B1967" t="s">
        <v>3665</v>
      </c>
      <c r="C1967" s="1">
        <v>44083</v>
      </c>
      <c r="D1967" t="b">
        <v>1</v>
      </c>
      <c r="E1967" t="s">
        <v>10</v>
      </c>
      <c r="F1967">
        <v>1677</v>
      </c>
    </row>
    <row r="1968" spans="1:6" x14ac:dyDescent="0.25">
      <c r="A1968" t="s">
        <v>3666</v>
      </c>
      <c r="B1968" t="s">
        <v>3667</v>
      </c>
      <c r="C1968" s="1">
        <v>44083</v>
      </c>
      <c r="D1968" t="b">
        <v>1</v>
      </c>
      <c r="E1968" t="s">
        <v>10</v>
      </c>
      <c r="F1968">
        <v>1679</v>
      </c>
    </row>
    <row r="1969" spans="1:6" x14ac:dyDescent="0.25">
      <c r="A1969" t="s">
        <v>3668</v>
      </c>
      <c r="B1969" t="s">
        <v>3669</v>
      </c>
      <c r="C1969" s="1">
        <v>44083</v>
      </c>
      <c r="D1969" t="b">
        <v>1</v>
      </c>
      <c r="E1969" t="s">
        <v>10</v>
      </c>
      <c r="F1969">
        <v>1680</v>
      </c>
    </row>
    <row r="1970" spans="1:6" x14ac:dyDescent="0.25">
      <c r="A1970" t="s">
        <v>3670</v>
      </c>
      <c r="B1970" t="s">
        <v>3671</v>
      </c>
      <c r="C1970" s="1">
        <v>44083</v>
      </c>
      <c r="D1970" t="b">
        <v>1</v>
      </c>
      <c r="E1970" t="s">
        <v>10</v>
      </c>
      <c r="F1970">
        <v>1681</v>
      </c>
    </row>
    <row r="1971" spans="1:6" x14ac:dyDescent="0.25">
      <c r="A1971" t="s">
        <v>3672</v>
      </c>
      <c r="B1971" t="s">
        <v>3673</v>
      </c>
      <c r="C1971" s="1">
        <v>44083</v>
      </c>
      <c r="D1971" t="b">
        <v>1</v>
      </c>
      <c r="E1971" t="s">
        <v>10</v>
      </c>
      <c r="F1971">
        <v>1682</v>
      </c>
    </row>
    <row r="1972" spans="1:6" x14ac:dyDescent="0.25">
      <c r="A1972" t="s">
        <v>3674</v>
      </c>
      <c r="B1972" t="s">
        <v>3675</v>
      </c>
      <c r="C1972" s="1">
        <v>44083</v>
      </c>
      <c r="D1972" t="b">
        <v>1</v>
      </c>
      <c r="E1972" t="s">
        <v>10</v>
      </c>
      <c r="F1972">
        <v>16385</v>
      </c>
    </row>
    <row r="1973" spans="1:6" x14ac:dyDescent="0.25">
      <c r="A1973" t="s">
        <v>3676</v>
      </c>
      <c r="B1973" t="s">
        <v>3677</v>
      </c>
      <c r="C1973" s="1">
        <v>44083</v>
      </c>
      <c r="D1973" t="b">
        <v>1</v>
      </c>
      <c r="E1973" t="s">
        <v>10</v>
      </c>
      <c r="F1973">
        <v>1683</v>
      </c>
    </row>
    <row r="1974" spans="1:6" x14ac:dyDescent="0.25">
      <c r="A1974" t="s">
        <v>3678</v>
      </c>
      <c r="B1974" t="s">
        <v>3679</v>
      </c>
      <c r="C1974" s="1">
        <v>44083</v>
      </c>
      <c r="D1974" t="b">
        <v>1</v>
      </c>
      <c r="E1974" t="s">
        <v>10</v>
      </c>
      <c r="F1974">
        <v>7829</v>
      </c>
    </row>
    <row r="1975" spans="1:6" x14ac:dyDescent="0.25">
      <c r="A1975" t="s">
        <v>3680</v>
      </c>
      <c r="B1975" t="s">
        <v>3681</v>
      </c>
      <c r="C1975" s="1">
        <v>44083</v>
      </c>
      <c r="D1975" t="b">
        <v>1</v>
      </c>
      <c r="E1975" t="s">
        <v>10</v>
      </c>
      <c r="F1975">
        <v>9562</v>
      </c>
    </row>
    <row r="1976" spans="1:6" x14ac:dyDescent="0.25">
      <c r="A1976" t="s">
        <v>3682</v>
      </c>
      <c r="B1976" t="s">
        <v>3683</v>
      </c>
      <c r="C1976" s="1">
        <v>44083</v>
      </c>
      <c r="D1976" t="b">
        <v>1</v>
      </c>
      <c r="E1976" t="s">
        <v>10</v>
      </c>
      <c r="F1976">
        <v>1684</v>
      </c>
    </row>
    <row r="1977" spans="1:6" x14ac:dyDescent="0.25">
      <c r="A1977" t="s">
        <v>3684</v>
      </c>
      <c r="B1977" t="s">
        <v>3685</v>
      </c>
      <c r="C1977" s="1">
        <v>44083</v>
      </c>
      <c r="D1977" t="b">
        <v>1</v>
      </c>
      <c r="E1977" t="s">
        <v>10</v>
      </c>
      <c r="F1977">
        <v>1907</v>
      </c>
    </row>
    <row r="1978" spans="1:6" x14ac:dyDescent="0.25">
      <c r="A1978" t="s">
        <v>3686</v>
      </c>
      <c r="B1978" t="s">
        <v>3687</v>
      </c>
      <c r="C1978" s="1">
        <v>44083</v>
      </c>
      <c r="D1978" t="b">
        <v>1</v>
      </c>
      <c r="E1978" t="s">
        <v>10</v>
      </c>
      <c r="F1978">
        <v>1686</v>
      </c>
    </row>
    <row r="1979" spans="1:6" x14ac:dyDescent="0.25">
      <c r="A1979" t="s">
        <v>3688</v>
      </c>
      <c r="B1979" t="s">
        <v>3689</v>
      </c>
      <c r="C1979" s="1">
        <v>44083</v>
      </c>
      <c r="D1979" t="b">
        <v>1</v>
      </c>
      <c r="E1979" t="s">
        <v>10</v>
      </c>
      <c r="F1979">
        <v>1687</v>
      </c>
    </row>
    <row r="1980" spans="1:6" x14ac:dyDescent="0.25">
      <c r="A1980" t="s">
        <v>3690</v>
      </c>
      <c r="B1980" t="s">
        <v>3691</v>
      </c>
      <c r="C1980" s="1">
        <v>44083</v>
      </c>
      <c r="D1980" t="b">
        <v>1</v>
      </c>
      <c r="E1980" t="s">
        <v>10</v>
      </c>
      <c r="F1980">
        <v>6942</v>
      </c>
    </row>
    <row r="1981" spans="1:6" x14ac:dyDescent="0.25">
      <c r="A1981" t="s">
        <v>3692</v>
      </c>
      <c r="B1981" t="s">
        <v>3693</v>
      </c>
      <c r="C1981" s="1">
        <v>44083</v>
      </c>
      <c r="D1981" t="b">
        <v>1</v>
      </c>
      <c r="E1981" t="s">
        <v>10</v>
      </c>
      <c r="F1981">
        <v>15700</v>
      </c>
    </row>
    <row r="1982" spans="1:6" x14ac:dyDescent="0.25">
      <c r="A1982" t="s">
        <v>3694</v>
      </c>
      <c r="B1982" t="s">
        <v>3695</v>
      </c>
      <c r="C1982" s="1">
        <v>44083</v>
      </c>
      <c r="D1982" t="b">
        <v>1</v>
      </c>
      <c r="E1982" t="s">
        <v>10</v>
      </c>
      <c r="F1982">
        <v>1690</v>
      </c>
    </row>
    <row r="1983" spans="1:6" x14ac:dyDescent="0.25">
      <c r="A1983" t="s">
        <v>3696</v>
      </c>
      <c r="B1983" t="s">
        <v>3697</v>
      </c>
      <c r="C1983" s="1">
        <v>44083</v>
      </c>
      <c r="D1983" t="b">
        <v>1</v>
      </c>
      <c r="E1983" t="s">
        <v>10</v>
      </c>
      <c r="F1983">
        <v>1691</v>
      </c>
    </row>
    <row r="1984" spans="1:6" x14ac:dyDescent="0.25">
      <c r="A1984" t="s">
        <v>3698</v>
      </c>
      <c r="B1984" t="s">
        <v>3699</v>
      </c>
      <c r="C1984" s="1">
        <v>44083</v>
      </c>
      <c r="D1984" t="b">
        <v>1</v>
      </c>
      <c r="E1984" t="s">
        <v>10</v>
      </c>
      <c r="F1984">
        <v>1692</v>
      </c>
    </row>
    <row r="1985" spans="1:6" x14ac:dyDescent="0.25">
      <c r="A1985" t="s">
        <v>3700</v>
      </c>
      <c r="B1985" t="s">
        <v>3701</v>
      </c>
      <c r="C1985" s="1">
        <v>44083</v>
      </c>
      <c r="D1985" t="b">
        <v>1</v>
      </c>
      <c r="E1985" t="s">
        <v>10</v>
      </c>
      <c r="F1985">
        <v>1694</v>
      </c>
    </row>
    <row r="1986" spans="1:6" x14ac:dyDescent="0.25">
      <c r="A1986" t="s">
        <v>3702</v>
      </c>
      <c r="B1986" t="s">
        <v>3703</v>
      </c>
      <c r="C1986" s="1">
        <v>44083</v>
      </c>
      <c r="D1986" t="b">
        <v>1</v>
      </c>
      <c r="E1986" t="s">
        <v>10</v>
      </c>
      <c r="F1986">
        <v>9384</v>
      </c>
    </row>
    <row r="1987" spans="1:6" x14ac:dyDescent="0.25">
      <c r="A1987" t="s">
        <v>3704</v>
      </c>
      <c r="B1987" t="s">
        <v>3705</v>
      </c>
      <c r="C1987" s="1">
        <v>44083</v>
      </c>
      <c r="D1987" t="b">
        <v>1</v>
      </c>
      <c r="E1987" t="s">
        <v>10</v>
      </c>
      <c r="F1987">
        <v>14193</v>
      </c>
    </row>
    <row r="1988" spans="1:6" x14ac:dyDescent="0.25">
      <c r="A1988" t="s">
        <v>3706</v>
      </c>
      <c r="B1988" t="s">
        <v>3707</v>
      </c>
      <c r="C1988" s="1">
        <v>44083</v>
      </c>
      <c r="D1988" t="b">
        <v>1</v>
      </c>
      <c r="E1988" t="s">
        <v>10</v>
      </c>
      <c r="F1988">
        <v>13642</v>
      </c>
    </row>
    <row r="1989" spans="1:6" x14ac:dyDescent="0.25">
      <c r="A1989" t="s">
        <v>3708</v>
      </c>
      <c r="B1989" t="s">
        <v>3651</v>
      </c>
      <c r="C1989" s="1">
        <v>44083</v>
      </c>
      <c r="D1989" t="b">
        <v>1</v>
      </c>
      <c r="E1989" t="s">
        <v>10</v>
      </c>
      <c r="F1989">
        <v>13898</v>
      </c>
    </row>
    <row r="1990" spans="1:6" x14ac:dyDescent="0.25">
      <c r="A1990" t="s">
        <v>3709</v>
      </c>
      <c r="B1990" t="s">
        <v>3710</v>
      </c>
      <c r="C1990" s="1">
        <v>44083</v>
      </c>
      <c r="D1990" t="b">
        <v>1</v>
      </c>
      <c r="E1990" t="s">
        <v>10</v>
      </c>
      <c r="F1990">
        <v>1697</v>
      </c>
    </row>
    <row r="1991" spans="1:6" x14ac:dyDescent="0.25">
      <c r="A1991" t="s">
        <v>3711</v>
      </c>
      <c r="B1991" t="s">
        <v>3712</v>
      </c>
      <c r="C1991" s="1">
        <v>44083</v>
      </c>
      <c r="D1991" t="b">
        <v>1</v>
      </c>
      <c r="E1991" t="s">
        <v>10</v>
      </c>
      <c r="F1991">
        <v>1702</v>
      </c>
    </row>
    <row r="1992" spans="1:6" x14ac:dyDescent="0.25">
      <c r="A1992" t="s">
        <v>3713</v>
      </c>
      <c r="B1992" t="s">
        <v>3714</v>
      </c>
      <c r="C1992" s="1">
        <v>44083</v>
      </c>
      <c r="D1992" t="b">
        <v>1</v>
      </c>
      <c r="E1992" t="s">
        <v>10</v>
      </c>
      <c r="F1992">
        <v>1703</v>
      </c>
    </row>
    <row r="1993" spans="1:6" x14ac:dyDescent="0.25">
      <c r="A1993" t="s">
        <v>3715</v>
      </c>
      <c r="C1993" s="1">
        <v>44083</v>
      </c>
      <c r="D1993" t="b">
        <v>1</v>
      </c>
      <c r="E1993" t="s">
        <v>10</v>
      </c>
      <c r="F1993">
        <v>16519</v>
      </c>
    </row>
    <row r="1994" spans="1:6" x14ac:dyDescent="0.25">
      <c r="A1994" t="s">
        <v>3716</v>
      </c>
      <c r="B1994" t="s">
        <v>3717</v>
      </c>
      <c r="C1994" s="1">
        <v>44083</v>
      </c>
      <c r="D1994" t="b">
        <v>1</v>
      </c>
      <c r="E1994" t="s">
        <v>10</v>
      </c>
      <c r="F1994">
        <v>1861</v>
      </c>
    </row>
    <row r="1995" spans="1:6" x14ac:dyDescent="0.25">
      <c r="A1995" t="s">
        <v>3718</v>
      </c>
      <c r="C1995" s="1">
        <v>44083</v>
      </c>
      <c r="D1995" t="b">
        <v>1</v>
      </c>
      <c r="E1995" t="s">
        <v>10</v>
      </c>
      <c r="F1995">
        <v>14568</v>
      </c>
    </row>
    <row r="1996" spans="1:6" x14ac:dyDescent="0.25">
      <c r="A1996" t="s">
        <v>3719</v>
      </c>
      <c r="C1996" s="1">
        <v>44083</v>
      </c>
      <c r="D1996" t="b">
        <v>1</v>
      </c>
      <c r="E1996" t="s">
        <v>10</v>
      </c>
      <c r="F1996">
        <v>15124</v>
      </c>
    </row>
    <row r="1997" spans="1:6" x14ac:dyDescent="0.25">
      <c r="A1997" t="s">
        <v>3720</v>
      </c>
      <c r="B1997" t="s">
        <v>3721</v>
      </c>
      <c r="C1997" s="1">
        <v>44083</v>
      </c>
      <c r="D1997" t="b">
        <v>1</v>
      </c>
      <c r="E1997" t="s">
        <v>10</v>
      </c>
      <c r="F1997">
        <v>13451</v>
      </c>
    </row>
    <row r="1998" spans="1:6" x14ac:dyDescent="0.25">
      <c r="A1998" t="s">
        <v>3722</v>
      </c>
      <c r="B1998" t="s">
        <v>3723</v>
      </c>
      <c r="C1998" s="1">
        <v>44083</v>
      </c>
      <c r="D1998" t="b">
        <v>1</v>
      </c>
      <c r="E1998" t="s">
        <v>10</v>
      </c>
      <c r="F1998">
        <v>17074</v>
      </c>
    </row>
    <row r="1999" spans="1:6" x14ac:dyDescent="0.25">
      <c r="A1999" t="s">
        <v>3724</v>
      </c>
      <c r="B1999" t="s">
        <v>3725</v>
      </c>
      <c r="C1999" s="1">
        <v>44083</v>
      </c>
      <c r="D1999" t="b">
        <v>1</v>
      </c>
      <c r="E1999" t="s">
        <v>10</v>
      </c>
      <c r="F1999">
        <v>1705</v>
      </c>
    </row>
    <row r="2000" spans="1:6" x14ac:dyDescent="0.25">
      <c r="A2000" t="s">
        <v>3726</v>
      </c>
      <c r="C2000" s="1">
        <v>44083</v>
      </c>
      <c r="D2000" t="b">
        <v>1</v>
      </c>
      <c r="E2000" t="s">
        <v>10</v>
      </c>
      <c r="F2000">
        <v>15855</v>
      </c>
    </row>
    <row r="2001" spans="1:6" x14ac:dyDescent="0.25">
      <c r="A2001" t="s">
        <v>3727</v>
      </c>
      <c r="B2001" t="s">
        <v>3728</v>
      </c>
      <c r="C2001" s="1">
        <v>44083</v>
      </c>
      <c r="D2001" t="b">
        <v>1</v>
      </c>
      <c r="E2001" t="s">
        <v>10</v>
      </c>
      <c r="F2001">
        <v>11407</v>
      </c>
    </row>
    <row r="2002" spans="1:6" x14ac:dyDescent="0.25">
      <c r="A2002" t="s">
        <v>3729</v>
      </c>
      <c r="B2002" t="s">
        <v>3730</v>
      </c>
      <c r="C2002" s="1">
        <v>44083</v>
      </c>
      <c r="D2002" t="b">
        <v>1</v>
      </c>
      <c r="E2002" t="s">
        <v>10</v>
      </c>
      <c r="F2002">
        <v>1712</v>
      </c>
    </row>
    <row r="2003" spans="1:6" x14ac:dyDescent="0.25">
      <c r="A2003" t="s">
        <v>3731</v>
      </c>
      <c r="B2003" t="s">
        <v>3732</v>
      </c>
      <c r="C2003" s="1">
        <v>44083</v>
      </c>
      <c r="D2003" t="b">
        <v>1</v>
      </c>
      <c r="E2003" t="s">
        <v>10</v>
      </c>
      <c r="F2003">
        <v>1714</v>
      </c>
    </row>
    <row r="2004" spans="1:6" x14ac:dyDescent="0.25">
      <c r="A2004" t="s">
        <v>3733</v>
      </c>
      <c r="B2004" t="s">
        <v>3734</v>
      </c>
      <c r="C2004" s="1">
        <v>44083</v>
      </c>
      <c r="D2004" t="b">
        <v>1</v>
      </c>
      <c r="E2004" t="s">
        <v>10</v>
      </c>
      <c r="F2004">
        <v>1715</v>
      </c>
    </row>
    <row r="2005" spans="1:6" x14ac:dyDescent="0.25">
      <c r="A2005" t="s">
        <v>3735</v>
      </c>
      <c r="C2005" s="1">
        <v>44083</v>
      </c>
      <c r="D2005" t="b">
        <v>1</v>
      </c>
      <c r="E2005" t="s">
        <v>10</v>
      </c>
      <c r="F2005">
        <v>16776</v>
      </c>
    </row>
    <row r="2006" spans="1:6" x14ac:dyDescent="0.25">
      <c r="A2006" t="s">
        <v>3736</v>
      </c>
      <c r="B2006" t="s">
        <v>3737</v>
      </c>
      <c r="C2006" s="1">
        <v>44083</v>
      </c>
      <c r="D2006" t="b">
        <v>1</v>
      </c>
      <c r="E2006" t="s">
        <v>10</v>
      </c>
      <c r="F2006">
        <v>8423</v>
      </c>
    </row>
    <row r="2007" spans="1:6" x14ac:dyDescent="0.25">
      <c r="A2007" t="s">
        <v>3738</v>
      </c>
      <c r="B2007" t="s">
        <v>3739</v>
      </c>
      <c r="C2007" s="1">
        <v>44083</v>
      </c>
      <c r="D2007" t="b">
        <v>1</v>
      </c>
      <c r="E2007" t="s">
        <v>10</v>
      </c>
      <c r="F2007">
        <v>10998</v>
      </c>
    </row>
    <row r="2008" spans="1:6" x14ac:dyDescent="0.25">
      <c r="A2008" t="s">
        <v>3740</v>
      </c>
      <c r="B2008" t="s">
        <v>3741</v>
      </c>
      <c r="C2008" s="1">
        <v>44083</v>
      </c>
      <c r="D2008" t="b">
        <v>1</v>
      </c>
      <c r="E2008" t="s">
        <v>10</v>
      </c>
      <c r="F2008">
        <v>1716</v>
      </c>
    </row>
    <row r="2009" spans="1:6" x14ac:dyDescent="0.25">
      <c r="A2009" t="s">
        <v>3742</v>
      </c>
      <c r="B2009" t="s">
        <v>3743</v>
      </c>
      <c r="C2009" s="1">
        <v>44083</v>
      </c>
      <c r="D2009" t="b">
        <v>1</v>
      </c>
      <c r="E2009" t="s">
        <v>10</v>
      </c>
      <c r="F2009">
        <v>16024</v>
      </c>
    </row>
    <row r="2010" spans="1:6" x14ac:dyDescent="0.25">
      <c r="A2010" t="s">
        <v>3744</v>
      </c>
      <c r="B2010" t="s">
        <v>3745</v>
      </c>
      <c r="C2010" s="1">
        <v>44083</v>
      </c>
      <c r="D2010" t="b">
        <v>1</v>
      </c>
      <c r="E2010" t="s">
        <v>10</v>
      </c>
      <c r="F2010">
        <v>1722</v>
      </c>
    </row>
    <row r="2011" spans="1:6" x14ac:dyDescent="0.25">
      <c r="A2011" t="s">
        <v>3746</v>
      </c>
      <c r="C2011" s="1">
        <v>44083</v>
      </c>
      <c r="D2011" t="b">
        <v>1</v>
      </c>
      <c r="E2011" t="s">
        <v>10</v>
      </c>
      <c r="F2011">
        <v>1723</v>
      </c>
    </row>
    <row r="2012" spans="1:6" x14ac:dyDescent="0.25">
      <c r="A2012" t="s">
        <v>3747</v>
      </c>
      <c r="B2012" t="s">
        <v>3748</v>
      </c>
      <c r="C2012" s="1">
        <v>44083</v>
      </c>
      <c r="D2012" t="b">
        <v>1</v>
      </c>
      <c r="E2012" t="s">
        <v>10</v>
      </c>
      <c r="F2012">
        <v>10999</v>
      </c>
    </row>
    <row r="2013" spans="1:6" x14ac:dyDescent="0.25">
      <c r="A2013" t="s">
        <v>3749</v>
      </c>
      <c r="B2013" t="s">
        <v>3750</v>
      </c>
      <c r="C2013" s="1">
        <v>44083</v>
      </c>
      <c r="D2013" t="b">
        <v>1</v>
      </c>
      <c r="E2013" t="s">
        <v>10</v>
      </c>
      <c r="F2013">
        <v>1724</v>
      </c>
    </row>
    <row r="2014" spans="1:6" x14ac:dyDescent="0.25">
      <c r="A2014" t="s">
        <v>3751</v>
      </c>
      <c r="B2014" t="s">
        <v>3752</v>
      </c>
      <c r="C2014" s="1">
        <v>44083</v>
      </c>
      <c r="D2014" t="b">
        <v>1</v>
      </c>
      <c r="E2014" t="s">
        <v>10</v>
      </c>
      <c r="F2014">
        <v>9711</v>
      </c>
    </row>
    <row r="2015" spans="1:6" x14ac:dyDescent="0.25">
      <c r="A2015" t="s">
        <v>3753</v>
      </c>
      <c r="B2015" t="s">
        <v>3754</v>
      </c>
      <c r="C2015" s="1">
        <v>44083</v>
      </c>
      <c r="D2015" t="b">
        <v>1</v>
      </c>
      <c r="E2015" t="s">
        <v>10</v>
      </c>
      <c r="F2015">
        <v>1725</v>
      </c>
    </row>
    <row r="2016" spans="1:6" x14ac:dyDescent="0.25">
      <c r="A2016" t="s">
        <v>3755</v>
      </c>
      <c r="B2016" t="s">
        <v>3756</v>
      </c>
      <c r="C2016" s="1">
        <v>44083</v>
      </c>
      <c r="D2016" t="b">
        <v>1</v>
      </c>
      <c r="E2016" t="s">
        <v>10</v>
      </c>
      <c r="F2016">
        <v>16694</v>
      </c>
    </row>
    <row r="2017" spans="1:6" x14ac:dyDescent="0.25">
      <c r="A2017" t="s">
        <v>3757</v>
      </c>
      <c r="B2017" t="s">
        <v>3758</v>
      </c>
      <c r="C2017" s="1">
        <v>44083</v>
      </c>
      <c r="D2017" t="b">
        <v>1</v>
      </c>
      <c r="E2017" t="s">
        <v>10</v>
      </c>
      <c r="F2017">
        <v>10875</v>
      </c>
    </row>
    <row r="2018" spans="1:6" x14ac:dyDescent="0.25">
      <c r="A2018" t="s">
        <v>3759</v>
      </c>
      <c r="B2018" t="s">
        <v>3760</v>
      </c>
      <c r="C2018" s="1">
        <v>44083</v>
      </c>
      <c r="D2018" t="b">
        <v>1</v>
      </c>
      <c r="E2018" t="s">
        <v>10</v>
      </c>
      <c r="F2018">
        <v>9288</v>
      </c>
    </row>
    <row r="2019" spans="1:6" x14ac:dyDescent="0.25">
      <c r="A2019" t="s">
        <v>3761</v>
      </c>
      <c r="B2019" t="s">
        <v>3762</v>
      </c>
      <c r="C2019" s="1">
        <v>44083</v>
      </c>
      <c r="D2019" t="b">
        <v>1</v>
      </c>
      <c r="E2019" t="s">
        <v>10</v>
      </c>
      <c r="F2019">
        <v>14382</v>
      </c>
    </row>
    <row r="2020" spans="1:6" x14ac:dyDescent="0.25">
      <c r="A2020" t="s">
        <v>3763</v>
      </c>
      <c r="B2020" t="s">
        <v>3764</v>
      </c>
      <c r="C2020" s="1">
        <v>44083</v>
      </c>
      <c r="D2020" t="b">
        <v>1</v>
      </c>
      <c r="E2020" t="s">
        <v>10</v>
      </c>
      <c r="F2020">
        <v>11000</v>
      </c>
    </row>
    <row r="2021" spans="1:6" x14ac:dyDescent="0.25">
      <c r="A2021" t="s">
        <v>3765</v>
      </c>
      <c r="B2021" t="s">
        <v>3766</v>
      </c>
      <c r="C2021" s="1">
        <v>44083</v>
      </c>
      <c r="D2021" t="b">
        <v>1</v>
      </c>
      <c r="E2021" t="s">
        <v>10</v>
      </c>
      <c r="F2021">
        <v>17149</v>
      </c>
    </row>
    <row r="2022" spans="1:6" x14ac:dyDescent="0.25">
      <c r="A2022" t="s">
        <v>3767</v>
      </c>
      <c r="C2022" s="1">
        <v>44083</v>
      </c>
      <c r="D2022" t="b">
        <v>1</v>
      </c>
      <c r="E2022" t="s">
        <v>10</v>
      </c>
      <c r="F2022">
        <v>17194</v>
      </c>
    </row>
    <row r="2023" spans="1:6" x14ac:dyDescent="0.25">
      <c r="A2023" t="s">
        <v>3768</v>
      </c>
      <c r="B2023" t="s">
        <v>3769</v>
      </c>
      <c r="C2023" s="1">
        <v>44083</v>
      </c>
      <c r="D2023" t="b">
        <v>1</v>
      </c>
      <c r="E2023" t="s">
        <v>10</v>
      </c>
      <c r="F2023">
        <v>16898</v>
      </c>
    </row>
    <row r="2024" spans="1:6" x14ac:dyDescent="0.25">
      <c r="A2024" t="s">
        <v>3770</v>
      </c>
      <c r="B2024" t="s">
        <v>3771</v>
      </c>
      <c r="C2024" s="1">
        <v>44083</v>
      </c>
      <c r="D2024" t="b">
        <v>1</v>
      </c>
      <c r="E2024" t="s">
        <v>10</v>
      </c>
      <c r="F2024">
        <v>1730</v>
      </c>
    </row>
    <row r="2025" spans="1:6" x14ac:dyDescent="0.25">
      <c r="A2025" t="s">
        <v>3772</v>
      </c>
      <c r="B2025" t="s">
        <v>3773</v>
      </c>
      <c r="C2025" s="1">
        <v>44083</v>
      </c>
      <c r="D2025" t="b">
        <v>1</v>
      </c>
      <c r="E2025" t="s">
        <v>10</v>
      </c>
      <c r="F2025">
        <v>15307</v>
      </c>
    </row>
    <row r="2026" spans="1:6" x14ac:dyDescent="0.25">
      <c r="A2026" t="s">
        <v>3774</v>
      </c>
      <c r="B2026" t="s">
        <v>3775</v>
      </c>
      <c r="C2026" s="1">
        <v>44083</v>
      </c>
      <c r="D2026" t="b">
        <v>1</v>
      </c>
      <c r="E2026" t="s">
        <v>10</v>
      </c>
      <c r="F2026">
        <v>1734</v>
      </c>
    </row>
    <row r="2027" spans="1:6" x14ac:dyDescent="0.25">
      <c r="A2027" t="s">
        <v>3776</v>
      </c>
      <c r="B2027" t="s">
        <v>3777</v>
      </c>
      <c r="C2027" s="1">
        <v>44083</v>
      </c>
      <c r="D2027" t="b">
        <v>1</v>
      </c>
      <c r="E2027" t="s">
        <v>10</v>
      </c>
      <c r="F2027">
        <v>1735</v>
      </c>
    </row>
    <row r="2028" spans="1:6" x14ac:dyDescent="0.25">
      <c r="A2028" t="s">
        <v>3778</v>
      </c>
      <c r="B2028" t="s">
        <v>3779</v>
      </c>
      <c r="C2028" s="1">
        <v>44083</v>
      </c>
      <c r="D2028" t="b">
        <v>1</v>
      </c>
      <c r="E2028" t="s">
        <v>10</v>
      </c>
      <c r="F2028">
        <v>1736</v>
      </c>
    </row>
    <row r="2029" spans="1:6" x14ac:dyDescent="0.25">
      <c r="A2029" t="s">
        <v>3780</v>
      </c>
      <c r="B2029" t="s">
        <v>3781</v>
      </c>
      <c r="C2029" s="1">
        <v>44083</v>
      </c>
      <c r="D2029" t="b">
        <v>1</v>
      </c>
      <c r="E2029" t="s">
        <v>10</v>
      </c>
      <c r="F2029">
        <v>1738</v>
      </c>
    </row>
    <row r="2030" spans="1:6" x14ac:dyDescent="0.25">
      <c r="A2030" t="s">
        <v>3782</v>
      </c>
      <c r="B2030" t="s">
        <v>3783</v>
      </c>
      <c r="C2030" s="1">
        <v>44083</v>
      </c>
      <c r="D2030" t="b">
        <v>1</v>
      </c>
      <c r="E2030" t="s">
        <v>10</v>
      </c>
      <c r="F2030">
        <v>13275</v>
      </c>
    </row>
    <row r="2031" spans="1:6" x14ac:dyDescent="0.25">
      <c r="A2031" t="s">
        <v>3784</v>
      </c>
      <c r="B2031" t="s">
        <v>3651</v>
      </c>
      <c r="C2031" s="1">
        <v>44083</v>
      </c>
      <c r="D2031" t="b">
        <v>1</v>
      </c>
      <c r="E2031" t="s">
        <v>10</v>
      </c>
      <c r="F2031">
        <v>13899</v>
      </c>
    </row>
    <row r="2032" spans="1:6" x14ac:dyDescent="0.25">
      <c r="A2032" t="s">
        <v>3785</v>
      </c>
      <c r="B2032" t="s">
        <v>3786</v>
      </c>
      <c r="C2032" s="1">
        <v>44083</v>
      </c>
      <c r="D2032" t="b">
        <v>1</v>
      </c>
      <c r="E2032" t="s">
        <v>10</v>
      </c>
      <c r="F2032">
        <v>10876</v>
      </c>
    </row>
    <row r="2033" spans="1:6" x14ac:dyDescent="0.25">
      <c r="A2033" t="s">
        <v>3787</v>
      </c>
      <c r="B2033" t="s">
        <v>3788</v>
      </c>
      <c r="C2033" s="1">
        <v>44083</v>
      </c>
      <c r="D2033" t="b">
        <v>1</v>
      </c>
      <c r="E2033" t="s">
        <v>10</v>
      </c>
      <c r="F2033">
        <v>1740</v>
      </c>
    </row>
    <row r="2034" spans="1:6" x14ac:dyDescent="0.25">
      <c r="A2034" t="s">
        <v>3789</v>
      </c>
      <c r="B2034" t="s">
        <v>3790</v>
      </c>
      <c r="C2034" s="1">
        <v>44083</v>
      </c>
      <c r="D2034" t="b">
        <v>1</v>
      </c>
      <c r="E2034" t="s">
        <v>10</v>
      </c>
      <c r="F2034">
        <v>1741</v>
      </c>
    </row>
    <row r="2035" spans="1:6" x14ac:dyDescent="0.25">
      <c r="A2035" t="s">
        <v>3791</v>
      </c>
      <c r="B2035" t="s">
        <v>3792</v>
      </c>
      <c r="C2035" s="1">
        <v>44083</v>
      </c>
      <c r="D2035" t="b">
        <v>1</v>
      </c>
      <c r="E2035" t="s">
        <v>10</v>
      </c>
      <c r="F2035">
        <v>1743</v>
      </c>
    </row>
    <row r="2036" spans="1:6" x14ac:dyDescent="0.25">
      <c r="A2036" t="s">
        <v>3793</v>
      </c>
      <c r="B2036" t="s">
        <v>3794</v>
      </c>
      <c r="C2036" s="1">
        <v>44083</v>
      </c>
      <c r="D2036" t="b">
        <v>1</v>
      </c>
      <c r="E2036" t="s">
        <v>10</v>
      </c>
      <c r="F2036">
        <v>16541</v>
      </c>
    </row>
    <row r="2037" spans="1:6" x14ac:dyDescent="0.25">
      <c r="A2037" t="s">
        <v>3795</v>
      </c>
      <c r="B2037" t="s">
        <v>3796</v>
      </c>
      <c r="C2037" s="1">
        <v>44083</v>
      </c>
      <c r="D2037" t="b">
        <v>1</v>
      </c>
      <c r="E2037" t="s">
        <v>10</v>
      </c>
      <c r="F2037">
        <v>12864</v>
      </c>
    </row>
    <row r="2038" spans="1:6" x14ac:dyDescent="0.25">
      <c r="A2038" t="s">
        <v>3797</v>
      </c>
      <c r="B2038" t="s">
        <v>3798</v>
      </c>
      <c r="C2038" s="1">
        <v>44083</v>
      </c>
      <c r="D2038" t="b">
        <v>1</v>
      </c>
      <c r="E2038" t="s">
        <v>10</v>
      </c>
      <c r="F2038">
        <v>12075</v>
      </c>
    </row>
    <row r="2039" spans="1:6" x14ac:dyDescent="0.25">
      <c r="A2039" t="s">
        <v>3799</v>
      </c>
      <c r="B2039" t="s">
        <v>3800</v>
      </c>
      <c r="C2039" s="1">
        <v>44083</v>
      </c>
      <c r="D2039" t="b">
        <v>1</v>
      </c>
      <c r="E2039" t="s">
        <v>10</v>
      </c>
      <c r="F2039">
        <v>16913</v>
      </c>
    </row>
    <row r="2040" spans="1:6" x14ac:dyDescent="0.25">
      <c r="A2040" t="s">
        <v>3801</v>
      </c>
      <c r="B2040" t="s">
        <v>3802</v>
      </c>
      <c r="C2040" s="1">
        <v>44083</v>
      </c>
      <c r="D2040" t="b">
        <v>1</v>
      </c>
      <c r="E2040" t="s">
        <v>10</v>
      </c>
      <c r="F2040">
        <v>11897</v>
      </c>
    </row>
    <row r="2041" spans="1:6" x14ac:dyDescent="0.25">
      <c r="A2041" t="s">
        <v>3803</v>
      </c>
      <c r="B2041" t="s">
        <v>3804</v>
      </c>
      <c r="C2041" s="1">
        <v>44083</v>
      </c>
      <c r="D2041" t="b">
        <v>1</v>
      </c>
      <c r="E2041" t="s">
        <v>10</v>
      </c>
      <c r="F2041">
        <v>1744</v>
      </c>
    </row>
    <row r="2042" spans="1:6" x14ac:dyDescent="0.25">
      <c r="A2042" t="s">
        <v>3805</v>
      </c>
      <c r="B2042" t="s">
        <v>3806</v>
      </c>
      <c r="C2042" s="1">
        <v>44083</v>
      </c>
      <c r="D2042" t="b">
        <v>1</v>
      </c>
      <c r="E2042" t="s">
        <v>10</v>
      </c>
      <c r="F2042">
        <v>11014</v>
      </c>
    </row>
    <row r="2043" spans="1:6" x14ac:dyDescent="0.25">
      <c r="A2043" t="s">
        <v>3807</v>
      </c>
      <c r="B2043" t="s">
        <v>3808</v>
      </c>
      <c r="C2043" s="1">
        <v>44083</v>
      </c>
      <c r="D2043" t="b">
        <v>1</v>
      </c>
      <c r="E2043" t="s">
        <v>10</v>
      </c>
      <c r="F2043">
        <v>12287</v>
      </c>
    </row>
    <row r="2044" spans="1:6" x14ac:dyDescent="0.25">
      <c r="A2044" t="s">
        <v>3809</v>
      </c>
      <c r="B2044" t="s">
        <v>3810</v>
      </c>
      <c r="C2044" s="1">
        <v>44083</v>
      </c>
      <c r="D2044" t="b">
        <v>1</v>
      </c>
      <c r="E2044" t="s">
        <v>10</v>
      </c>
      <c r="F2044">
        <v>16590</v>
      </c>
    </row>
    <row r="2045" spans="1:6" x14ac:dyDescent="0.25">
      <c r="A2045" t="s">
        <v>3811</v>
      </c>
      <c r="C2045" s="1">
        <v>44083</v>
      </c>
      <c r="D2045" t="b">
        <v>1</v>
      </c>
      <c r="E2045" t="s">
        <v>10</v>
      </c>
      <c r="F2045">
        <v>16615</v>
      </c>
    </row>
    <row r="2046" spans="1:6" x14ac:dyDescent="0.25">
      <c r="A2046" t="s">
        <v>3812</v>
      </c>
      <c r="B2046" t="s">
        <v>3813</v>
      </c>
      <c r="C2046" s="1">
        <v>44083</v>
      </c>
      <c r="D2046" t="b">
        <v>1</v>
      </c>
      <c r="E2046" t="s">
        <v>10</v>
      </c>
      <c r="F2046">
        <v>16172</v>
      </c>
    </row>
    <row r="2047" spans="1:6" x14ac:dyDescent="0.25">
      <c r="A2047" t="s">
        <v>3814</v>
      </c>
      <c r="B2047" t="s">
        <v>3815</v>
      </c>
      <c r="C2047" s="1">
        <v>44083</v>
      </c>
      <c r="D2047" t="b">
        <v>1</v>
      </c>
      <c r="E2047" t="s">
        <v>10</v>
      </c>
      <c r="F2047">
        <v>1745</v>
      </c>
    </row>
    <row r="2048" spans="1:6" x14ac:dyDescent="0.25">
      <c r="A2048" t="s">
        <v>3816</v>
      </c>
      <c r="B2048" t="s">
        <v>3817</v>
      </c>
      <c r="C2048" s="1">
        <v>44083</v>
      </c>
      <c r="D2048" t="b">
        <v>1</v>
      </c>
      <c r="E2048" t="s">
        <v>10</v>
      </c>
      <c r="F2048">
        <v>16698</v>
      </c>
    </row>
    <row r="2049" spans="1:6" x14ac:dyDescent="0.25">
      <c r="A2049" t="s">
        <v>3818</v>
      </c>
      <c r="B2049" t="s">
        <v>3819</v>
      </c>
      <c r="C2049" s="1">
        <v>44083</v>
      </c>
      <c r="D2049" t="b">
        <v>1</v>
      </c>
      <c r="E2049" t="s">
        <v>10</v>
      </c>
      <c r="F2049">
        <v>16547</v>
      </c>
    </row>
    <row r="2050" spans="1:6" x14ac:dyDescent="0.25">
      <c r="A2050" t="s">
        <v>3820</v>
      </c>
      <c r="C2050" s="1">
        <v>44083</v>
      </c>
      <c r="D2050" t="b">
        <v>1</v>
      </c>
      <c r="E2050" t="s">
        <v>10</v>
      </c>
      <c r="F2050">
        <v>16703</v>
      </c>
    </row>
    <row r="2051" spans="1:6" x14ac:dyDescent="0.25">
      <c r="A2051" t="s">
        <v>3821</v>
      </c>
      <c r="B2051" t="s">
        <v>3822</v>
      </c>
      <c r="C2051" s="1">
        <v>44083</v>
      </c>
      <c r="D2051" t="b">
        <v>1</v>
      </c>
      <c r="E2051" t="s">
        <v>10</v>
      </c>
      <c r="F2051">
        <v>1747</v>
      </c>
    </row>
    <row r="2052" spans="1:6" x14ac:dyDescent="0.25">
      <c r="A2052" t="s">
        <v>3823</v>
      </c>
      <c r="B2052" t="s">
        <v>3824</v>
      </c>
      <c r="C2052" s="1">
        <v>44083</v>
      </c>
      <c r="D2052" t="b">
        <v>1</v>
      </c>
      <c r="E2052" t="s">
        <v>10</v>
      </c>
      <c r="F2052">
        <v>1752</v>
      </c>
    </row>
    <row r="2053" spans="1:6" x14ac:dyDescent="0.25">
      <c r="A2053" t="s">
        <v>3825</v>
      </c>
      <c r="B2053" t="s">
        <v>3826</v>
      </c>
      <c r="C2053" s="1">
        <v>44083</v>
      </c>
      <c r="D2053" t="b">
        <v>1</v>
      </c>
      <c r="E2053" t="s">
        <v>10</v>
      </c>
      <c r="F2053">
        <v>1753</v>
      </c>
    </row>
    <row r="2054" spans="1:6" x14ac:dyDescent="0.25">
      <c r="A2054" t="s">
        <v>3827</v>
      </c>
      <c r="B2054" t="s">
        <v>3828</v>
      </c>
      <c r="C2054" s="1">
        <v>44083</v>
      </c>
      <c r="D2054" t="b">
        <v>1</v>
      </c>
      <c r="E2054" t="s">
        <v>10</v>
      </c>
      <c r="F2054">
        <v>1755</v>
      </c>
    </row>
    <row r="2055" spans="1:6" x14ac:dyDescent="0.25">
      <c r="A2055" t="s">
        <v>3829</v>
      </c>
      <c r="B2055" t="s">
        <v>3651</v>
      </c>
      <c r="C2055" s="1">
        <v>44083</v>
      </c>
      <c r="D2055" t="b">
        <v>1</v>
      </c>
      <c r="E2055" t="s">
        <v>10</v>
      </c>
      <c r="F2055">
        <v>13900</v>
      </c>
    </row>
    <row r="2056" spans="1:6" x14ac:dyDescent="0.25">
      <c r="A2056" t="s">
        <v>3830</v>
      </c>
      <c r="B2056" t="s">
        <v>3831</v>
      </c>
      <c r="C2056" s="1">
        <v>44083</v>
      </c>
      <c r="D2056" t="b">
        <v>1</v>
      </c>
      <c r="E2056" t="s">
        <v>10</v>
      </c>
      <c r="F2056">
        <v>1759</v>
      </c>
    </row>
    <row r="2057" spans="1:6" x14ac:dyDescent="0.25">
      <c r="A2057" t="s">
        <v>3832</v>
      </c>
      <c r="B2057" t="s">
        <v>3833</v>
      </c>
      <c r="C2057" s="1">
        <v>44083</v>
      </c>
      <c r="D2057" t="b">
        <v>1</v>
      </c>
      <c r="E2057" t="s">
        <v>10</v>
      </c>
      <c r="F2057">
        <v>1760</v>
      </c>
    </row>
    <row r="2058" spans="1:6" x14ac:dyDescent="0.25">
      <c r="A2058" t="s">
        <v>3834</v>
      </c>
      <c r="B2058" t="s">
        <v>3835</v>
      </c>
      <c r="C2058" s="1">
        <v>44083</v>
      </c>
      <c r="D2058" t="b">
        <v>1</v>
      </c>
      <c r="E2058" t="s">
        <v>10</v>
      </c>
      <c r="F2058">
        <v>1761</v>
      </c>
    </row>
    <row r="2059" spans="1:6" x14ac:dyDescent="0.25">
      <c r="A2059" t="s">
        <v>3836</v>
      </c>
      <c r="B2059" t="s">
        <v>3837</v>
      </c>
      <c r="C2059" s="1">
        <v>44083</v>
      </c>
      <c r="D2059" t="b">
        <v>1</v>
      </c>
      <c r="E2059" t="s">
        <v>10</v>
      </c>
      <c r="F2059">
        <v>1763</v>
      </c>
    </row>
    <row r="2060" spans="1:6" x14ac:dyDescent="0.25">
      <c r="A2060" t="s">
        <v>3838</v>
      </c>
      <c r="B2060" t="s">
        <v>3839</v>
      </c>
      <c r="C2060" s="1">
        <v>44083</v>
      </c>
      <c r="D2060" t="b">
        <v>1</v>
      </c>
      <c r="E2060" t="s">
        <v>10</v>
      </c>
      <c r="F2060">
        <v>1765</v>
      </c>
    </row>
    <row r="2061" spans="1:6" x14ac:dyDescent="0.25">
      <c r="A2061" t="s">
        <v>3840</v>
      </c>
      <c r="B2061" t="s">
        <v>3841</v>
      </c>
      <c r="C2061" s="1">
        <v>44083</v>
      </c>
      <c r="D2061" t="b">
        <v>1</v>
      </c>
      <c r="E2061" t="s">
        <v>10</v>
      </c>
      <c r="F2061">
        <v>17009</v>
      </c>
    </row>
    <row r="2062" spans="1:6" x14ac:dyDescent="0.25">
      <c r="A2062" t="s">
        <v>3842</v>
      </c>
      <c r="B2062" t="s">
        <v>3843</v>
      </c>
      <c r="C2062" s="1">
        <v>44083</v>
      </c>
      <c r="D2062" t="b">
        <v>1</v>
      </c>
      <c r="E2062" t="s">
        <v>10</v>
      </c>
      <c r="F2062">
        <v>1766</v>
      </c>
    </row>
    <row r="2063" spans="1:6" x14ac:dyDescent="0.25">
      <c r="A2063" t="s">
        <v>3844</v>
      </c>
      <c r="B2063" t="s">
        <v>3775</v>
      </c>
      <c r="C2063" s="1">
        <v>44083</v>
      </c>
      <c r="D2063" t="b">
        <v>1</v>
      </c>
      <c r="E2063" t="s">
        <v>10</v>
      </c>
      <c r="F2063">
        <v>1767</v>
      </c>
    </row>
    <row r="2064" spans="1:6" x14ac:dyDescent="0.25">
      <c r="A2064" t="s">
        <v>3845</v>
      </c>
      <c r="B2064" t="s">
        <v>3846</v>
      </c>
      <c r="C2064" s="1">
        <v>44083</v>
      </c>
      <c r="D2064" t="b">
        <v>1</v>
      </c>
      <c r="E2064" t="s">
        <v>10</v>
      </c>
      <c r="F2064">
        <v>8710</v>
      </c>
    </row>
    <row r="2065" spans="1:6" x14ac:dyDescent="0.25">
      <c r="A2065" t="s">
        <v>3847</v>
      </c>
      <c r="B2065" t="s">
        <v>3848</v>
      </c>
      <c r="C2065" s="1">
        <v>44083</v>
      </c>
      <c r="D2065" t="b">
        <v>1</v>
      </c>
      <c r="E2065" t="s">
        <v>10</v>
      </c>
      <c r="F2065">
        <v>1768</v>
      </c>
    </row>
    <row r="2066" spans="1:6" x14ac:dyDescent="0.25">
      <c r="A2066" t="s">
        <v>3849</v>
      </c>
      <c r="B2066" t="s">
        <v>3850</v>
      </c>
      <c r="C2066" s="1">
        <v>44083</v>
      </c>
      <c r="D2066" t="b">
        <v>1</v>
      </c>
      <c r="E2066" t="s">
        <v>10</v>
      </c>
      <c r="F2066">
        <v>1769</v>
      </c>
    </row>
    <row r="2067" spans="1:6" x14ac:dyDescent="0.25">
      <c r="A2067" t="s">
        <v>3851</v>
      </c>
      <c r="B2067" t="s">
        <v>3852</v>
      </c>
      <c r="C2067" s="1">
        <v>44083</v>
      </c>
      <c r="D2067" t="b">
        <v>1</v>
      </c>
      <c r="E2067" t="s">
        <v>10</v>
      </c>
      <c r="F2067">
        <v>1770</v>
      </c>
    </row>
    <row r="2068" spans="1:6" x14ac:dyDescent="0.25">
      <c r="A2068" t="s">
        <v>3853</v>
      </c>
      <c r="B2068" t="s">
        <v>3854</v>
      </c>
      <c r="C2068" s="1">
        <v>44083</v>
      </c>
      <c r="D2068" t="b">
        <v>1</v>
      </c>
      <c r="E2068" t="s">
        <v>10</v>
      </c>
      <c r="F2068">
        <v>1772</v>
      </c>
    </row>
    <row r="2069" spans="1:6" x14ac:dyDescent="0.25">
      <c r="A2069" t="s">
        <v>3855</v>
      </c>
      <c r="B2069" t="s">
        <v>3856</v>
      </c>
      <c r="C2069" s="1">
        <v>44083</v>
      </c>
      <c r="D2069" t="b">
        <v>1</v>
      </c>
      <c r="E2069" t="s">
        <v>10</v>
      </c>
      <c r="F2069">
        <v>1773</v>
      </c>
    </row>
    <row r="2070" spans="1:6" x14ac:dyDescent="0.25">
      <c r="A2070" t="s">
        <v>3857</v>
      </c>
      <c r="B2070" t="s">
        <v>3858</v>
      </c>
      <c r="C2070" s="1">
        <v>44083</v>
      </c>
      <c r="D2070" t="b">
        <v>1</v>
      </c>
      <c r="E2070" t="s">
        <v>10</v>
      </c>
      <c r="F2070">
        <v>1774</v>
      </c>
    </row>
    <row r="2071" spans="1:6" x14ac:dyDescent="0.25">
      <c r="A2071" t="s">
        <v>3859</v>
      </c>
      <c r="B2071" t="s">
        <v>3860</v>
      </c>
      <c r="C2071" s="1">
        <v>44083</v>
      </c>
      <c r="D2071" t="b">
        <v>1</v>
      </c>
      <c r="E2071" t="s">
        <v>10</v>
      </c>
      <c r="F2071">
        <v>6389</v>
      </c>
    </row>
    <row r="2072" spans="1:6" x14ac:dyDescent="0.25">
      <c r="A2072" t="s">
        <v>3861</v>
      </c>
      <c r="C2072" s="1">
        <v>44083</v>
      </c>
      <c r="D2072" t="b">
        <v>1</v>
      </c>
      <c r="E2072" t="s">
        <v>10</v>
      </c>
      <c r="F2072">
        <v>6390</v>
      </c>
    </row>
    <row r="2073" spans="1:6" x14ac:dyDescent="0.25">
      <c r="A2073" t="s">
        <v>3862</v>
      </c>
      <c r="C2073" s="1">
        <v>44083</v>
      </c>
      <c r="D2073" t="b">
        <v>1</v>
      </c>
      <c r="E2073" t="s">
        <v>10</v>
      </c>
      <c r="F2073">
        <v>11067</v>
      </c>
    </row>
    <row r="2074" spans="1:6" x14ac:dyDescent="0.25">
      <c r="A2074" t="s">
        <v>3863</v>
      </c>
      <c r="B2074" t="s">
        <v>3864</v>
      </c>
      <c r="C2074" s="1">
        <v>44083</v>
      </c>
      <c r="D2074" t="b">
        <v>1</v>
      </c>
      <c r="E2074" t="s">
        <v>10</v>
      </c>
      <c r="F2074">
        <v>1775</v>
      </c>
    </row>
    <row r="2075" spans="1:6" x14ac:dyDescent="0.25">
      <c r="A2075" t="s">
        <v>3865</v>
      </c>
      <c r="B2075" t="s">
        <v>3866</v>
      </c>
      <c r="C2075" s="1">
        <v>44083</v>
      </c>
      <c r="D2075" t="b">
        <v>1</v>
      </c>
      <c r="E2075" t="s">
        <v>10</v>
      </c>
      <c r="F2075">
        <v>1777</v>
      </c>
    </row>
    <row r="2076" spans="1:6" x14ac:dyDescent="0.25">
      <c r="A2076" t="s">
        <v>3867</v>
      </c>
      <c r="B2076" t="s">
        <v>3868</v>
      </c>
      <c r="C2076" s="1">
        <v>44083</v>
      </c>
      <c r="D2076" t="b">
        <v>1</v>
      </c>
      <c r="E2076" t="s">
        <v>10</v>
      </c>
      <c r="F2076">
        <v>1778</v>
      </c>
    </row>
    <row r="2077" spans="1:6" x14ac:dyDescent="0.25">
      <c r="A2077" t="s">
        <v>3869</v>
      </c>
      <c r="B2077" t="s">
        <v>3870</v>
      </c>
      <c r="C2077" s="1">
        <v>44083</v>
      </c>
      <c r="D2077" t="b">
        <v>1</v>
      </c>
      <c r="E2077" t="s">
        <v>10</v>
      </c>
      <c r="F2077">
        <v>1779</v>
      </c>
    </row>
    <row r="2078" spans="1:6" x14ac:dyDescent="0.25">
      <c r="A2078" t="s">
        <v>3871</v>
      </c>
      <c r="C2078" s="1">
        <v>44083</v>
      </c>
      <c r="D2078" t="b">
        <v>1</v>
      </c>
      <c r="E2078" t="s">
        <v>10</v>
      </c>
      <c r="F2078">
        <v>15487</v>
      </c>
    </row>
    <row r="2079" spans="1:6" x14ac:dyDescent="0.25">
      <c r="A2079" t="s">
        <v>3872</v>
      </c>
      <c r="C2079" s="1">
        <v>44083</v>
      </c>
      <c r="D2079" t="b">
        <v>1</v>
      </c>
      <c r="E2079" t="s">
        <v>10</v>
      </c>
      <c r="F2079">
        <v>16737</v>
      </c>
    </row>
    <row r="2080" spans="1:6" x14ac:dyDescent="0.25">
      <c r="A2080" t="s">
        <v>3873</v>
      </c>
      <c r="B2080" t="s">
        <v>3874</v>
      </c>
      <c r="C2080" s="1">
        <v>44083</v>
      </c>
      <c r="D2080" t="b">
        <v>1</v>
      </c>
      <c r="E2080" t="s">
        <v>10</v>
      </c>
      <c r="F2080">
        <v>1781</v>
      </c>
    </row>
    <row r="2081" spans="1:6" x14ac:dyDescent="0.25">
      <c r="A2081" t="s">
        <v>3875</v>
      </c>
      <c r="B2081" t="s">
        <v>3876</v>
      </c>
      <c r="C2081" s="1">
        <v>44083</v>
      </c>
      <c r="D2081" t="b">
        <v>1</v>
      </c>
      <c r="E2081" t="s">
        <v>10</v>
      </c>
      <c r="F2081">
        <v>1782</v>
      </c>
    </row>
    <row r="2082" spans="1:6" x14ac:dyDescent="0.25">
      <c r="A2082" t="s">
        <v>3877</v>
      </c>
      <c r="B2082" t="s">
        <v>3878</v>
      </c>
      <c r="C2082" s="1">
        <v>44083</v>
      </c>
      <c r="D2082" t="b">
        <v>1</v>
      </c>
      <c r="E2082" t="s">
        <v>10</v>
      </c>
      <c r="F2082">
        <v>1783</v>
      </c>
    </row>
    <row r="2083" spans="1:6" x14ac:dyDescent="0.25">
      <c r="A2083" t="s">
        <v>3879</v>
      </c>
      <c r="B2083" t="s">
        <v>3880</v>
      </c>
      <c r="C2083" s="1">
        <v>44083</v>
      </c>
      <c r="D2083" t="b">
        <v>1</v>
      </c>
      <c r="E2083" t="s">
        <v>10</v>
      </c>
      <c r="F2083">
        <v>1784</v>
      </c>
    </row>
    <row r="2084" spans="1:6" x14ac:dyDescent="0.25">
      <c r="A2084" t="s">
        <v>3881</v>
      </c>
      <c r="B2084" t="s">
        <v>3882</v>
      </c>
      <c r="C2084" s="1">
        <v>44083</v>
      </c>
      <c r="D2084" t="b">
        <v>1</v>
      </c>
      <c r="E2084" t="s">
        <v>10</v>
      </c>
      <c r="F2084">
        <v>1785</v>
      </c>
    </row>
    <row r="2085" spans="1:6" x14ac:dyDescent="0.25">
      <c r="A2085" t="s">
        <v>3883</v>
      </c>
      <c r="B2085" t="s">
        <v>3884</v>
      </c>
      <c r="C2085" s="1">
        <v>44083</v>
      </c>
      <c r="D2085" t="b">
        <v>1</v>
      </c>
      <c r="E2085" t="s">
        <v>10</v>
      </c>
      <c r="F2085">
        <v>13545</v>
      </c>
    </row>
    <row r="2086" spans="1:6" x14ac:dyDescent="0.25">
      <c r="A2086" t="s">
        <v>3885</v>
      </c>
      <c r="B2086" t="s">
        <v>3886</v>
      </c>
      <c r="C2086" s="1">
        <v>44083</v>
      </c>
      <c r="D2086" t="b">
        <v>1</v>
      </c>
      <c r="E2086" t="s">
        <v>10</v>
      </c>
      <c r="F2086">
        <v>9563</v>
      </c>
    </row>
    <row r="2087" spans="1:6" x14ac:dyDescent="0.25">
      <c r="A2087" t="s">
        <v>3887</v>
      </c>
      <c r="B2087" t="s">
        <v>3888</v>
      </c>
      <c r="C2087" s="1">
        <v>44083</v>
      </c>
      <c r="D2087" t="b">
        <v>1</v>
      </c>
      <c r="E2087" t="s">
        <v>10</v>
      </c>
      <c r="F2087">
        <v>1786</v>
      </c>
    </row>
    <row r="2088" spans="1:6" x14ac:dyDescent="0.25">
      <c r="A2088" t="s">
        <v>3889</v>
      </c>
      <c r="B2088" t="s">
        <v>3890</v>
      </c>
      <c r="C2088" s="1">
        <v>44083</v>
      </c>
      <c r="D2088" t="b">
        <v>1</v>
      </c>
      <c r="E2088" t="s">
        <v>10</v>
      </c>
      <c r="F2088">
        <v>1787</v>
      </c>
    </row>
    <row r="2089" spans="1:6" x14ac:dyDescent="0.25">
      <c r="A2089" t="s">
        <v>3891</v>
      </c>
      <c r="B2089" t="s">
        <v>3892</v>
      </c>
      <c r="C2089" s="1">
        <v>44083</v>
      </c>
      <c r="D2089" t="b">
        <v>1</v>
      </c>
      <c r="E2089" t="s">
        <v>10</v>
      </c>
      <c r="F2089">
        <v>1788</v>
      </c>
    </row>
    <row r="2090" spans="1:6" x14ac:dyDescent="0.25">
      <c r="A2090" t="s">
        <v>3893</v>
      </c>
      <c r="B2090" t="s">
        <v>3894</v>
      </c>
      <c r="C2090" s="1">
        <v>44083</v>
      </c>
      <c r="D2090" t="b">
        <v>1</v>
      </c>
      <c r="E2090" t="s">
        <v>10</v>
      </c>
      <c r="F2090">
        <v>14212</v>
      </c>
    </row>
    <row r="2091" spans="1:6" x14ac:dyDescent="0.25">
      <c r="A2091" t="s">
        <v>3895</v>
      </c>
      <c r="B2091" t="s">
        <v>3896</v>
      </c>
      <c r="C2091" s="1">
        <v>44083</v>
      </c>
      <c r="D2091" t="b">
        <v>1</v>
      </c>
      <c r="E2091" t="s">
        <v>10</v>
      </c>
      <c r="F2091">
        <v>1789</v>
      </c>
    </row>
    <row r="2092" spans="1:6" x14ac:dyDescent="0.25">
      <c r="A2092" t="s">
        <v>3897</v>
      </c>
      <c r="B2092" t="s">
        <v>3898</v>
      </c>
      <c r="C2092" s="1">
        <v>44083</v>
      </c>
      <c r="D2092" t="b">
        <v>1</v>
      </c>
      <c r="E2092" t="s">
        <v>10</v>
      </c>
      <c r="F2092">
        <v>1791</v>
      </c>
    </row>
    <row r="2093" spans="1:6" x14ac:dyDescent="0.25">
      <c r="A2093" t="s">
        <v>3899</v>
      </c>
      <c r="B2093" t="s">
        <v>3900</v>
      </c>
      <c r="C2093" s="1">
        <v>44083</v>
      </c>
      <c r="D2093" t="b">
        <v>1</v>
      </c>
      <c r="E2093" t="s">
        <v>10</v>
      </c>
      <c r="F2093">
        <v>1792</v>
      </c>
    </row>
    <row r="2094" spans="1:6" x14ac:dyDescent="0.25">
      <c r="A2094" t="s">
        <v>3901</v>
      </c>
      <c r="B2094" t="s">
        <v>3902</v>
      </c>
      <c r="C2094" s="1">
        <v>44083</v>
      </c>
      <c r="D2094" t="b">
        <v>1</v>
      </c>
      <c r="E2094" t="s">
        <v>10</v>
      </c>
      <c r="F2094">
        <v>1793</v>
      </c>
    </row>
    <row r="2095" spans="1:6" x14ac:dyDescent="0.25">
      <c r="A2095" t="s">
        <v>3903</v>
      </c>
      <c r="B2095" t="s">
        <v>3904</v>
      </c>
      <c r="C2095" s="1">
        <v>44083</v>
      </c>
      <c r="D2095" t="b">
        <v>1</v>
      </c>
      <c r="E2095" t="s">
        <v>10</v>
      </c>
      <c r="F2095">
        <v>1794</v>
      </c>
    </row>
    <row r="2096" spans="1:6" x14ac:dyDescent="0.25">
      <c r="A2096" t="s">
        <v>3905</v>
      </c>
      <c r="B2096" t="s">
        <v>3906</v>
      </c>
      <c r="C2096" s="1">
        <v>44083</v>
      </c>
      <c r="D2096" t="b">
        <v>1</v>
      </c>
      <c r="E2096" t="s">
        <v>10</v>
      </c>
      <c r="F2096">
        <v>1795</v>
      </c>
    </row>
    <row r="2097" spans="1:6" x14ac:dyDescent="0.25">
      <c r="A2097" t="s">
        <v>3907</v>
      </c>
      <c r="B2097" t="s">
        <v>3908</v>
      </c>
      <c r="C2097" s="1">
        <v>44083</v>
      </c>
      <c r="D2097" t="b">
        <v>1</v>
      </c>
      <c r="E2097" t="s">
        <v>10</v>
      </c>
      <c r="F2097">
        <v>1796</v>
      </c>
    </row>
    <row r="2098" spans="1:6" x14ac:dyDescent="0.25">
      <c r="A2098" t="s">
        <v>3909</v>
      </c>
      <c r="B2098" t="s">
        <v>3910</v>
      </c>
      <c r="C2098" s="1">
        <v>44083</v>
      </c>
      <c r="D2098" t="b">
        <v>1</v>
      </c>
      <c r="E2098" t="s">
        <v>10</v>
      </c>
      <c r="F2098">
        <v>1797</v>
      </c>
    </row>
    <row r="2099" spans="1:6" x14ac:dyDescent="0.25">
      <c r="A2099" t="s">
        <v>3911</v>
      </c>
      <c r="B2099" t="s">
        <v>3912</v>
      </c>
      <c r="C2099" s="1">
        <v>44083</v>
      </c>
      <c r="D2099" t="b">
        <v>1</v>
      </c>
      <c r="E2099" t="s">
        <v>10</v>
      </c>
      <c r="F2099">
        <v>9655</v>
      </c>
    </row>
    <row r="2100" spans="1:6" x14ac:dyDescent="0.25">
      <c r="A2100" t="s">
        <v>3913</v>
      </c>
      <c r="B2100" t="s">
        <v>3914</v>
      </c>
      <c r="C2100" s="1">
        <v>44083</v>
      </c>
      <c r="D2100" t="b">
        <v>1</v>
      </c>
      <c r="E2100" t="s">
        <v>10</v>
      </c>
      <c r="F2100">
        <v>13732</v>
      </c>
    </row>
    <row r="2101" spans="1:6" x14ac:dyDescent="0.25">
      <c r="A2101" t="s">
        <v>3915</v>
      </c>
      <c r="B2101" t="s">
        <v>3916</v>
      </c>
      <c r="C2101" s="1">
        <v>44083</v>
      </c>
      <c r="D2101" t="b">
        <v>1</v>
      </c>
      <c r="E2101" t="s">
        <v>10</v>
      </c>
      <c r="F2101">
        <v>9271</v>
      </c>
    </row>
    <row r="2102" spans="1:6" x14ac:dyDescent="0.25">
      <c r="A2102" t="s">
        <v>3917</v>
      </c>
      <c r="B2102" t="s">
        <v>3918</v>
      </c>
      <c r="C2102" s="1">
        <v>44083</v>
      </c>
      <c r="D2102" t="b">
        <v>1</v>
      </c>
      <c r="E2102" t="s">
        <v>10</v>
      </c>
      <c r="F2102">
        <v>12175</v>
      </c>
    </row>
    <row r="2103" spans="1:6" x14ac:dyDescent="0.25">
      <c r="A2103" t="s">
        <v>3919</v>
      </c>
      <c r="B2103" t="s">
        <v>3920</v>
      </c>
      <c r="C2103" s="1">
        <v>44083</v>
      </c>
      <c r="D2103" t="b">
        <v>1</v>
      </c>
      <c r="E2103" t="s">
        <v>10</v>
      </c>
      <c r="F2103">
        <v>9590</v>
      </c>
    </row>
    <row r="2104" spans="1:6" x14ac:dyDescent="0.25">
      <c r="A2104" t="s">
        <v>3921</v>
      </c>
      <c r="B2104" t="s">
        <v>3922</v>
      </c>
      <c r="C2104" s="1">
        <v>44083</v>
      </c>
      <c r="D2104" t="b">
        <v>1</v>
      </c>
      <c r="E2104" t="s">
        <v>10</v>
      </c>
      <c r="F2104">
        <v>16223</v>
      </c>
    </row>
    <row r="2105" spans="1:6" x14ac:dyDescent="0.25">
      <c r="A2105" t="s">
        <v>3923</v>
      </c>
      <c r="B2105" t="s">
        <v>3924</v>
      </c>
      <c r="C2105" s="1">
        <v>44083</v>
      </c>
      <c r="D2105" t="b">
        <v>1</v>
      </c>
      <c r="E2105" t="s">
        <v>10</v>
      </c>
      <c r="F2105">
        <v>1798</v>
      </c>
    </row>
    <row r="2106" spans="1:6" x14ac:dyDescent="0.25">
      <c r="A2106" t="s">
        <v>3925</v>
      </c>
      <c r="B2106" t="s">
        <v>3926</v>
      </c>
      <c r="C2106" s="1">
        <v>44083</v>
      </c>
      <c r="D2106" t="b">
        <v>1</v>
      </c>
      <c r="E2106" t="s">
        <v>10</v>
      </c>
      <c r="F2106">
        <v>1799</v>
      </c>
    </row>
    <row r="2107" spans="1:6" x14ac:dyDescent="0.25">
      <c r="A2107" t="s">
        <v>3927</v>
      </c>
      <c r="B2107" t="s">
        <v>3928</v>
      </c>
      <c r="C2107" s="1">
        <v>44083</v>
      </c>
      <c r="D2107" t="b">
        <v>1</v>
      </c>
      <c r="E2107" t="s">
        <v>10</v>
      </c>
      <c r="F2107">
        <v>14383</v>
      </c>
    </row>
    <row r="2108" spans="1:6" x14ac:dyDescent="0.25">
      <c r="A2108" t="s">
        <v>3929</v>
      </c>
      <c r="B2108" t="s">
        <v>3930</v>
      </c>
      <c r="C2108" s="1">
        <v>44083</v>
      </c>
      <c r="D2108" t="b">
        <v>1</v>
      </c>
      <c r="E2108" t="s">
        <v>10</v>
      </c>
      <c r="F2108">
        <v>1800</v>
      </c>
    </row>
    <row r="2109" spans="1:6" x14ac:dyDescent="0.25">
      <c r="A2109" t="s">
        <v>3931</v>
      </c>
      <c r="B2109" t="s">
        <v>3651</v>
      </c>
      <c r="C2109" s="1">
        <v>44083</v>
      </c>
      <c r="D2109" t="b">
        <v>1</v>
      </c>
      <c r="E2109" t="s">
        <v>10</v>
      </c>
      <c r="F2109">
        <v>13901</v>
      </c>
    </row>
    <row r="2110" spans="1:6" x14ac:dyDescent="0.25">
      <c r="A2110" t="s">
        <v>3932</v>
      </c>
      <c r="B2110" t="s">
        <v>3933</v>
      </c>
      <c r="C2110" s="1">
        <v>44083</v>
      </c>
      <c r="D2110" t="b">
        <v>0</v>
      </c>
      <c r="E2110" t="s">
        <v>10</v>
      </c>
      <c r="F2110">
        <v>16983</v>
      </c>
    </row>
    <row r="2111" spans="1:6" x14ac:dyDescent="0.25">
      <c r="A2111" t="s">
        <v>3934</v>
      </c>
      <c r="B2111" t="s">
        <v>3935</v>
      </c>
      <c r="C2111" s="1">
        <v>44083</v>
      </c>
      <c r="D2111" t="b">
        <v>1</v>
      </c>
      <c r="E2111" t="s">
        <v>10</v>
      </c>
      <c r="F2111">
        <v>16855</v>
      </c>
    </row>
    <row r="2112" spans="1:6" x14ac:dyDescent="0.25">
      <c r="A2112" t="s">
        <v>3936</v>
      </c>
      <c r="B2112" t="s">
        <v>3937</v>
      </c>
      <c r="C2112" s="1">
        <v>44083</v>
      </c>
      <c r="D2112" t="b">
        <v>1</v>
      </c>
      <c r="E2112" t="s">
        <v>10</v>
      </c>
      <c r="F2112">
        <v>13096</v>
      </c>
    </row>
    <row r="2113" spans="1:6" x14ac:dyDescent="0.25">
      <c r="A2113" t="s">
        <v>3938</v>
      </c>
      <c r="B2113" t="s">
        <v>3939</v>
      </c>
      <c r="C2113" s="1">
        <v>44083</v>
      </c>
      <c r="D2113" t="b">
        <v>1</v>
      </c>
      <c r="E2113" t="s">
        <v>10</v>
      </c>
      <c r="F2113">
        <v>1802</v>
      </c>
    </row>
    <row r="2114" spans="1:6" x14ac:dyDescent="0.25">
      <c r="A2114" t="s">
        <v>3940</v>
      </c>
      <c r="B2114" t="s">
        <v>3941</v>
      </c>
      <c r="C2114" s="1">
        <v>44083</v>
      </c>
      <c r="D2114" t="b">
        <v>1</v>
      </c>
      <c r="E2114" t="s">
        <v>10</v>
      </c>
      <c r="F2114">
        <v>16690</v>
      </c>
    </row>
    <row r="2115" spans="1:6" x14ac:dyDescent="0.25">
      <c r="A2115" t="s">
        <v>3942</v>
      </c>
      <c r="B2115" t="s">
        <v>3943</v>
      </c>
      <c r="C2115" s="1">
        <v>44083</v>
      </c>
      <c r="D2115" t="b">
        <v>1</v>
      </c>
      <c r="E2115" t="s">
        <v>10</v>
      </c>
      <c r="F2115">
        <v>1803</v>
      </c>
    </row>
    <row r="2116" spans="1:6" x14ac:dyDescent="0.25">
      <c r="A2116" t="s">
        <v>3944</v>
      </c>
      <c r="B2116" t="s">
        <v>3945</v>
      </c>
      <c r="C2116" s="1">
        <v>44083</v>
      </c>
      <c r="D2116" t="b">
        <v>1</v>
      </c>
      <c r="E2116" t="s">
        <v>10</v>
      </c>
      <c r="F2116">
        <v>1805</v>
      </c>
    </row>
    <row r="2117" spans="1:6" x14ac:dyDescent="0.25">
      <c r="A2117" t="s">
        <v>3946</v>
      </c>
      <c r="B2117" t="s">
        <v>3947</v>
      </c>
      <c r="C2117" s="1">
        <v>44083</v>
      </c>
      <c r="D2117" t="b">
        <v>1</v>
      </c>
      <c r="E2117" t="s">
        <v>10</v>
      </c>
      <c r="F2117">
        <v>1806</v>
      </c>
    </row>
    <row r="2118" spans="1:6" x14ac:dyDescent="0.25">
      <c r="A2118" t="s">
        <v>3948</v>
      </c>
      <c r="B2118" t="s">
        <v>3949</v>
      </c>
      <c r="C2118" s="1">
        <v>44083</v>
      </c>
      <c r="D2118" t="b">
        <v>1</v>
      </c>
      <c r="E2118" t="s">
        <v>10</v>
      </c>
      <c r="F2118">
        <v>1807</v>
      </c>
    </row>
    <row r="2119" spans="1:6" x14ac:dyDescent="0.25">
      <c r="A2119" t="s">
        <v>3950</v>
      </c>
      <c r="B2119" t="s">
        <v>3951</v>
      </c>
      <c r="C2119" s="1">
        <v>44083</v>
      </c>
      <c r="D2119" t="b">
        <v>1</v>
      </c>
      <c r="E2119" t="s">
        <v>10</v>
      </c>
      <c r="F2119">
        <v>1811</v>
      </c>
    </row>
    <row r="2120" spans="1:6" x14ac:dyDescent="0.25">
      <c r="A2120" t="s">
        <v>3952</v>
      </c>
      <c r="B2120" t="s">
        <v>3953</v>
      </c>
      <c r="C2120" s="1">
        <v>44083</v>
      </c>
      <c r="D2120" t="b">
        <v>1</v>
      </c>
      <c r="E2120" t="s">
        <v>10</v>
      </c>
      <c r="F2120">
        <v>1814</v>
      </c>
    </row>
    <row r="2121" spans="1:6" x14ac:dyDescent="0.25">
      <c r="A2121" t="s">
        <v>3954</v>
      </c>
      <c r="B2121" t="s">
        <v>3955</v>
      </c>
      <c r="C2121" s="1">
        <v>44083</v>
      </c>
      <c r="D2121" t="b">
        <v>1</v>
      </c>
      <c r="E2121" t="s">
        <v>10</v>
      </c>
      <c r="F2121">
        <v>8096</v>
      </c>
    </row>
    <row r="2122" spans="1:6" x14ac:dyDescent="0.25">
      <c r="A2122" t="s">
        <v>3956</v>
      </c>
      <c r="C2122" s="1">
        <v>44083</v>
      </c>
      <c r="D2122" t="b">
        <v>1</v>
      </c>
      <c r="E2122" t="s">
        <v>10</v>
      </c>
      <c r="F2122">
        <v>14590</v>
      </c>
    </row>
    <row r="2123" spans="1:6" x14ac:dyDescent="0.25">
      <c r="A2123" t="s">
        <v>3957</v>
      </c>
      <c r="C2123" s="1">
        <v>44083</v>
      </c>
      <c r="D2123" t="b">
        <v>1</v>
      </c>
      <c r="E2123" t="s">
        <v>10</v>
      </c>
      <c r="F2123">
        <v>15178</v>
      </c>
    </row>
    <row r="2124" spans="1:6" x14ac:dyDescent="0.25">
      <c r="A2124" t="s">
        <v>3958</v>
      </c>
      <c r="B2124" t="s">
        <v>3959</v>
      </c>
      <c r="C2124" s="1">
        <v>44083</v>
      </c>
      <c r="D2124" t="b">
        <v>1</v>
      </c>
      <c r="E2124" t="s">
        <v>10</v>
      </c>
      <c r="F2124">
        <v>13818</v>
      </c>
    </row>
    <row r="2125" spans="1:6" x14ac:dyDescent="0.25">
      <c r="A2125" t="s">
        <v>3960</v>
      </c>
      <c r="B2125" t="s">
        <v>3961</v>
      </c>
      <c r="C2125" s="1">
        <v>44083</v>
      </c>
      <c r="D2125" t="b">
        <v>1</v>
      </c>
      <c r="E2125" t="s">
        <v>10</v>
      </c>
      <c r="F2125">
        <v>13947</v>
      </c>
    </row>
    <row r="2126" spans="1:6" x14ac:dyDescent="0.25">
      <c r="A2126" t="s">
        <v>3962</v>
      </c>
      <c r="C2126" s="1">
        <v>44083</v>
      </c>
      <c r="D2126" t="b">
        <v>1</v>
      </c>
      <c r="E2126" t="s">
        <v>10</v>
      </c>
      <c r="F2126">
        <v>13948</v>
      </c>
    </row>
    <row r="2127" spans="1:6" x14ac:dyDescent="0.25">
      <c r="A2127" t="s">
        <v>3963</v>
      </c>
      <c r="B2127" t="s">
        <v>3964</v>
      </c>
      <c r="C2127" s="1">
        <v>44083</v>
      </c>
      <c r="D2127" t="b">
        <v>1</v>
      </c>
      <c r="E2127" t="s">
        <v>10</v>
      </c>
      <c r="F2127">
        <v>1816</v>
      </c>
    </row>
    <row r="2128" spans="1:6" x14ac:dyDescent="0.25">
      <c r="A2128" t="s">
        <v>3965</v>
      </c>
      <c r="C2128" s="1">
        <v>44083</v>
      </c>
      <c r="D2128" t="b">
        <v>1</v>
      </c>
      <c r="E2128" t="s">
        <v>10</v>
      </c>
      <c r="F2128">
        <v>13394</v>
      </c>
    </row>
    <row r="2129" spans="1:6" x14ac:dyDescent="0.25">
      <c r="A2129" t="s">
        <v>3966</v>
      </c>
      <c r="C2129" s="1">
        <v>44083</v>
      </c>
      <c r="D2129" t="b">
        <v>1</v>
      </c>
      <c r="E2129" t="s">
        <v>10</v>
      </c>
      <c r="F2129">
        <v>1819</v>
      </c>
    </row>
    <row r="2130" spans="1:6" x14ac:dyDescent="0.25">
      <c r="A2130" t="s">
        <v>3967</v>
      </c>
      <c r="C2130" s="1">
        <v>44083</v>
      </c>
      <c r="D2130" t="b">
        <v>1</v>
      </c>
      <c r="E2130" t="s">
        <v>10</v>
      </c>
      <c r="F2130">
        <v>13266</v>
      </c>
    </row>
    <row r="2131" spans="1:6" x14ac:dyDescent="0.25">
      <c r="A2131" t="s">
        <v>3968</v>
      </c>
      <c r="C2131" s="1">
        <v>44083</v>
      </c>
      <c r="D2131" t="b">
        <v>1</v>
      </c>
      <c r="E2131" t="s">
        <v>10</v>
      </c>
      <c r="F2131">
        <v>15528</v>
      </c>
    </row>
    <row r="2132" spans="1:6" x14ac:dyDescent="0.25">
      <c r="A2132" t="s">
        <v>3969</v>
      </c>
      <c r="C2132" s="1">
        <v>44083</v>
      </c>
      <c r="D2132" t="b">
        <v>1</v>
      </c>
      <c r="E2132" t="s">
        <v>10</v>
      </c>
      <c r="F2132">
        <v>16189</v>
      </c>
    </row>
    <row r="2133" spans="1:6" x14ac:dyDescent="0.25">
      <c r="A2133" t="s">
        <v>3970</v>
      </c>
      <c r="B2133" t="s">
        <v>3971</v>
      </c>
      <c r="C2133" s="1">
        <v>44083</v>
      </c>
      <c r="D2133" t="b">
        <v>1</v>
      </c>
      <c r="E2133" t="s">
        <v>10</v>
      </c>
      <c r="F2133">
        <v>1820</v>
      </c>
    </row>
    <row r="2134" spans="1:6" x14ac:dyDescent="0.25">
      <c r="A2134" t="s">
        <v>3972</v>
      </c>
      <c r="B2134" t="s">
        <v>3973</v>
      </c>
      <c r="C2134" s="1">
        <v>44083</v>
      </c>
      <c r="D2134" t="b">
        <v>1</v>
      </c>
      <c r="E2134" t="s">
        <v>10</v>
      </c>
      <c r="F2134">
        <v>10661</v>
      </c>
    </row>
    <row r="2135" spans="1:6" x14ac:dyDescent="0.25">
      <c r="A2135" t="s">
        <v>3974</v>
      </c>
      <c r="B2135" t="s">
        <v>3975</v>
      </c>
      <c r="C2135" s="1">
        <v>44083</v>
      </c>
      <c r="D2135" t="b">
        <v>1</v>
      </c>
      <c r="E2135" t="s">
        <v>10</v>
      </c>
      <c r="F2135">
        <v>1821</v>
      </c>
    </row>
    <row r="2136" spans="1:6" x14ac:dyDescent="0.25">
      <c r="A2136" t="s">
        <v>3976</v>
      </c>
      <c r="B2136" t="s">
        <v>3977</v>
      </c>
      <c r="C2136" s="1">
        <v>44083</v>
      </c>
      <c r="D2136" t="b">
        <v>1</v>
      </c>
      <c r="E2136" t="s">
        <v>10</v>
      </c>
      <c r="F2136">
        <v>1822</v>
      </c>
    </row>
    <row r="2137" spans="1:6" x14ac:dyDescent="0.25">
      <c r="A2137" t="s">
        <v>3978</v>
      </c>
      <c r="B2137" t="s">
        <v>3979</v>
      </c>
      <c r="C2137" s="1">
        <v>44083</v>
      </c>
      <c r="D2137" t="b">
        <v>1</v>
      </c>
      <c r="E2137" t="s">
        <v>10</v>
      </c>
      <c r="F2137">
        <v>16397</v>
      </c>
    </row>
    <row r="2138" spans="1:6" x14ac:dyDescent="0.25">
      <c r="A2138" t="s">
        <v>3980</v>
      </c>
      <c r="B2138" t="s">
        <v>3981</v>
      </c>
      <c r="C2138" s="1">
        <v>44083</v>
      </c>
      <c r="D2138" t="b">
        <v>1</v>
      </c>
      <c r="E2138" t="s">
        <v>10</v>
      </c>
      <c r="F2138">
        <v>15293</v>
      </c>
    </row>
    <row r="2139" spans="1:6" x14ac:dyDescent="0.25">
      <c r="A2139" t="s">
        <v>3982</v>
      </c>
      <c r="B2139" t="s">
        <v>3983</v>
      </c>
      <c r="C2139" s="1">
        <v>44083</v>
      </c>
      <c r="D2139" t="b">
        <v>1</v>
      </c>
      <c r="E2139" t="s">
        <v>10</v>
      </c>
      <c r="F2139">
        <v>16738</v>
      </c>
    </row>
    <row r="2140" spans="1:6" x14ac:dyDescent="0.25">
      <c r="A2140" t="s">
        <v>3984</v>
      </c>
      <c r="B2140" t="s">
        <v>3985</v>
      </c>
      <c r="C2140" s="1">
        <v>44083</v>
      </c>
      <c r="D2140" t="b">
        <v>1</v>
      </c>
      <c r="E2140" t="s">
        <v>10</v>
      </c>
      <c r="F2140">
        <v>1825</v>
      </c>
    </row>
    <row r="2141" spans="1:6" x14ac:dyDescent="0.25">
      <c r="A2141" t="s">
        <v>3986</v>
      </c>
      <c r="B2141" t="s">
        <v>3987</v>
      </c>
      <c r="C2141" s="1">
        <v>44083</v>
      </c>
      <c r="D2141" t="b">
        <v>1</v>
      </c>
      <c r="E2141" t="s">
        <v>10</v>
      </c>
      <c r="F2141">
        <v>15260</v>
      </c>
    </row>
    <row r="2142" spans="1:6" x14ac:dyDescent="0.25">
      <c r="A2142" t="s">
        <v>3988</v>
      </c>
      <c r="B2142" t="s">
        <v>3989</v>
      </c>
      <c r="C2142" s="1">
        <v>44083</v>
      </c>
      <c r="D2142" t="b">
        <v>1</v>
      </c>
      <c r="E2142" t="s">
        <v>10</v>
      </c>
      <c r="F2142">
        <v>1827</v>
      </c>
    </row>
    <row r="2143" spans="1:6" x14ac:dyDescent="0.25">
      <c r="A2143" t="s">
        <v>3990</v>
      </c>
      <c r="B2143" t="s">
        <v>3991</v>
      </c>
      <c r="C2143" s="1">
        <v>44083</v>
      </c>
      <c r="D2143" t="b">
        <v>1</v>
      </c>
      <c r="E2143" t="s">
        <v>10</v>
      </c>
      <c r="F2143">
        <v>1828</v>
      </c>
    </row>
    <row r="2144" spans="1:6" x14ac:dyDescent="0.25">
      <c r="A2144" t="s">
        <v>3992</v>
      </c>
      <c r="B2144" t="s">
        <v>3993</v>
      </c>
      <c r="C2144" s="1">
        <v>44083</v>
      </c>
      <c r="D2144" t="b">
        <v>1</v>
      </c>
      <c r="E2144" t="s">
        <v>10</v>
      </c>
      <c r="F2144">
        <v>1830</v>
      </c>
    </row>
    <row r="2145" spans="1:6" x14ac:dyDescent="0.25">
      <c r="A2145" t="s">
        <v>3994</v>
      </c>
      <c r="B2145" t="s">
        <v>3995</v>
      </c>
      <c r="C2145" s="1">
        <v>44083</v>
      </c>
      <c r="D2145" t="b">
        <v>1</v>
      </c>
      <c r="E2145" t="s">
        <v>10</v>
      </c>
      <c r="F2145">
        <v>1831</v>
      </c>
    </row>
    <row r="2146" spans="1:6" x14ac:dyDescent="0.25">
      <c r="A2146" t="s">
        <v>3996</v>
      </c>
      <c r="B2146" t="s">
        <v>3997</v>
      </c>
      <c r="C2146" s="1">
        <v>44083</v>
      </c>
      <c r="D2146" t="b">
        <v>1</v>
      </c>
      <c r="E2146" t="s">
        <v>10</v>
      </c>
      <c r="F2146">
        <v>15542</v>
      </c>
    </row>
    <row r="2147" spans="1:6" x14ac:dyDescent="0.25">
      <c r="A2147" t="s">
        <v>3998</v>
      </c>
      <c r="B2147" t="s">
        <v>3999</v>
      </c>
      <c r="C2147" s="1">
        <v>44083</v>
      </c>
      <c r="D2147" t="b">
        <v>1</v>
      </c>
      <c r="E2147" t="s">
        <v>10</v>
      </c>
      <c r="F2147">
        <v>13202</v>
      </c>
    </row>
    <row r="2148" spans="1:6" x14ac:dyDescent="0.25">
      <c r="A2148" t="s">
        <v>4000</v>
      </c>
      <c r="B2148" t="s">
        <v>4001</v>
      </c>
      <c r="C2148" s="1">
        <v>44083</v>
      </c>
      <c r="D2148" t="b">
        <v>1</v>
      </c>
      <c r="E2148" t="s">
        <v>10</v>
      </c>
      <c r="F2148">
        <v>13203</v>
      </c>
    </row>
    <row r="2149" spans="1:6" x14ac:dyDescent="0.25">
      <c r="A2149" t="s">
        <v>4002</v>
      </c>
      <c r="B2149" t="s">
        <v>4003</v>
      </c>
      <c r="C2149" s="1">
        <v>44083</v>
      </c>
      <c r="D2149" t="b">
        <v>1</v>
      </c>
      <c r="E2149" t="s">
        <v>10</v>
      </c>
      <c r="F2149">
        <v>13204</v>
      </c>
    </row>
    <row r="2150" spans="1:6" x14ac:dyDescent="0.25">
      <c r="A2150" t="s">
        <v>4004</v>
      </c>
      <c r="B2150" t="s">
        <v>4005</v>
      </c>
      <c r="C2150" s="1">
        <v>44083</v>
      </c>
      <c r="D2150" t="b">
        <v>1</v>
      </c>
      <c r="E2150" t="s">
        <v>10</v>
      </c>
      <c r="F2150">
        <v>13205</v>
      </c>
    </row>
    <row r="2151" spans="1:6" x14ac:dyDescent="0.25">
      <c r="A2151" t="s">
        <v>4006</v>
      </c>
      <c r="B2151" t="s">
        <v>4007</v>
      </c>
      <c r="C2151" s="1">
        <v>44083</v>
      </c>
      <c r="D2151" t="b">
        <v>1</v>
      </c>
      <c r="E2151" t="s">
        <v>10</v>
      </c>
      <c r="F2151">
        <v>14334</v>
      </c>
    </row>
    <row r="2152" spans="1:6" x14ac:dyDescent="0.25">
      <c r="A2152" t="s">
        <v>4008</v>
      </c>
      <c r="C2152" s="1">
        <v>44083</v>
      </c>
      <c r="D2152" t="b">
        <v>1</v>
      </c>
      <c r="E2152" t="s">
        <v>10</v>
      </c>
      <c r="F2152">
        <v>14345</v>
      </c>
    </row>
    <row r="2153" spans="1:6" x14ac:dyDescent="0.25">
      <c r="A2153" t="s">
        <v>4009</v>
      </c>
      <c r="B2153" t="s">
        <v>4010</v>
      </c>
      <c r="C2153" s="1">
        <v>44083</v>
      </c>
      <c r="D2153" t="b">
        <v>1</v>
      </c>
      <c r="E2153" t="s">
        <v>10</v>
      </c>
      <c r="F2153">
        <v>13235</v>
      </c>
    </row>
    <row r="2154" spans="1:6" x14ac:dyDescent="0.25">
      <c r="A2154" t="s">
        <v>4011</v>
      </c>
      <c r="B2154" t="s">
        <v>4012</v>
      </c>
      <c r="C2154" s="1">
        <v>44083</v>
      </c>
      <c r="D2154" t="b">
        <v>1</v>
      </c>
      <c r="E2154" t="s">
        <v>10</v>
      </c>
      <c r="F2154">
        <v>16834</v>
      </c>
    </row>
    <row r="2155" spans="1:6" x14ac:dyDescent="0.25">
      <c r="A2155" t="s">
        <v>4013</v>
      </c>
      <c r="B2155" t="s">
        <v>4014</v>
      </c>
      <c r="C2155" s="1">
        <v>44083</v>
      </c>
      <c r="D2155" t="b">
        <v>1</v>
      </c>
      <c r="E2155" t="s">
        <v>10</v>
      </c>
      <c r="F2155">
        <v>16899</v>
      </c>
    </row>
    <row r="2156" spans="1:6" x14ac:dyDescent="0.25">
      <c r="A2156" t="s">
        <v>4015</v>
      </c>
      <c r="B2156" t="s">
        <v>4016</v>
      </c>
      <c r="C2156" s="1">
        <v>44083</v>
      </c>
      <c r="D2156" t="b">
        <v>1</v>
      </c>
      <c r="E2156" t="s">
        <v>10</v>
      </c>
      <c r="F2156">
        <v>16653</v>
      </c>
    </row>
    <row r="2157" spans="1:6" x14ac:dyDescent="0.25">
      <c r="A2157" t="s">
        <v>4017</v>
      </c>
      <c r="C2157" s="1">
        <v>44083</v>
      </c>
      <c r="D2157" t="b">
        <v>1</v>
      </c>
      <c r="E2157" t="s">
        <v>10</v>
      </c>
      <c r="F2157">
        <v>16674</v>
      </c>
    </row>
    <row r="2158" spans="1:6" x14ac:dyDescent="0.25">
      <c r="A2158" t="s">
        <v>4018</v>
      </c>
      <c r="B2158" t="s">
        <v>4019</v>
      </c>
      <c r="C2158" s="1">
        <v>44083</v>
      </c>
      <c r="D2158" t="b">
        <v>1</v>
      </c>
      <c r="E2158" t="s">
        <v>10</v>
      </c>
      <c r="F2158">
        <v>16499</v>
      </c>
    </row>
    <row r="2159" spans="1:6" x14ac:dyDescent="0.25">
      <c r="A2159" t="s">
        <v>4020</v>
      </c>
      <c r="B2159" t="s">
        <v>4021</v>
      </c>
      <c r="C2159" s="1">
        <v>44083</v>
      </c>
      <c r="D2159" t="b">
        <v>1</v>
      </c>
      <c r="E2159" t="s">
        <v>10</v>
      </c>
      <c r="F2159">
        <v>16803</v>
      </c>
    </row>
    <row r="2160" spans="1:6" x14ac:dyDescent="0.25">
      <c r="A2160" t="s">
        <v>4022</v>
      </c>
      <c r="B2160" t="s">
        <v>4023</v>
      </c>
      <c r="C2160" s="1">
        <v>44083</v>
      </c>
      <c r="D2160" t="b">
        <v>1</v>
      </c>
      <c r="E2160" t="s">
        <v>10</v>
      </c>
      <c r="F2160">
        <v>1835</v>
      </c>
    </row>
    <row r="2161" spans="1:6" x14ac:dyDescent="0.25">
      <c r="A2161" t="s">
        <v>4024</v>
      </c>
      <c r="B2161" t="s">
        <v>4025</v>
      </c>
      <c r="C2161" s="1">
        <v>44083</v>
      </c>
      <c r="D2161" t="b">
        <v>1</v>
      </c>
      <c r="E2161" t="s">
        <v>10</v>
      </c>
      <c r="F2161">
        <v>16232</v>
      </c>
    </row>
    <row r="2162" spans="1:6" x14ac:dyDescent="0.25">
      <c r="A2162" t="s">
        <v>4026</v>
      </c>
      <c r="B2162" t="s">
        <v>4027</v>
      </c>
      <c r="C2162" s="1">
        <v>44083</v>
      </c>
      <c r="D2162" t="b">
        <v>1</v>
      </c>
      <c r="E2162" t="s">
        <v>10</v>
      </c>
      <c r="F2162">
        <v>1836</v>
      </c>
    </row>
    <row r="2163" spans="1:6" x14ac:dyDescent="0.25">
      <c r="A2163" t="s">
        <v>4028</v>
      </c>
      <c r="B2163" t="s">
        <v>4029</v>
      </c>
      <c r="C2163" s="1">
        <v>44083</v>
      </c>
      <c r="D2163" t="b">
        <v>1</v>
      </c>
      <c r="E2163" t="s">
        <v>10</v>
      </c>
      <c r="F2163">
        <v>1837</v>
      </c>
    </row>
    <row r="2164" spans="1:6" x14ac:dyDescent="0.25">
      <c r="A2164" t="s">
        <v>4030</v>
      </c>
      <c r="B2164" t="s">
        <v>4031</v>
      </c>
      <c r="C2164" s="1">
        <v>44083</v>
      </c>
      <c r="D2164" t="b">
        <v>1</v>
      </c>
      <c r="E2164" t="s">
        <v>10</v>
      </c>
      <c r="F2164">
        <v>13771</v>
      </c>
    </row>
    <row r="2165" spans="1:6" x14ac:dyDescent="0.25">
      <c r="A2165" t="s">
        <v>4032</v>
      </c>
      <c r="B2165" t="s">
        <v>4033</v>
      </c>
      <c r="C2165" s="1">
        <v>44083</v>
      </c>
      <c r="D2165" t="b">
        <v>1</v>
      </c>
      <c r="E2165" t="s">
        <v>10</v>
      </c>
      <c r="F2165">
        <v>1838</v>
      </c>
    </row>
    <row r="2166" spans="1:6" x14ac:dyDescent="0.25">
      <c r="A2166" t="s">
        <v>4034</v>
      </c>
      <c r="B2166" t="s">
        <v>4035</v>
      </c>
      <c r="C2166" s="1">
        <v>44083</v>
      </c>
      <c r="D2166" t="b">
        <v>1</v>
      </c>
      <c r="E2166" t="s">
        <v>10</v>
      </c>
      <c r="F2166">
        <v>16302</v>
      </c>
    </row>
    <row r="2167" spans="1:6" x14ac:dyDescent="0.25">
      <c r="A2167" t="s">
        <v>4036</v>
      </c>
      <c r="B2167" t="s">
        <v>4037</v>
      </c>
      <c r="C2167" s="1">
        <v>44083</v>
      </c>
      <c r="D2167" t="b">
        <v>1</v>
      </c>
      <c r="E2167" t="s">
        <v>10</v>
      </c>
      <c r="F2167">
        <v>8654</v>
      </c>
    </row>
    <row r="2168" spans="1:6" x14ac:dyDescent="0.25">
      <c r="A2168" t="s">
        <v>4038</v>
      </c>
      <c r="B2168" t="s">
        <v>4039</v>
      </c>
      <c r="C2168" s="1">
        <v>44083</v>
      </c>
      <c r="D2168" t="b">
        <v>1</v>
      </c>
      <c r="E2168" t="s">
        <v>10</v>
      </c>
      <c r="F2168">
        <v>1840</v>
      </c>
    </row>
    <row r="2169" spans="1:6" x14ac:dyDescent="0.25">
      <c r="A2169" t="s">
        <v>4040</v>
      </c>
      <c r="B2169" t="s">
        <v>4041</v>
      </c>
      <c r="C2169" s="1">
        <v>44083</v>
      </c>
      <c r="D2169" t="b">
        <v>1</v>
      </c>
      <c r="E2169" t="s">
        <v>10</v>
      </c>
      <c r="F2169">
        <v>1844</v>
      </c>
    </row>
    <row r="2170" spans="1:6" x14ac:dyDescent="0.25">
      <c r="A2170" t="s">
        <v>4042</v>
      </c>
      <c r="B2170" t="s">
        <v>4043</v>
      </c>
      <c r="C2170" s="1">
        <v>44083</v>
      </c>
      <c r="D2170" t="b">
        <v>1</v>
      </c>
      <c r="E2170" t="s">
        <v>10</v>
      </c>
      <c r="F2170">
        <v>14318</v>
      </c>
    </row>
    <row r="2171" spans="1:6" x14ac:dyDescent="0.25">
      <c r="A2171" t="s">
        <v>4044</v>
      </c>
      <c r="B2171" t="s">
        <v>4045</v>
      </c>
      <c r="C2171" s="1">
        <v>44083</v>
      </c>
      <c r="D2171" t="b">
        <v>1</v>
      </c>
      <c r="E2171" t="s">
        <v>10</v>
      </c>
      <c r="F2171">
        <v>1846</v>
      </c>
    </row>
    <row r="2172" spans="1:6" x14ac:dyDescent="0.25">
      <c r="A2172" t="s">
        <v>4046</v>
      </c>
      <c r="B2172" t="s">
        <v>4047</v>
      </c>
      <c r="C2172" s="1">
        <v>44083</v>
      </c>
      <c r="D2172" t="b">
        <v>1</v>
      </c>
      <c r="E2172" t="s">
        <v>10</v>
      </c>
      <c r="F2172">
        <v>13430</v>
      </c>
    </row>
    <row r="2173" spans="1:6" x14ac:dyDescent="0.25">
      <c r="A2173" t="s">
        <v>4048</v>
      </c>
      <c r="B2173" t="s">
        <v>4049</v>
      </c>
      <c r="C2173" s="1">
        <v>44083</v>
      </c>
      <c r="D2173" t="b">
        <v>1</v>
      </c>
      <c r="E2173" t="s">
        <v>10</v>
      </c>
      <c r="F2173">
        <v>1848</v>
      </c>
    </row>
    <row r="2174" spans="1:6" x14ac:dyDescent="0.25">
      <c r="A2174" t="s">
        <v>4050</v>
      </c>
      <c r="B2174" t="s">
        <v>4051</v>
      </c>
      <c r="C2174" s="1">
        <v>44083</v>
      </c>
      <c r="D2174" t="b">
        <v>1</v>
      </c>
      <c r="E2174" t="s">
        <v>10</v>
      </c>
      <c r="F2174">
        <v>14749</v>
      </c>
    </row>
    <row r="2175" spans="1:6" x14ac:dyDescent="0.25">
      <c r="A2175" t="s">
        <v>4052</v>
      </c>
      <c r="B2175" t="s">
        <v>4053</v>
      </c>
      <c r="C2175" s="1">
        <v>44083</v>
      </c>
      <c r="D2175" t="b">
        <v>1</v>
      </c>
      <c r="E2175" t="s">
        <v>10</v>
      </c>
      <c r="F2175">
        <v>1851</v>
      </c>
    </row>
    <row r="2176" spans="1:6" x14ac:dyDescent="0.25">
      <c r="A2176" t="s">
        <v>4054</v>
      </c>
      <c r="B2176" t="s">
        <v>4055</v>
      </c>
      <c r="C2176" s="1">
        <v>44083</v>
      </c>
      <c r="D2176" t="b">
        <v>1</v>
      </c>
      <c r="E2176" t="s">
        <v>10</v>
      </c>
      <c r="F2176">
        <v>1852</v>
      </c>
    </row>
    <row r="2177" spans="1:6" x14ac:dyDescent="0.25">
      <c r="A2177" t="s">
        <v>4056</v>
      </c>
      <c r="B2177" t="s">
        <v>4057</v>
      </c>
      <c r="C2177" s="1">
        <v>44083</v>
      </c>
      <c r="D2177" t="b">
        <v>1</v>
      </c>
      <c r="E2177" t="s">
        <v>10</v>
      </c>
      <c r="F2177">
        <v>15027</v>
      </c>
    </row>
    <row r="2178" spans="1:6" x14ac:dyDescent="0.25">
      <c r="A2178" t="s">
        <v>4058</v>
      </c>
      <c r="B2178" t="s">
        <v>4059</v>
      </c>
      <c r="C2178" s="1">
        <v>44083</v>
      </c>
      <c r="D2178" t="b">
        <v>1</v>
      </c>
      <c r="E2178" t="s">
        <v>10</v>
      </c>
      <c r="F2178">
        <v>7758</v>
      </c>
    </row>
    <row r="2179" spans="1:6" x14ac:dyDescent="0.25">
      <c r="A2179" t="s">
        <v>4060</v>
      </c>
      <c r="B2179" t="s">
        <v>4061</v>
      </c>
      <c r="C2179" s="1">
        <v>44083</v>
      </c>
      <c r="D2179" t="b">
        <v>1</v>
      </c>
      <c r="E2179" t="s">
        <v>10</v>
      </c>
      <c r="F2179">
        <v>1853</v>
      </c>
    </row>
    <row r="2180" spans="1:6" x14ac:dyDescent="0.25">
      <c r="A2180" t="s">
        <v>4062</v>
      </c>
      <c r="B2180" t="s">
        <v>4063</v>
      </c>
      <c r="C2180" s="1">
        <v>44083</v>
      </c>
      <c r="D2180" t="b">
        <v>1</v>
      </c>
      <c r="E2180" t="s">
        <v>10</v>
      </c>
      <c r="F2180">
        <v>1854</v>
      </c>
    </row>
    <row r="2181" spans="1:6" x14ac:dyDescent="0.25">
      <c r="A2181" t="s">
        <v>4064</v>
      </c>
      <c r="B2181" t="s">
        <v>4065</v>
      </c>
      <c r="C2181" s="1">
        <v>44083</v>
      </c>
      <c r="D2181" t="b">
        <v>1</v>
      </c>
      <c r="E2181" t="s">
        <v>10</v>
      </c>
      <c r="F2181">
        <v>15539</v>
      </c>
    </row>
    <row r="2182" spans="1:6" x14ac:dyDescent="0.25">
      <c r="A2182" t="s">
        <v>4066</v>
      </c>
      <c r="B2182" t="s">
        <v>4067</v>
      </c>
      <c r="C2182" s="1">
        <v>44083</v>
      </c>
      <c r="D2182" t="b">
        <v>1</v>
      </c>
      <c r="E2182" t="s">
        <v>10</v>
      </c>
      <c r="F2182">
        <v>1857</v>
      </c>
    </row>
    <row r="2183" spans="1:6" x14ac:dyDescent="0.25">
      <c r="A2183" t="s">
        <v>4068</v>
      </c>
      <c r="B2183" t="s">
        <v>4069</v>
      </c>
      <c r="C2183" s="1">
        <v>44083</v>
      </c>
      <c r="D2183" t="b">
        <v>1</v>
      </c>
      <c r="E2183" t="s">
        <v>10</v>
      </c>
      <c r="F2183">
        <v>15657</v>
      </c>
    </row>
    <row r="2184" spans="1:6" x14ac:dyDescent="0.25">
      <c r="A2184" t="s">
        <v>4070</v>
      </c>
      <c r="B2184" t="s">
        <v>4071</v>
      </c>
      <c r="C2184" s="1">
        <v>44083</v>
      </c>
      <c r="D2184" t="b">
        <v>1</v>
      </c>
      <c r="E2184" t="s">
        <v>10</v>
      </c>
      <c r="F2184">
        <v>1859</v>
      </c>
    </row>
    <row r="2185" spans="1:6" x14ac:dyDescent="0.25">
      <c r="A2185" t="s">
        <v>4072</v>
      </c>
      <c r="B2185" t="s">
        <v>4073</v>
      </c>
      <c r="C2185" s="1">
        <v>44083</v>
      </c>
      <c r="D2185" t="b">
        <v>1</v>
      </c>
      <c r="E2185" t="s">
        <v>10</v>
      </c>
      <c r="F2185">
        <v>15622</v>
      </c>
    </row>
    <row r="2186" spans="1:6" x14ac:dyDescent="0.25">
      <c r="A2186" t="s">
        <v>4074</v>
      </c>
      <c r="B2186" t="s">
        <v>4075</v>
      </c>
      <c r="C2186" s="1">
        <v>44083</v>
      </c>
      <c r="D2186" t="b">
        <v>1</v>
      </c>
      <c r="E2186" t="s">
        <v>10</v>
      </c>
      <c r="F2186">
        <v>15401</v>
      </c>
    </row>
    <row r="2187" spans="1:6" x14ac:dyDescent="0.25">
      <c r="A2187" t="s">
        <v>4076</v>
      </c>
      <c r="C2187" s="1">
        <v>44083</v>
      </c>
      <c r="D2187" t="b">
        <v>1</v>
      </c>
      <c r="E2187" t="s">
        <v>10</v>
      </c>
      <c r="F2187">
        <v>15632</v>
      </c>
    </row>
    <row r="2188" spans="1:6" x14ac:dyDescent="0.25">
      <c r="A2188" t="s">
        <v>4077</v>
      </c>
      <c r="B2188" t="s">
        <v>4078</v>
      </c>
      <c r="C2188" s="1">
        <v>44083</v>
      </c>
      <c r="D2188" t="b">
        <v>1</v>
      </c>
      <c r="E2188" t="s">
        <v>10</v>
      </c>
      <c r="F2188">
        <v>10418</v>
      </c>
    </row>
    <row r="2189" spans="1:6" x14ac:dyDescent="0.25">
      <c r="A2189" t="s">
        <v>4079</v>
      </c>
      <c r="B2189" t="s">
        <v>4080</v>
      </c>
      <c r="C2189" s="1">
        <v>44083</v>
      </c>
      <c r="D2189" t="b">
        <v>1</v>
      </c>
      <c r="E2189" t="s">
        <v>10</v>
      </c>
      <c r="F2189">
        <v>13977</v>
      </c>
    </row>
    <row r="2190" spans="1:6" x14ac:dyDescent="0.25">
      <c r="A2190" t="s">
        <v>4081</v>
      </c>
      <c r="B2190" t="s">
        <v>4082</v>
      </c>
      <c r="C2190" s="1">
        <v>44083</v>
      </c>
      <c r="D2190" t="b">
        <v>1</v>
      </c>
      <c r="E2190" t="s">
        <v>10</v>
      </c>
      <c r="F2190">
        <v>1866</v>
      </c>
    </row>
    <row r="2191" spans="1:6" x14ac:dyDescent="0.25">
      <c r="A2191" t="s">
        <v>4083</v>
      </c>
      <c r="B2191" t="s">
        <v>4084</v>
      </c>
      <c r="C2191" s="1">
        <v>44083</v>
      </c>
      <c r="D2191" t="b">
        <v>1</v>
      </c>
      <c r="E2191" t="s">
        <v>10</v>
      </c>
      <c r="F2191">
        <v>1867</v>
      </c>
    </row>
    <row r="2192" spans="1:6" x14ac:dyDescent="0.25">
      <c r="A2192" t="s">
        <v>4085</v>
      </c>
      <c r="B2192" t="s">
        <v>4086</v>
      </c>
      <c r="C2192" s="1">
        <v>44083</v>
      </c>
      <c r="D2192" t="b">
        <v>1</v>
      </c>
      <c r="E2192" t="s">
        <v>10</v>
      </c>
      <c r="F2192">
        <v>1868</v>
      </c>
    </row>
    <row r="2193" spans="1:6" x14ac:dyDescent="0.25">
      <c r="A2193" t="s">
        <v>4087</v>
      </c>
      <c r="C2193" s="1">
        <v>44083</v>
      </c>
      <c r="D2193" t="b">
        <v>1</v>
      </c>
      <c r="E2193" t="s">
        <v>10</v>
      </c>
      <c r="F2193">
        <v>16070</v>
      </c>
    </row>
    <row r="2194" spans="1:6" x14ac:dyDescent="0.25">
      <c r="A2194" t="s">
        <v>4088</v>
      </c>
      <c r="B2194" t="s">
        <v>4089</v>
      </c>
      <c r="C2194" s="1">
        <v>44083</v>
      </c>
      <c r="D2194" t="b">
        <v>1</v>
      </c>
      <c r="E2194" t="s">
        <v>10</v>
      </c>
      <c r="F2194">
        <v>1872</v>
      </c>
    </row>
    <row r="2195" spans="1:6" x14ac:dyDescent="0.25">
      <c r="A2195" t="s">
        <v>4090</v>
      </c>
      <c r="B2195" t="s">
        <v>4091</v>
      </c>
      <c r="C2195" s="1">
        <v>44083</v>
      </c>
      <c r="D2195" t="b">
        <v>1</v>
      </c>
      <c r="E2195" t="s">
        <v>10</v>
      </c>
      <c r="F2195">
        <v>1873</v>
      </c>
    </row>
    <row r="2196" spans="1:6" x14ac:dyDescent="0.25">
      <c r="A2196" t="s">
        <v>4092</v>
      </c>
      <c r="B2196" t="s">
        <v>4093</v>
      </c>
      <c r="C2196" s="1">
        <v>44083</v>
      </c>
      <c r="D2196" t="b">
        <v>1</v>
      </c>
      <c r="E2196" t="s">
        <v>10</v>
      </c>
      <c r="F2196">
        <v>1878</v>
      </c>
    </row>
    <row r="2197" spans="1:6" x14ac:dyDescent="0.25">
      <c r="A2197" t="s">
        <v>4094</v>
      </c>
      <c r="C2197" s="1">
        <v>44083</v>
      </c>
      <c r="D2197" t="b">
        <v>1</v>
      </c>
      <c r="E2197" t="s">
        <v>10</v>
      </c>
      <c r="F2197">
        <v>17117</v>
      </c>
    </row>
    <row r="2198" spans="1:6" x14ac:dyDescent="0.25">
      <c r="A2198" t="s">
        <v>4095</v>
      </c>
      <c r="B2198" t="s">
        <v>4096</v>
      </c>
      <c r="C2198" s="1">
        <v>44083</v>
      </c>
      <c r="D2198" t="b">
        <v>1</v>
      </c>
      <c r="E2198" t="s">
        <v>10</v>
      </c>
      <c r="F2198">
        <v>1879</v>
      </c>
    </row>
    <row r="2199" spans="1:6" x14ac:dyDescent="0.25">
      <c r="A2199" t="s">
        <v>4097</v>
      </c>
      <c r="B2199" t="s">
        <v>4098</v>
      </c>
      <c r="C2199" s="1">
        <v>44083</v>
      </c>
      <c r="D2199" t="b">
        <v>1</v>
      </c>
      <c r="E2199" t="s">
        <v>10</v>
      </c>
      <c r="F2199">
        <v>11123</v>
      </c>
    </row>
    <row r="2200" spans="1:6" x14ac:dyDescent="0.25">
      <c r="A2200" t="s">
        <v>4099</v>
      </c>
      <c r="C2200" s="1">
        <v>44083</v>
      </c>
      <c r="D2200" t="b">
        <v>1</v>
      </c>
      <c r="E2200" t="s">
        <v>10</v>
      </c>
      <c r="F2200">
        <v>11124</v>
      </c>
    </row>
    <row r="2201" spans="1:6" x14ac:dyDescent="0.25">
      <c r="A2201" t="s">
        <v>4100</v>
      </c>
      <c r="B2201" t="s">
        <v>4101</v>
      </c>
      <c r="C2201" s="1">
        <v>44083</v>
      </c>
      <c r="D2201" t="b">
        <v>1</v>
      </c>
      <c r="E2201" t="s">
        <v>10</v>
      </c>
      <c r="F2201">
        <v>10028</v>
      </c>
    </row>
    <row r="2202" spans="1:6" x14ac:dyDescent="0.25">
      <c r="A2202" t="s">
        <v>4102</v>
      </c>
      <c r="B2202" t="s">
        <v>4103</v>
      </c>
      <c r="C2202" s="1">
        <v>44083</v>
      </c>
      <c r="D2202" t="b">
        <v>1</v>
      </c>
      <c r="E2202" t="s">
        <v>10</v>
      </c>
      <c r="F2202">
        <v>14441</v>
      </c>
    </row>
    <row r="2203" spans="1:6" x14ac:dyDescent="0.25">
      <c r="A2203" t="s">
        <v>4104</v>
      </c>
      <c r="B2203" t="s">
        <v>4105</v>
      </c>
      <c r="C2203" s="1">
        <v>44083</v>
      </c>
      <c r="D2203" t="b">
        <v>1</v>
      </c>
      <c r="E2203" t="s">
        <v>10</v>
      </c>
      <c r="F2203">
        <v>1883</v>
      </c>
    </row>
    <row r="2204" spans="1:6" x14ac:dyDescent="0.25">
      <c r="A2204" t="s">
        <v>4106</v>
      </c>
      <c r="B2204" t="s">
        <v>4107</v>
      </c>
      <c r="C2204" s="1">
        <v>44083</v>
      </c>
      <c r="D2204" t="b">
        <v>1</v>
      </c>
      <c r="E2204" t="s">
        <v>10</v>
      </c>
      <c r="F2204">
        <v>8239</v>
      </c>
    </row>
    <row r="2205" spans="1:6" x14ac:dyDescent="0.25">
      <c r="A2205" t="s">
        <v>4108</v>
      </c>
      <c r="B2205" t="s">
        <v>4109</v>
      </c>
      <c r="C2205" s="1">
        <v>44083</v>
      </c>
      <c r="D2205" t="b">
        <v>1</v>
      </c>
      <c r="E2205" t="s">
        <v>10</v>
      </c>
      <c r="F2205">
        <v>1884</v>
      </c>
    </row>
    <row r="2206" spans="1:6" x14ac:dyDescent="0.25">
      <c r="A2206" t="s">
        <v>4110</v>
      </c>
      <c r="B2206" t="s">
        <v>4111</v>
      </c>
      <c r="C2206" s="1">
        <v>44083</v>
      </c>
      <c r="D2206" t="b">
        <v>1</v>
      </c>
      <c r="E2206" t="s">
        <v>10</v>
      </c>
      <c r="F2206">
        <v>1886</v>
      </c>
    </row>
    <row r="2207" spans="1:6" x14ac:dyDescent="0.25">
      <c r="A2207" t="s">
        <v>4112</v>
      </c>
      <c r="B2207" t="s">
        <v>4113</v>
      </c>
      <c r="C2207" s="1">
        <v>44083</v>
      </c>
      <c r="D2207" t="b">
        <v>1</v>
      </c>
      <c r="E2207" t="s">
        <v>10</v>
      </c>
      <c r="F2207">
        <v>14899</v>
      </c>
    </row>
    <row r="2208" spans="1:6" x14ac:dyDescent="0.25">
      <c r="A2208" t="s">
        <v>4114</v>
      </c>
      <c r="B2208" t="s">
        <v>4115</v>
      </c>
      <c r="C2208" s="1">
        <v>44083</v>
      </c>
      <c r="D2208" t="b">
        <v>1</v>
      </c>
      <c r="E2208" t="s">
        <v>10</v>
      </c>
      <c r="F2208">
        <v>16175</v>
      </c>
    </row>
    <row r="2209" spans="1:6" x14ac:dyDescent="0.25">
      <c r="A2209" t="s">
        <v>4116</v>
      </c>
      <c r="C2209" s="1">
        <v>44083</v>
      </c>
      <c r="D2209" t="b">
        <v>1</v>
      </c>
      <c r="E2209" t="s">
        <v>10</v>
      </c>
      <c r="F2209">
        <v>11657</v>
      </c>
    </row>
    <row r="2210" spans="1:6" x14ac:dyDescent="0.25">
      <c r="A2210" t="s">
        <v>4117</v>
      </c>
      <c r="B2210" t="s">
        <v>4118</v>
      </c>
      <c r="C2210" s="1">
        <v>44083</v>
      </c>
      <c r="D2210" t="b">
        <v>1</v>
      </c>
      <c r="E2210" t="s">
        <v>10</v>
      </c>
      <c r="F2210">
        <v>1889</v>
      </c>
    </row>
    <row r="2211" spans="1:6" x14ac:dyDescent="0.25">
      <c r="A2211" t="s">
        <v>4119</v>
      </c>
      <c r="B2211" t="s">
        <v>4120</v>
      </c>
      <c r="C2211" s="1">
        <v>44083</v>
      </c>
      <c r="D2211" t="b">
        <v>1</v>
      </c>
      <c r="E2211" t="s">
        <v>10</v>
      </c>
      <c r="F2211">
        <v>1890</v>
      </c>
    </row>
    <row r="2212" spans="1:6" x14ac:dyDescent="0.25">
      <c r="A2212" t="s">
        <v>4121</v>
      </c>
      <c r="B2212" t="s">
        <v>4122</v>
      </c>
      <c r="C2212" s="1">
        <v>44083</v>
      </c>
      <c r="D2212" t="b">
        <v>1</v>
      </c>
      <c r="E2212" t="s">
        <v>10</v>
      </c>
      <c r="F2212">
        <v>4737</v>
      </c>
    </row>
    <row r="2213" spans="1:6" x14ac:dyDescent="0.25">
      <c r="A2213" t="s">
        <v>4123</v>
      </c>
      <c r="C2213" s="1">
        <v>44083</v>
      </c>
      <c r="D2213" t="b">
        <v>1</v>
      </c>
      <c r="E2213" t="s">
        <v>10</v>
      </c>
      <c r="F2213">
        <v>4738</v>
      </c>
    </row>
    <row r="2214" spans="1:6" x14ac:dyDescent="0.25">
      <c r="A2214" t="s">
        <v>4124</v>
      </c>
      <c r="C2214" s="1">
        <v>44083</v>
      </c>
      <c r="D2214" t="b">
        <v>1</v>
      </c>
      <c r="E2214" t="s">
        <v>10</v>
      </c>
      <c r="F2214">
        <v>4739</v>
      </c>
    </row>
    <row r="2215" spans="1:6" x14ac:dyDescent="0.25">
      <c r="A2215" t="s">
        <v>4125</v>
      </c>
      <c r="C2215" s="1">
        <v>44083</v>
      </c>
      <c r="D2215" t="b">
        <v>1</v>
      </c>
      <c r="E2215" t="s">
        <v>10</v>
      </c>
      <c r="F2215">
        <v>4740</v>
      </c>
    </row>
    <row r="2216" spans="1:6" x14ac:dyDescent="0.25">
      <c r="A2216" t="s">
        <v>4126</v>
      </c>
      <c r="B2216" t="s">
        <v>4127</v>
      </c>
      <c r="C2216" s="1">
        <v>44083</v>
      </c>
      <c r="D2216" t="b">
        <v>1</v>
      </c>
      <c r="E2216" t="s">
        <v>10</v>
      </c>
      <c r="F2216">
        <v>8874</v>
      </c>
    </row>
    <row r="2217" spans="1:6" x14ac:dyDescent="0.25">
      <c r="A2217" t="s">
        <v>4128</v>
      </c>
      <c r="B2217" t="s">
        <v>4129</v>
      </c>
      <c r="C2217" s="1">
        <v>44083</v>
      </c>
      <c r="D2217" t="b">
        <v>1</v>
      </c>
      <c r="E2217" t="s">
        <v>10</v>
      </c>
      <c r="F2217">
        <v>1895</v>
      </c>
    </row>
    <row r="2218" spans="1:6" x14ac:dyDescent="0.25">
      <c r="A2218" t="s">
        <v>4130</v>
      </c>
      <c r="B2218" t="s">
        <v>4131</v>
      </c>
      <c r="C2218" s="1">
        <v>44083</v>
      </c>
      <c r="D2218" t="b">
        <v>1</v>
      </c>
      <c r="E2218" t="s">
        <v>10</v>
      </c>
      <c r="F2218">
        <v>1896</v>
      </c>
    </row>
    <row r="2219" spans="1:6" x14ac:dyDescent="0.25">
      <c r="A2219" t="s">
        <v>4132</v>
      </c>
      <c r="B2219" t="s">
        <v>4133</v>
      </c>
      <c r="C2219" s="1">
        <v>44083</v>
      </c>
      <c r="D2219" t="b">
        <v>1</v>
      </c>
      <c r="E2219" t="s">
        <v>10</v>
      </c>
      <c r="F2219">
        <v>10496</v>
      </c>
    </row>
    <row r="2220" spans="1:6" x14ac:dyDescent="0.25">
      <c r="A2220" t="s">
        <v>4134</v>
      </c>
      <c r="C2220" s="1">
        <v>44083</v>
      </c>
      <c r="D2220" t="b">
        <v>1</v>
      </c>
      <c r="E2220" t="s">
        <v>10</v>
      </c>
      <c r="F2220">
        <v>10497</v>
      </c>
    </row>
    <row r="2221" spans="1:6" x14ac:dyDescent="0.25">
      <c r="A2221" t="s">
        <v>4135</v>
      </c>
      <c r="B2221" t="s">
        <v>4136</v>
      </c>
      <c r="C2221" s="1">
        <v>44083</v>
      </c>
      <c r="D2221" t="b">
        <v>1</v>
      </c>
      <c r="E2221" t="s">
        <v>10</v>
      </c>
      <c r="F2221">
        <v>1898</v>
      </c>
    </row>
    <row r="2222" spans="1:6" x14ac:dyDescent="0.25">
      <c r="A2222" t="s">
        <v>4137</v>
      </c>
      <c r="B2222" t="s">
        <v>4138</v>
      </c>
      <c r="C2222" s="1">
        <v>44083</v>
      </c>
      <c r="D2222" t="b">
        <v>1</v>
      </c>
      <c r="E2222" t="s">
        <v>10</v>
      </c>
      <c r="F2222">
        <v>1900</v>
      </c>
    </row>
    <row r="2223" spans="1:6" x14ac:dyDescent="0.25">
      <c r="A2223" t="s">
        <v>4139</v>
      </c>
      <c r="B2223" t="s">
        <v>4140</v>
      </c>
      <c r="C2223" s="1">
        <v>44083</v>
      </c>
      <c r="D2223" t="b">
        <v>1</v>
      </c>
      <c r="E2223" t="s">
        <v>10</v>
      </c>
      <c r="F2223">
        <v>1901</v>
      </c>
    </row>
    <row r="2224" spans="1:6" x14ac:dyDescent="0.25">
      <c r="A2224" t="s">
        <v>4141</v>
      </c>
      <c r="B2224" t="s">
        <v>4142</v>
      </c>
      <c r="C2224" s="1">
        <v>44083</v>
      </c>
      <c r="D2224" t="b">
        <v>1</v>
      </c>
      <c r="E2224" t="s">
        <v>10</v>
      </c>
      <c r="F2224">
        <v>1902</v>
      </c>
    </row>
    <row r="2225" spans="1:6" x14ac:dyDescent="0.25">
      <c r="A2225" t="s">
        <v>4143</v>
      </c>
      <c r="B2225" t="s">
        <v>4144</v>
      </c>
      <c r="C2225" s="1">
        <v>44083</v>
      </c>
      <c r="D2225" t="b">
        <v>1</v>
      </c>
      <c r="E2225" t="s">
        <v>10</v>
      </c>
      <c r="F2225">
        <v>15529</v>
      </c>
    </row>
    <row r="2226" spans="1:6" x14ac:dyDescent="0.25">
      <c r="A2226" t="s">
        <v>4145</v>
      </c>
      <c r="B2226" t="s">
        <v>4146</v>
      </c>
      <c r="C2226" s="1">
        <v>44083</v>
      </c>
      <c r="D2226" t="b">
        <v>1</v>
      </c>
      <c r="E2226" t="s">
        <v>10</v>
      </c>
      <c r="F2226">
        <v>15166</v>
      </c>
    </row>
    <row r="2227" spans="1:6" x14ac:dyDescent="0.25">
      <c r="A2227" t="s">
        <v>4147</v>
      </c>
      <c r="B2227" t="s">
        <v>4148</v>
      </c>
      <c r="C2227" s="1">
        <v>44083</v>
      </c>
      <c r="D2227" t="b">
        <v>1</v>
      </c>
      <c r="E2227" t="s">
        <v>10</v>
      </c>
      <c r="F2227">
        <v>1905</v>
      </c>
    </row>
    <row r="2228" spans="1:6" x14ac:dyDescent="0.25">
      <c r="A2228" t="s">
        <v>4149</v>
      </c>
      <c r="B2228" t="s">
        <v>4150</v>
      </c>
      <c r="C2228" s="1">
        <v>44083</v>
      </c>
      <c r="D2228" t="b">
        <v>1</v>
      </c>
      <c r="E2228" t="s">
        <v>10</v>
      </c>
      <c r="F2228">
        <v>1908</v>
      </c>
    </row>
    <row r="2229" spans="1:6" x14ac:dyDescent="0.25">
      <c r="A2229" t="s">
        <v>4151</v>
      </c>
      <c r="B2229" t="s">
        <v>4152</v>
      </c>
      <c r="C2229" s="1">
        <v>44083</v>
      </c>
      <c r="D2229" t="b">
        <v>1</v>
      </c>
      <c r="E2229" t="s">
        <v>10</v>
      </c>
      <c r="F2229">
        <v>1909</v>
      </c>
    </row>
    <row r="2230" spans="1:6" x14ac:dyDescent="0.25">
      <c r="A2230" t="s">
        <v>4153</v>
      </c>
      <c r="C2230" s="1">
        <v>44083</v>
      </c>
      <c r="D2230" t="b">
        <v>1</v>
      </c>
      <c r="E2230" t="s">
        <v>10</v>
      </c>
      <c r="F2230">
        <v>14591</v>
      </c>
    </row>
    <row r="2231" spans="1:6" x14ac:dyDescent="0.25">
      <c r="A2231" t="s">
        <v>4154</v>
      </c>
      <c r="B2231" t="s">
        <v>4155</v>
      </c>
      <c r="C2231" s="1">
        <v>44083</v>
      </c>
      <c r="D2231" t="b">
        <v>1</v>
      </c>
      <c r="E2231" t="s">
        <v>10</v>
      </c>
      <c r="F2231">
        <v>15911</v>
      </c>
    </row>
    <row r="2232" spans="1:6" x14ac:dyDescent="0.25">
      <c r="A2232" t="s">
        <v>4156</v>
      </c>
      <c r="B2232" t="s">
        <v>4157</v>
      </c>
      <c r="C2232" s="1">
        <v>44083</v>
      </c>
      <c r="D2232" t="b">
        <v>1</v>
      </c>
      <c r="E2232" t="s">
        <v>10</v>
      </c>
      <c r="F2232">
        <v>1911</v>
      </c>
    </row>
    <row r="2233" spans="1:6" x14ac:dyDescent="0.25">
      <c r="A2233" t="s">
        <v>4158</v>
      </c>
      <c r="B2233" t="s">
        <v>4159</v>
      </c>
      <c r="C2233" s="1">
        <v>44083</v>
      </c>
      <c r="D2233" t="b">
        <v>1</v>
      </c>
      <c r="E2233" t="s">
        <v>10</v>
      </c>
      <c r="F2233">
        <v>1912</v>
      </c>
    </row>
    <row r="2234" spans="1:6" x14ac:dyDescent="0.25">
      <c r="A2234" t="s">
        <v>4160</v>
      </c>
      <c r="B2234" t="s">
        <v>4161</v>
      </c>
      <c r="C2234" s="1">
        <v>44083</v>
      </c>
      <c r="D2234" t="b">
        <v>1</v>
      </c>
      <c r="E2234" t="s">
        <v>10</v>
      </c>
      <c r="F2234">
        <v>9889</v>
      </c>
    </row>
    <row r="2235" spans="1:6" x14ac:dyDescent="0.25">
      <c r="A2235" t="s">
        <v>4162</v>
      </c>
      <c r="B2235" t="s">
        <v>4163</v>
      </c>
      <c r="C2235" s="1">
        <v>44083</v>
      </c>
      <c r="D2235" t="b">
        <v>1</v>
      </c>
      <c r="E2235" t="s">
        <v>10</v>
      </c>
      <c r="F2235">
        <v>13964</v>
      </c>
    </row>
    <row r="2236" spans="1:6" x14ac:dyDescent="0.25">
      <c r="A2236" t="s">
        <v>4164</v>
      </c>
      <c r="B2236" t="s">
        <v>4165</v>
      </c>
      <c r="C2236" s="1">
        <v>44083</v>
      </c>
      <c r="D2236" t="b">
        <v>1</v>
      </c>
      <c r="E2236" t="s">
        <v>10</v>
      </c>
      <c r="F2236">
        <v>1913</v>
      </c>
    </row>
    <row r="2237" spans="1:6" x14ac:dyDescent="0.25">
      <c r="A2237" t="s">
        <v>4166</v>
      </c>
      <c r="B2237" t="s">
        <v>4167</v>
      </c>
      <c r="C2237" s="1">
        <v>44083</v>
      </c>
      <c r="D2237" t="b">
        <v>1</v>
      </c>
      <c r="E2237" t="s">
        <v>10</v>
      </c>
      <c r="F2237">
        <v>1914</v>
      </c>
    </row>
    <row r="2238" spans="1:6" x14ac:dyDescent="0.25">
      <c r="A2238" t="s">
        <v>4168</v>
      </c>
      <c r="B2238" t="s">
        <v>4169</v>
      </c>
      <c r="C2238" s="1">
        <v>44083</v>
      </c>
      <c r="D2238" t="b">
        <v>1</v>
      </c>
      <c r="E2238" t="s">
        <v>10</v>
      </c>
      <c r="F2238">
        <v>15475</v>
      </c>
    </row>
    <row r="2239" spans="1:6" x14ac:dyDescent="0.25">
      <c r="A2239" t="s">
        <v>4170</v>
      </c>
      <c r="C2239" s="1">
        <v>44083</v>
      </c>
      <c r="D2239" t="b">
        <v>1</v>
      </c>
      <c r="E2239" t="s">
        <v>10</v>
      </c>
      <c r="F2239">
        <v>11413</v>
      </c>
    </row>
    <row r="2240" spans="1:6" x14ac:dyDescent="0.25">
      <c r="A2240" t="s">
        <v>4171</v>
      </c>
      <c r="C2240" s="1">
        <v>44083</v>
      </c>
      <c r="D2240" t="b">
        <v>1</v>
      </c>
      <c r="E2240" t="s">
        <v>10</v>
      </c>
      <c r="F2240">
        <v>8021</v>
      </c>
    </row>
    <row r="2241" spans="1:6" x14ac:dyDescent="0.25">
      <c r="A2241" t="s">
        <v>4172</v>
      </c>
      <c r="B2241" t="s">
        <v>4173</v>
      </c>
      <c r="C2241" s="1">
        <v>44083</v>
      </c>
      <c r="D2241" t="b">
        <v>1</v>
      </c>
      <c r="E2241" t="s">
        <v>10</v>
      </c>
      <c r="F2241">
        <v>1917</v>
      </c>
    </row>
    <row r="2242" spans="1:6" x14ac:dyDescent="0.25">
      <c r="A2242" t="s">
        <v>4174</v>
      </c>
      <c r="C2242" s="1">
        <v>44083</v>
      </c>
      <c r="D2242" t="b">
        <v>1</v>
      </c>
      <c r="E2242" t="s">
        <v>10</v>
      </c>
      <c r="F2242">
        <v>16280</v>
      </c>
    </row>
    <row r="2243" spans="1:6" x14ac:dyDescent="0.25">
      <c r="A2243" t="s">
        <v>4175</v>
      </c>
      <c r="C2243" s="1">
        <v>44083</v>
      </c>
      <c r="D2243" t="b">
        <v>1</v>
      </c>
      <c r="E2243" t="s">
        <v>10</v>
      </c>
      <c r="F2243">
        <v>1919</v>
      </c>
    </row>
    <row r="2244" spans="1:6" x14ac:dyDescent="0.25">
      <c r="A2244" t="s">
        <v>4176</v>
      </c>
      <c r="B2244" t="s">
        <v>4177</v>
      </c>
      <c r="C2244" s="1">
        <v>44083</v>
      </c>
      <c r="D2244" t="b">
        <v>1</v>
      </c>
      <c r="E2244" t="s">
        <v>10</v>
      </c>
      <c r="F2244">
        <v>15323</v>
      </c>
    </row>
    <row r="2245" spans="1:6" x14ac:dyDescent="0.25">
      <c r="A2245" t="s">
        <v>4178</v>
      </c>
      <c r="C2245" s="1">
        <v>44083</v>
      </c>
      <c r="D2245" t="b">
        <v>1</v>
      </c>
      <c r="E2245" t="s">
        <v>10</v>
      </c>
      <c r="F2245">
        <v>13827</v>
      </c>
    </row>
    <row r="2246" spans="1:6" x14ac:dyDescent="0.25">
      <c r="A2246" t="s">
        <v>4179</v>
      </c>
      <c r="C2246" s="1">
        <v>44083</v>
      </c>
      <c r="D2246" t="b">
        <v>1</v>
      </c>
      <c r="E2246" t="s">
        <v>10</v>
      </c>
      <c r="F2246">
        <v>12153</v>
      </c>
    </row>
    <row r="2247" spans="1:6" x14ac:dyDescent="0.25">
      <c r="A2247" t="s">
        <v>4180</v>
      </c>
      <c r="B2247" t="s">
        <v>4181</v>
      </c>
      <c r="C2247" s="1">
        <v>44083</v>
      </c>
      <c r="D2247" t="b">
        <v>0</v>
      </c>
      <c r="E2247" t="s">
        <v>10</v>
      </c>
      <c r="F2247">
        <v>17079</v>
      </c>
    </row>
    <row r="2248" spans="1:6" x14ac:dyDescent="0.25">
      <c r="A2248" t="s">
        <v>4182</v>
      </c>
      <c r="B2248" t="s">
        <v>4183</v>
      </c>
      <c r="C2248" s="1">
        <v>44083</v>
      </c>
      <c r="D2248" t="b">
        <v>1</v>
      </c>
      <c r="E2248" t="s">
        <v>10</v>
      </c>
      <c r="F2248">
        <v>1929</v>
      </c>
    </row>
    <row r="2249" spans="1:6" x14ac:dyDescent="0.25">
      <c r="A2249" t="s">
        <v>4184</v>
      </c>
      <c r="B2249" t="s">
        <v>4185</v>
      </c>
      <c r="C2249" s="1">
        <v>44083</v>
      </c>
      <c r="D2249" t="b">
        <v>1</v>
      </c>
      <c r="E2249" t="s">
        <v>10</v>
      </c>
      <c r="F2249">
        <v>1930</v>
      </c>
    </row>
    <row r="2250" spans="1:6" x14ac:dyDescent="0.25">
      <c r="A2250" t="s">
        <v>4186</v>
      </c>
      <c r="B2250" t="s">
        <v>4187</v>
      </c>
      <c r="C2250" s="1">
        <v>44083</v>
      </c>
      <c r="D2250" t="b">
        <v>1</v>
      </c>
      <c r="E2250" t="s">
        <v>10</v>
      </c>
      <c r="F2250">
        <v>1931</v>
      </c>
    </row>
    <row r="2251" spans="1:6" x14ac:dyDescent="0.25">
      <c r="A2251" t="s">
        <v>4188</v>
      </c>
      <c r="C2251" s="1">
        <v>44083</v>
      </c>
      <c r="D2251" t="b">
        <v>1</v>
      </c>
      <c r="E2251" t="s">
        <v>10</v>
      </c>
      <c r="F2251">
        <v>15584</v>
      </c>
    </row>
    <row r="2252" spans="1:6" x14ac:dyDescent="0.25">
      <c r="A2252" t="s">
        <v>4189</v>
      </c>
      <c r="C2252" s="1">
        <v>44083</v>
      </c>
      <c r="D2252" t="b">
        <v>1</v>
      </c>
      <c r="E2252" t="s">
        <v>10</v>
      </c>
      <c r="F2252">
        <v>15055</v>
      </c>
    </row>
    <row r="2253" spans="1:6" x14ac:dyDescent="0.25">
      <c r="A2253" t="s">
        <v>4190</v>
      </c>
      <c r="C2253" s="1">
        <v>44083</v>
      </c>
      <c r="D2253" t="b">
        <v>1</v>
      </c>
      <c r="E2253" t="s">
        <v>10</v>
      </c>
      <c r="F2253">
        <v>1932</v>
      </c>
    </row>
    <row r="2254" spans="1:6" x14ac:dyDescent="0.25">
      <c r="A2254" t="s">
        <v>4191</v>
      </c>
      <c r="B2254" t="s">
        <v>4192</v>
      </c>
      <c r="C2254" s="1">
        <v>44083</v>
      </c>
      <c r="D2254" t="b">
        <v>1</v>
      </c>
      <c r="E2254" t="s">
        <v>10</v>
      </c>
      <c r="F2254">
        <v>16173</v>
      </c>
    </row>
    <row r="2255" spans="1:6" x14ac:dyDescent="0.25">
      <c r="A2255" t="s">
        <v>4193</v>
      </c>
      <c r="B2255" t="s">
        <v>4194</v>
      </c>
      <c r="C2255" s="1">
        <v>44083</v>
      </c>
      <c r="D2255" t="b">
        <v>1</v>
      </c>
      <c r="E2255" t="s">
        <v>10</v>
      </c>
      <c r="F2255">
        <v>16520</v>
      </c>
    </row>
    <row r="2256" spans="1:6" x14ac:dyDescent="0.25">
      <c r="A2256" t="s">
        <v>4195</v>
      </c>
      <c r="B2256" t="s">
        <v>4196</v>
      </c>
      <c r="C2256" s="1">
        <v>44083</v>
      </c>
      <c r="D2256" t="b">
        <v>1</v>
      </c>
      <c r="E2256" t="s">
        <v>10</v>
      </c>
      <c r="F2256">
        <v>15193</v>
      </c>
    </row>
    <row r="2257" spans="1:6" x14ac:dyDescent="0.25">
      <c r="A2257" t="s">
        <v>4197</v>
      </c>
      <c r="B2257" t="s">
        <v>4198</v>
      </c>
      <c r="C2257" s="1">
        <v>44083</v>
      </c>
      <c r="D2257" t="b">
        <v>1</v>
      </c>
      <c r="E2257" t="s">
        <v>10</v>
      </c>
      <c r="F2257">
        <v>12288</v>
      </c>
    </row>
    <row r="2258" spans="1:6" x14ac:dyDescent="0.25">
      <c r="A2258" t="s">
        <v>4199</v>
      </c>
      <c r="B2258" t="s">
        <v>4200</v>
      </c>
      <c r="C2258" s="1">
        <v>44083</v>
      </c>
      <c r="D2258" t="b">
        <v>1</v>
      </c>
      <c r="E2258" t="s">
        <v>10</v>
      </c>
      <c r="F2258">
        <v>12865</v>
      </c>
    </row>
    <row r="2259" spans="1:6" x14ac:dyDescent="0.25">
      <c r="A2259" t="s">
        <v>4201</v>
      </c>
      <c r="B2259" t="s">
        <v>4202</v>
      </c>
      <c r="C2259" s="1">
        <v>44083</v>
      </c>
      <c r="D2259" t="b">
        <v>1</v>
      </c>
      <c r="E2259" t="s">
        <v>10</v>
      </c>
      <c r="F2259">
        <v>1933</v>
      </c>
    </row>
    <row r="2260" spans="1:6" x14ac:dyDescent="0.25">
      <c r="A2260" t="s">
        <v>4203</v>
      </c>
      <c r="B2260" t="s">
        <v>4204</v>
      </c>
      <c r="C2260" s="1">
        <v>44083</v>
      </c>
      <c r="D2260" t="b">
        <v>1</v>
      </c>
      <c r="E2260" t="s">
        <v>10</v>
      </c>
      <c r="F2260">
        <v>1935</v>
      </c>
    </row>
    <row r="2261" spans="1:6" x14ac:dyDescent="0.25">
      <c r="A2261" t="s">
        <v>4205</v>
      </c>
      <c r="B2261" t="s">
        <v>4206</v>
      </c>
      <c r="C2261" s="1">
        <v>44083</v>
      </c>
      <c r="D2261" t="b">
        <v>1</v>
      </c>
      <c r="E2261" t="s">
        <v>10</v>
      </c>
      <c r="F2261">
        <v>1936</v>
      </c>
    </row>
    <row r="2262" spans="1:6" x14ac:dyDescent="0.25">
      <c r="A2262" t="s">
        <v>4207</v>
      </c>
      <c r="B2262" t="s">
        <v>4208</v>
      </c>
      <c r="C2262" s="1">
        <v>44083</v>
      </c>
      <c r="D2262" t="b">
        <v>1</v>
      </c>
      <c r="E2262" t="s">
        <v>10</v>
      </c>
      <c r="F2262">
        <v>1938</v>
      </c>
    </row>
    <row r="2263" spans="1:6" x14ac:dyDescent="0.25">
      <c r="A2263" t="s">
        <v>4209</v>
      </c>
      <c r="B2263" t="s">
        <v>4210</v>
      </c>
      <c r="C2263" s="1">
        <v>44083</v>
      </c>
      <c r="D2263" t="b">
        <v>1</v>
      </c>
      <c r="E2263" t="s">
        <v>10</v>
      </c>
      <c r="F2263">
        <v>14985</v>
      </c>
    </row>
    <row r="2264" spans="1:6" x14ac:dyDescent="0.25">
      <c r="A2264" t="s">
        <v>4211</v>
      </c>
      <c r="B2264" t="s">
        <v>4212</v>
      </c>
      <c r="C2264" s="1">
        <v>44083</v>
      </c>
      <c r="D2264" t="b">
        <v>1</v>
      </c>
      <c r="E2264" t="s">
        <v>10</v>
      </c>
      <c r="F2264">
        <v>1940</v>
      </c>
    </row>
    <row r="2265" spans="1:6" x14ac:dyDescent="0.25">
      <c r="A2265" t="s">
        <v>4213</v>
      </c>
      <c r="B2265" t="s">
        <v>4214</v>
      </c>
      <c r="C2265" s="1">
        <v>44083</v>
      </c>
      <c r="D2265" t="b">
        <v>1</v>
      </c>
      <c r="E2265" t="s">
        <v>10</v>
      </c>
      <c r="F2265">
        <v>14986</v>
      </c>
    </row>
    <row r="2266" spans="1:6" x14ac:dyDescent="0.25">
      <c r="A2266" t="s">
        <v>4215</v>
      </c>
      <c r="B2266" t="s">
        <v>4216</v>
      </c>
      <c r="C2266" s="1">
        <v>44083</v>
      </c>
      <c r="D2266" t="b">
        <v>1</v>
      </c>
      <c r="E2266" t="s">
        <v>10</v>
      </c>
      <c r="F2266">
        <v>1942</v>
      </c>
    </row>
    <row r="2267" spans="1:6" x14ac:dyDescent="0.25">
      <c r="A2267" t="s">
        <v>4217</v>
      </c>
      <c r="B2267" t="s">
        <v>4218</v>
      </c>
      <c r="C2267" s="1">
        <v>44083</v>
      </c>
      <c r="D2267" t="b">
        <v>1</v>
      </c>
      <c r="E2267" t="s">
        <v>10</v>
      </c>
      <c r="F2267">
        <v>1943</v>
      </c>
    </row>
    <row r="2268" spans="1:6" x14ac:dyDescent="0.25">
      <c r="A2268" t="s">
        <v>4219</v>
      </c>
      <c r="B2268" t="s">
        <v>4220</v>
      </c>
      <c r="C2268" s="1">
        <v>44083</v>
      </c>
      <c r="D2268" t="b">
        <v>1</v>
      </c>
      <c r="E2268" t="s">
        <v>10</v>
      </c>
      <c r="F2268">
        <v>1944</v>
      </c>
    </row>
    <row r="2269" spans="1:6" x14ac:dyDescent="0.25">
      <c r="A2269" t="s">
        <v>4221</v>
      </c>
      <c r="B2269" t="s">
        <v>4222</v>
      </c>
      <c r="C2269" s="1">
        <v>44083</v>
      </c>
      <c r="D2269" t="b">
        <v>1</v>
      </c>
      <c r="E2269" t="s">
        <v>10</v>
      </c>
      <c r="F2269">
        <v>1948</v>
      </c>
    </row>
    <row r="2270" spans="1:6" x14ac:dyDescent="0.25">
      <c r="A2270" t="s">
        <v>4223</v>
      </c>
      <c r="B2270" t="s">
        <v>4224</v>
      </c>
      <c r="C2270" s="1">
        <v>44083</v>
      </c>
      <c r="D2270" t="b">
        <v>1</v>
      </c>
      <c r="E2270" t="s">
        <v>10</v>
      </c>
      <c r="F2270">
        <v>9331</v>
      </c>
    </row>
    <row r="2271" spans="1:6" x14ac:dyDescent="0.25">
      <c r="A2271" t="s">
        <v>4225</v>
      </c>
      <c r="B2271" t="s">
        <v>4226</v>
      </c>
      <c r="C2271" s="1">
        <v>44083</v>
      </c>
      <c r="D2271" t="b">
        <v>1</v>
      </c>
      <c r="E2271" t="s">
        <v>10</v>
      </c>
      <c r="F2271">
        <v>16420</v>
      </c>
    </row>
    <row r="2272" spans="1:6" x14ac:dyDescent="0.25">
      <c r="A2272" t="s">
        <v>4227</v>
      </c>
      <c r="B2272" t="s">
        <v>4228</v>
      </c>
      <c r="C2272" s="1">
        <v>44083</v>
      </c>
      <c r="D2272" t="b">
        <v>1</v>
      </c>
      <c r="E2272" t="s">
        <v>10</v>
      </c>
      <c r="F2272">
        <v>13965</v>
      </c>
    </row>
    <row r="2273" spans="1:6" x14ac:dyDescent="0.25">
      <c r="A2273" t="s">
        <v>4229</v>
      </c>
      <c r="B2273" t="s">
        <v>4230</v>
      </c>
      <c r="C2273" s="1">
        <v>44083</v>
      </c>
      <c r="D2273" t="b">
        <v>1</v>
      </c>
      <c r="E2273" t="s">
        <v>10</v>
      </c>
      <c r="F2273">
        <v>16421</v>
      </c>
    </row>
    <row r="2274" spans="1:6" x14ac:dyDescent="0.25">
      <c r="A2274" t="s">
        <v>4231</v>
      </c>
      <c r="B2274" t="s">
        <v>4232</v>
      </c>
      <c r="C2274" s="1">
        <v>44083</v>
      </c>
      <c r="D2274" t="b">
        <v>1</v>
      </c>
      <c r="E2274" t="s">
        <v>10</v>
      </c>
      <c r="F2274">
        <v>11423</v>
      </c>
    </row>
    <row r="2275" spans="1:6" x14ac:dyDescent="0.25">
      <c r="A2275" t="s">
        <v>4233</v>
      </c>
      <c r="B2275" t="s">
        <v>4234</v>
      </c>
      <c r="C2275" s="1">
        <v>44083</v>
      </c>
      <c r="D2275" t="b">
        <v>1</v>
      </c>
      <c r="E2275" t="s">
        <v>10</v>
      </c>
      <c r="F2275">
        <v>12289</v>
      </c>
    </row>
    <row r="2276" spans="1:6" x14ac:dyDescent="0.25">
      <c r="A2276" t="s">
        <v>4235</v>
      </c>
      <c r="B2276" t="s">
        <v>4236</v>
      </c>
      <c r="C2276" s="1">
        <v>44083</v>
      </c>
      <c r="D2276" t="b">
        <v>1</v>
      </c>
      <c r="E2276" t="s">
        <v>10</v>
      </c>
      <c r="F2276">
        <v>1950</v>
      </c>
    </row>
    <row r="2277" spans="1:6" x14ac:dyDescent="0.25">
      <c r="A2277" t="s">
        <v>4237</v>
      </c>
      <c r="B2277" t="s">
        <v>4238</v>
      </c>
      <c r="C2277" s="1">
        <v>44083</v>
      </c>
      <c r="D2277" t="b">
        <v>1</v>
      </c>
      <c r="E2277" t="s">
        <v>10</v>
      </c>
      <c r="F2277">
        <v>14812</v>
      </c>
    </row>
    <row r="2278" spans="1:6" x14ac:dyDescent="0.25">
      <c r="A2278" t="s">
        <v>4239</v>
      </c>
      <c r="B2278" t="s">
        <v>4240</v>
      </c>
      <c r="C2278" s="1">
        <v>44083</v>
      </c>
      <c r="D2278" t="b">
        <v>1</v>
      </c>
      <c r="E2278" t="s">
        <v>10</v>
      </c>
      <c r="F2278">
        <v>14907</v>
      </c>
    </row>
    <row r="2279" spans="1:6" x14ac:dyDescent="0.25">
      <c r="A2279" t="s">
        <v>4241</v>
      </c>
      <c r="B2279" t="s">
        <v>4242</v>
      </c>
      <c r="C2279" s="1">
        <v>44083</v>
      </c>
      <c r="D2279" t="b">
        <v>1</v>
      </c>
      <c r="E2279" t="s">
        <v>10</v>
      </c>
      <c r="F2279">
        <v>7280</v>
      </c>
    </row>
    <row r="2280" spans="1:6" x14ac:dyDescent="0.25">
      <c r="A2280" t="s">
        <v>4243</v>
      </c>
      <c r="B2280" t="s">
        <v>4244</v>
      </c>
      <c r="C2280" s="1">
        <v>44083</v>
      </c>
      <c r="D2280" t="b">
        <v>1</v>
      </c>
      <c r="E2280" t="s">
        <v>10</v>
      </c>
      <c r="F2280">
        <v>14813</v>
      </c>
    </row>
    <row r="2281" spans="1:6" x14ac:dyDescent="0.25">
      <c r="A2281" t="s">
        <v>4245</v>
      </c>
      <c r="B2281" t="s">
        <v>4246</v>
      </c>
      <c r="C2281" s="1">
        <v>44083</v>
      </c>
      <c r="D2281" t="b">
        <v>1</v>
      </c>
      <c r="E2281" t="s">
        <v>10</v>
      </c>
      <c r="F2281">
        <v>6764</v>
      </c>
    </row>
    <row r="2282" spans="1:6" x14ac:dyDescent="0.25">
      <c r="A2282" t="s">
        <v>4247</v>
      </c>
      <c r="B2282" t="s">
        <v>4248</v>
      </c>
      <c r="C2282" s="1">
        <v>44083</v>
      </c>
      <c r="D2282" t="b">
        <v>1</v>
      </c>
      <c r="E2282" t="s">
        <v>10</v>
      </c>
      <c r="F2282">
        <v>16422</v>
      </c>
    </row>
    <row r="2283" spans="1:6" x14ac:dyDescent="0.25">
      <c r="A2283" t="s">
        <v>4249</v>
      </c>
      <c r="B2283" t="s">
        <v>4250</v>
      </c>
      <c r="C2283" s="1">
        <v>44083</v>
      </c>
      <c r="D2283" t="b">
        <v>1</v>
      </c>
      <c r="E2283" t="s">
        <v>10</v>
      </c>
      <c r="F2283">
        <v>1954</v>
      </c>
    </row>
    <row r="2284" spans="1:6" x14ac:dyDescent="0.25">
      <c r="A2284" t="s">
        <v>4251</v>
      </c>
      <c r="B2284" t="s">
        <v>4252</v>
      </c>
      <c r="C2284" s="1">
        <v>44083</v>
      </c>
      <c r="D2284" t="b">
        <v>1</v>
      </c>
      <c r="E2284" t="s">
        <v>10</v>
      </c>
      <c r="F2284">
        <v>1955</v>
      </c>
    </row>
    <row r="2285" spans="1:6" x14ac:dyDescent="0.25">
      <c r="A2285" t="s">
        <v>4253</v>
      </c>
      <c r="C2285" s="1">
        <v>44083</v>
      </c>
      <c r="D2285" t="b">
        <v>1</v>
      </c>
      <c r="E2285" t="s">
        <v>10</v>
      </c>
      <c r="F2285">
        <v>1957</v>
      </c>
    </row>
    <row r="2286" spans="1:6" x14ac:dyDescent="0.25">
      <c r="A2286" t="s">
        <v>4254</v>
      </c>
      <c r="C2286" s="1">
        <v>44083</v>
      </c>
      <c r="D2286" t="b">
        <v>1</v>
      </c>
      <c r="E2286" t="s">
        <v>10</v>
      </c>
      <c r="F2286">
        <v>16551</v>
      </c>
    </row>
    <row r="2287" spans="1:6" x14ac:dyDescent="0.25">
      <c r="A2287" t="s">
        <v>4255</v>
      </c>
      <c r="B2287" t="s">
        <v>4256</v>
      </c>
      <c r="C2287" s="1">
        <v>44083</v>
      </c>
      <c r="D2287" t="b">
        <v>1</v>
      </c>
      <c r="E2287" t="s">
        <v>10</v>
      </c>
      <c r="F2287">
        <v>12477</v>
      </c>
    </row>
    <row r="2288" spans="1:6" x14ac:dyDescent="0.25">
      <c r="A2288" t="s">
        <v>4257</v>
      </c>
      <c r="B2288" t="s">
        <v>4258</v>
      </c>
      <c r="C2288" s="1">
        <v>44083</v>
      </c>
      <c r="D2288" t="b">
        <v>1</v>
      </c>
      <c r="E2288" t="s">
        <v>10</v>
      </c>
      <c r="F2288">
        <v>1959</v>
      </c>
    </row>
    <row r="2289" spans="1:6" x14ac:dyDescent="0.25">
      <c r="A2289" t="s">
        <v>4259</v>
      </c>
      <c r="B2289" t="s">
        <v>4260</v>
      </c>
      <c r="C2289" s="1">
        <v>44083</v>
      </c>
      <c r="D2289" t="b">
        <v>1</v>
      </c>
      <c r="E2289" t="s">
        <v>10</v>
      </c>
      <c r="F2289">
        <v>1960</v>
      </c>
    </row>
    <row r="2290" spans="1:6" x14ac:dyDescent="0.25">
      <c r="A2290" t="s">
        <v>4261</v>
      </c>
      <c r="B2290" t="s">
        <v>4262</v>
      </c>
      <c r="C2290" s="1">
        <v>44083</v>
      </c>
      <c r="D2290" t="b">
        <v>1</v>
      </c>
      <c r="E2290" t="s">
        <v>10</v>
      </c>
      <c r="F2290">
        <v>7608</v>
      </c>
    </row>
    <row r="2291" spans="1:6" x14ac:dyDescent="0.25">
      <c r="A2291" t="s">
        <v>4263</v>
      </c>
      <c r="B2291" t="s">
        <v>4264</v>
      </c>
      <c r="C2291" s="1">
        <v>44083</v>
      </c>
      <c r="D2291" t="b">
        <v>1</v>
      </c>
      <c r="E2291" t="s">
        <v>10</v>
      </c>
      <c r="F2291">
        <v>8018</v>
      </c>
    </row>
    <row r="2292" spans="1:6" x14ac:dyDescent="0.25">
      <c r="A2292" t="s">
        <v>4265</v>
      </c>
      <c r="B2292" t="s">
        <v>4266</v>
      </c>
      <c r="C2292" s="1">
        <v>44083</v>
      </c>
      <c r="D2292" t="b">
        <v>1</v>
      </c>
      <c r="E2292" t="s">
        <v>10</v>
      </c>
      <c r="F2292">
        <v>1961</v>
      </c>
    </row>
    <row r="2293" spans="1:6" x14ac:dyDescent="0.25">
      <c r="A2293" t="s">
        <v>4267</v>
      </c>
      <c r="B2293" t="s">
        <v>4268</v>
      </c>
      <c r="C2293" s="1">
        <v>44083</v>
      </c>
      <c r="D2293" t="b">
        <v>1</v>
      </c>
      <c r="E2293" t="s">
        <v>10</v>
      </c>
      <c r="F2293">
        <v>1962</v>
      </c>
    </row>
    <row r="2294" spans="1:6" x14ac:dyDescent="0.25">
      <c r="A2294" t="s">
        <v>4269</v>
      </c>
      <c r="B2294" t="s">
        <v>4270</v>
      </c>
      <c r="C2294" s="1">
        <v>44083</v>
      </c>
      <c r="D2294" t="b">
        <v>1</v>
      </c>
      <c r="E2294" t="s">
        <v>10</v>
      </c>
      <c r="F2294">
        <v>1963</v>
      </c>
    </row>
    <row r="2295" spans="1:6" x14ac:dyDescent="0.25">
      <c r="A2295" t="s">
        <v>4271</v>
      </c>
      <c r="B2295" t="s">
        <v>4272</v>
      </c>
      <c r="C2295" s="1">
        <v>44083</v>
      </c>
      <c r="D2295" t="b">
        <v>1</v>
      </c>
      <c r="E2295" t="s">
        <v>10</v>
      </c>
      <c r="F2295">
        <v>1965</v>
      </c>
    </row>
    <row r="2296" spans="1:6" x14ac:dyDescent="0.25">
      <c r="A2296" t="s">
        <v>4273</v>
      </c>
      <c r="B2296" t="s">
        <v>4274</v>
      </c>
      <c r="C2296" s="1">
        <v>44083</v>
      </c>
      <c r="D2296" t="b">
        <v>1</v>
      </c>
      <c r="E2296" t="s">
        <v>10</v>
      </c>
      <c r="F2296">
        <v>1967</v>
      </c>
    </row>
    <row r="2297" spans="1:6" x14ac:dyDescent="0.25">
      <c r="A2297" t="s">
        <v>4275</v>
      </c>
      <c r="B2297" t="s">
        <v>4276</v>
      </c>
      <c r="C2297" s="1">
        <v>44083</v>
      </c>
      <c r="D2297" t="b">
        <v>1</v>
      </c>
      <c r="E2297" t="s">
        <v>10</v>
      </c>
      <c r="F2297">
        <v>1968</v>
      </c>
    </row>
    <row r="2298" spans="1:6" x14ac:dyDescent="0.25">
      <c r="A2298" t="s">
        <v>4277</v>
      </c>
      <c r="B2298" t="s">
        <v>4278</v>
      </c>
      <c r="C2298" s="1">
        <v>44083</v>
      </c>
      <c r="D2298" t="b">
        <v>1</v>
      </c>
      <c r="E2298" t="s">
        <v>10</v>
      </c>
      <c r="F2298">
        <v>1969</v>
      </c>
    </row>
    <row r="2299" spans="1:6" x14ac:dyDescent="0.25">
      <c r="A2299" t="s">
        <v>4279</v>
      </c>
      <c r="B2299" t="s">
        <v>4280</v>
      </c>
      <c r="C2299" s="1">
        <v>44083</v>
      </c>
      <c r="D2299" t="b">
        <v>1</v>
      </c>
      <c r="E2299" t="s">
        <v>10</v>
      </c>
      <c r="F2299">
        <v>15646</v>
      </c>
    </row>
    <row r="2300" spans="1:6" x14ac:dyDescent="0.25">
      <c r="A2300" t="s">
        <v>4281</v>
      </c>
      <c r="B2300" t="s">
        <v>4282</v>
      </c>
      <c r="C2300" s="1">
        <v>44083</v>
      </c>
      <c r="D2300" t="b">
        <v>1</v>
      </c>
      <c r="E2300" t="s">
        <v>10</v>
      </c>
      <c r="F2300">
        <v>16877</v>
      </c>
    </row>
    <row r="2301" spans="1:6" x14ac:dyDescent="0.25">
      <c r="A2301" t="s">
        <v>4283</v>
      </c>
      <c r="B2301" t="s">
        <v>4284</v>
      </c>
      <c r="C2301" s="1">
        <v>44083</v>
      </c>
      <c r="D2301" t="b">
        <v>1</v>
      </c>
      <c r="E2301" t="s">
        <v>10</v>
      </c>
      <c r="F2301">
        <v>16806</v>
      </c>
    </row>
    <row r="2302" spans="1:6" x14ac:dyDescent="0.25">
      <c r="A2302" t="s">
        <v>4285</v>
      </c>
      <c r="B2302" t="s">
        <v>4286</v>
      </c>
      <c r="C2302" s="1">
        <v>44083</v>
      </c>
      <c r="D2302" t="b">
        <v>1</v>
      </c>
      <c r="E2302" t="s">
        <v>10</v>
      </c>
      <c r="F2302">
        <v>15545</v>
      </c>
    </row>
    <row r="2303" spans="1:6" x14ac:dyDescent="0.25">
      <c r="A2303" t="s">
        <v>4287</v>
      </c>
      <c r="B2303" t="s">
        <v>4288</v>
      </c>
      <c r="C2303" s="1">
        <v>44083</v>
      </c>
      <c r="D2303" t="b">
        <v>1</v>
      </c>
      <c r="E2303" t="s">
        <v>10</v>
      </c>
      <c r="F2303">
        <v>1972</v>
      </c>
    </row>
    <row r="2304" spans="1:6" x14ac:dyDescent="0.25">
      <c r="A2304" t="s">
        <v>4289</v>
      </c>
      <c r="B2304" t="s">
        <v>4290</v>
      </c>
      <c r="C2304" s="1">
        <v>44083</v>
      </c>
      <c r="D2304" t="b">
        <v>1</v>
      </c>
      <c r="E2304" t="s">
        <v>10</v>
      </c>
      <c r="F2304">
        <v>1975</v>
      </c>
    </row>
    <row r="2305" spans="1:6" x14ac:dyDescent="0.25">
      <c r="A2305" t="s">
        <v>4291</v>
      </c>
      <c r="B2305" t="s">
        <v>4292</v>
      </c>
      <c r="C2305" s="1">
        <v>44083</v>
      </c>
      <c r="D2305" t="b">
        <v>1</v>
      </c>
      <c r="E2305" t="s">
        <v>10</v>
      </c>
      <c r="F2305">
        <v>7687</v>
      </c>
    </row>
    <row r="2306" spans="1:6" x14ac:dyDescent="0.25">
      <c r="A2306" t="s">
        <v>4293</v>
      </c>
      <c r="B2306" t="s">
        <v>4294</v>
      </c>
      <c r="C2306" s="1">
        <v>44083</v>
      </c>
      <c r="D2306" t="b">
        <v>1</v>
      </c>
      <c r="E2306" t="s">
        <v>10</v>
      </c>
      <c r="F2306">
        <v>1976</v>
      </c>
    </row>
    <row r="2307" spans="1:6" x14ac:dyDescent="0.25">
      <c r="A2307" t="s">
        <v>4295</v>
      </c>
      <c r="B2307" t="s">
        <v>4296</v>
      </c>
      <c r="C2307" s="1">
        <v>44083</v>
      </c>
      <c r="D2307" t="b">
        <v>1</v>
      </c>
      <c r="E2307" t="s">
        <v>10</v>
      </c>
      <c r="F2307">
        <v>1977</v>
      </c>
    </row>
    <row r="2308" spans="1:6" x14ac:dyDescent="0.25">
      <c r="A2308" t="s">
        <v>4297</v>
      </c>
      <c r="B2308" t="s">
        <v>4298</v>
      </c>
      <c r="C2308" s="1">
        <v>44083</v>
      </c>
      <c r="D2308" t="b">
        <v>1</v>
      </c>
      <c r="E2308" t="s">
        <v>10</v>
      </c>
      <c r="F2308">
        <v>1978</v>
      </c>
    </row>
    <row r="2309" spans="1:6" x14ac:dyDescent="0.25">
      <c r="A2309" t="s">
        <v>4299</v>
      </c>
      <c r="C2309" s="1">
        <v>44083</v>
      </c>
      <c r="D2309" t="b">
        <v>1</v>
      </c>
      <c r="E2309" t="s">
        <v>10</v>
      </c>
      <c r="F2309">
        <v>1980</v>
      </c>
    </row>
    <row r="2310" spans="1:6" x14ac:dyDescent="0.25">
      <c r="A2310" t="s">
        <v>4300</v>
      </c>
      <c r="B2310" t="s">
        <v>4301</v>
      </c>
      <c r="C2310" s="1">
        <v>44083</v>
      </c>
      <c r="D2310" t="b">
        <v>1</v>
      </c>
      <c r="E2310" t="s">
        <v>10</v>
      </c>
      <c r="F2310">
        <v>1982</v>
      </c>
    </row>
    <row r="2311" spans="1:6" x14ac:dyDescent="0.25">
      <c r="A2311" t="s">
        <v>4302</v>
      </c>
      <c r="C2311" s="1">
        <v>44083</v>
      </c>
      <c r="D2311" t="b">
        <v>1</v>
      </c>
      <c r="E2311" t="s">
        <v>10</v>
      </c>
      <c r="F2311">
        <v>1983</v>
      </c>
    </row>
    <row r="2312" spans="1:6" x14ac:dyDescent="0.25">
      <c r="A2312" t="s">
        <v>4303</v>
      </c>
      <c r="B2312" t="s">
        <v>4304</v>
      </c>
      <c r="C2312" s="1">
        <v>44083</v>
      </c>
      <c r="D2312" t="b">
        <v>1</v>
      </c>
      <c r="E2312" t="s">
        <v>10</v>
      </c>
      <c r="F2312">
        <v>14304</v>
      </c>
    </row>
    <row r="2313" spans="1:6" x14ac:dyDescent="0.25">
      <c r="A2313" t="s">
        <v>4305</v>
      </c>
      <c r="B2313" t="s">
        <v>4306</v>
      </c>
      <c r="C2313" s="1">
        <v>44083</v>
      </c>
      <c r="D2313" t="b">
        <v>1</v>
      </c>
      <c r="E2313" t="s">
        <v>10</v>
      </c>
      <c r="F2313">
        <v>15167</v>
      </c>
    </row>
    <row r="2314" spans="1:6" x14ac:dyDescent="0.25">
      <c r="A2314" t="s">
        <v>4307</v>
      </c>
      <c r="C2314" s="1">
        <v>44083</v>
      </c>
      <c r="D2314" t="b">
        <v>1</v>
      </c>
      <c r="E2314" t="s">
        <v>10</v>
      </c>
      <c r="F2314">
        <v>11703</v>
      </c>
    </row>
    <row r="2315" spans="1:6" x14ac:dyDescent="0.25">
      <c r="A2315" t="s">
        <v>4308</v>
      </c>
      <c r="B2315" t="s">
        <v>4309</v>
      </c>
      <c r="C2315" s="1">
        <v>44083</v>
      </c>
      <c r="D2315" t="b">
        <v>1</v>
      </c>
      <c r="E2315" t="s">
        <v>10</v>
      </c>
      <c r="F2315">
        <v>16835</v>
      </c>
    </row>
    <row r="2316" spans="1:6" x14ac:dyDescent="0.25">
      <c r="A2316" t="s">
        <v>4310</v>
      </c>
      <c r="B2316" t="s">
        <v>4311</v>
      </c>
      <c r="C2316" s="1">
        <v>44083</v>
      </c>
      <c r="D2316" t="b">
        <v>1</v>
      </c>
      <c r="E2316" t="s">
        <v>10</v>
      </c>
      <c r="F2316">
        <v>16836</v>
      </c>
    </row>
    <row r="2317" spans="1:6" x14ac:dyDescent="0.25">
      <c r="A2317" t="s">
        <v>4312</v>
      </c>
      <c r="B2317" t="s">
        <v>4313</v>
      </c>
      <c r="C2317" s="1">
        <v>44083</v>
      </c>
      <c r="D2317" t="b">
        <v>1</v>
      </c>
      <c r="E2317" t="s">
        <v>10</v>
      </c>
      <c r="F2317">
        <v>16837</v>
      </c>
    </row>
    <row r="2318" spans="1:6" x14ac:dyDescent="0.25">
      <c r="A2318" t="s">
        <v>4314</v>
      </c>
      <c r="B2318" t="s">
        <v>4315</v>
      </c>
      <c r="C2318" s="1">
        <v>44083</v>
      </c>
      <c r="D2318" t="b">
        <v>1</v>
      </c>
      <c r="E2318" t="s">
        <v>10</v>
      </c>
      <c r="F2318">
        <v>16838</v>
      </c>
    </row>
    <row r="2319" spans="1:6" x14ac:dyDescent="0.25">
      <c r="A2319" t="s">
        <v>4316</v>
      </c>
      <c r="B2319" t="s">
        <v>4317</v>
      </c>
      <c r="C2319" s="1">
        <v>44083</v>
      </c>
      <c r="D2319" t="b">
        <v>1</v>
      </c>
      <c r="E2319" t="s">
        <v>10</v>
      </c>
      <c r="F2319">
        <v>1986</v>
      </c>
    </row>
    <row r="2320" spans="1:6" x14ac:dyDescent="0.25">
      <c r="A2320" t="s">
        <v>4318</v>
      </c>
      <c r="B2320" t="s">
        <v>4319</v>
      </c>
      <c r="C2320" s="1">
        <v>44083</v>
      </c>
      <c r="D2320" t="b">
        <v>1</v>
      </c>
      <c r="E2320" t="s">
        <v>10</v>
      </c>
      <c r="F2320">
        <v>8979</v>
      </c>
    </row>
    <row r="2321" spans="1:6" x14ac:dyDescent="0.25">
      <c r="A2321" t="s">
        <v>4320</v>
      </c>
      <c r="B2321" t="s">
        <v>4321</v>
      </c>
      <c r="C2321" s="1">
        <v>44083</v>
      </c>
      <c r="D2321" t="b">
        <v>1</v>
      </c>
      <c r="E2321" t="s">
        <v>10</v>
      </c>
      <c r="F2321">
        <v>14989</v>
      </c>
    </row>
    <row r="2322" spans="1:6" x14ac:dyDescent="0.25">
      <c r="A2322" t="s">
        <v>4322</v>
      </c>
      <c r="B2322" t="s">
        <v>4323</v>
      </c>
      <c r="C2322" s="1">
        <v>44083</v>
      </c>
      <c r="D2322" t="b">
        <v>1</v>
      </c>
      <c r="E2322" t="s">
        <v>10</v>
      </c>
      <c r="F2322">
        <v>13247</v>
      </c>
    </row>
    <row r="2323" spans="1:6" x14ac:dyDescent="0.25">
      <c r="A2323" t="s">
        <v>4324</v>
      </c>
      <c r="B2323" t="s">
        <v>4325</v>
      </c>
      <c r="C2323" s="1">
        <v>44083</v>
      </c>
      <c r="D2323" t="b">
        <v>1</v>
      </c>
      <c r="E2323" t="s">
        <v>10</v>
      </c>
      <c r="F2323">
        <v>1987</v>
      </c>
    </row>
    <row r="2324" spans="1:6" x14ac:dyDescent="0.25">
      <c r="A2324" t="s">
        <v>4326</v>
      </c>
      <c r="B2324" t="s">
        <v>4327</v>
      </c>
      <c r="C2324" s="1">
        <v>44083</v>
      </c>
      <c r="D2324" t="b">
        <v>1</v>
      </c>
      <c r="E2324" t="s">
        <v>10</v>
      </c>
      <c r="F2324">
        <v>14948</v>
      </c>
    </row>
    <row r="2325" spans="1:6" x14ac:dyDescent="0.25">
      <c r="A2325" t="s">
        <v>4328</v>
      </c>
      <c r="B2325" t="s">
        <v>4329</v>
      </c>
      <c r="C2325" s="1">
        <v>44083</v>
      </c>
      <c r="D2325" t="b">
        <v>1</v>
      </c>
      <c r="E2325" t="s">
        <v>10</v>
      </c>
      <c r="F2325">
        <v>1988</v>
      </c>
    </row>
    <row r="2326" spans="1:6" x14ac:dyDescent="0.25">
      <c r="A2326" t="s">
        <v>4330</v>
      </c>
      <c r="C2326" s="1">
        <v>44083</v>
      </c>
      <c r="D2326" t="b">
        <v>1</v>
      </c>
      <c r="E2326" t="s">
        <v>10</v>
      </c>
      <c r="F2326">
        <v>11145</v>
      </c>
    </row>
    <row r="2327" spans="1:6" x14ac:dyDescent="0.25">
      <c r="A2327" t="s">
        <v>4331</v>
      </c>
      <c r="B2327" t="s">
        <v>4332</v>
      </c>
      <c r="C2327" s="1">
        <v>44083</v>
      </c>
      <c r="D2327" t="b">
        <v>1</v>
      </c>
      <c r="E2327" t="s">
        <v>10</v>
      </c>
      <c r="F2327">
        <v>1989</v>
      </c>
    </row>
    <row r="2328" spans="1:6" x14ac:dyDescent="0.25">
      <c r="A2328" t="s">
        <v>4333</v>
      </c>
      <c r="B2328" t="s">
        <v>4334</v>
      </c>
      <c r="C2328" s="1">
        <v>44083</v>
      </c>
      <c r="D2328" t="b">
        <v>1</v>
      </c>
      <c r="E2328" t="s">
        <v>10</v>
      </c>
      <c r="F2328">
        <v>1990</v>
      </c>
    </row>
    <row r="2329" spans="1:6" x14ac:dyDescent="0.25">
      <c r="A2329" t="s">
        <v>4335</v>
      </c>
      <c r="B2329" t="s">
        <v>4336</v>
      </c>
      <c r="C2329" s="1">
        <v>44083</v>
      </c>
      <c r="D2329" t="b">
        <v>1</v>
      </c>
      <c r="E2329" t="s">
        <v>10</v>
      </c>
      <c r="F2329">
        <v>15261</v>
      </c>
    </row>
    <row r="2330" spans="1:6" x14ac:dyDescent="0.25">
      <c r="A2330" t="s">
        <v>4337</v>
      </c>
      <c r="B2330" t="s">
        <v>4338</v>
      </c>
      <c r="C2330" s="1">
        <v>44083</v>
      </c>
      <c r="D2330" t="b">
        <v>0</v>
      </c>
      <c r="E2330" t="s">
        <v>10</v>
      </c>
      <c r="F2330">
        <v>12383</v>
      </c>
    </row>
    <row r="2331" spans="1:6" x14ac:dyDescent="0.25">
      <c r="A2331" t="s">
        <v>4339</v>
      </c>
      <c r="B2331" t="s">
        <v>4340</v>
      </c>
      <c r="C2331" s="1">
        <v>44083</v>
      </c>
      <c r="D2331" t="b">
        <v>1</v>
      </c>
      <c r="E2331" t="s">
        <v>10</v>
      </c>
      <c r="F2331">
        <v>1991</v>
      </c>
    </row>
    <row r="2332" spans="1:6" x14ac:dyDescent="0.25">
      <c r="A2332" t="s">
        <v>4341</v>
      </c>
      <c r="B2332" t="s">
        <v>4342</v>
      </c>
      <c r="C2332" s="1">
        <v>44083</v>
      </c>
      <c r="D2332" t="b">
        <v>1</v>
      </c>
      <c r="E2332" t="s">
        <v>10</v>
      </c>
      <c r="F2332">
        <v>1992</v>
      </c>
    </row>
    <row r="2333" spans="1:6" x14ac:dyDescent="0.25">
      <c r="A2333" t="s">
        <v>4343</v>
      </c>
      <c r="B2333" t="s">
        <v>4344</v>
      </c>
      <c r="C2333" s="1">
        <v>44083</v>
      </c>
      <c r="D2333" t="b">
        <v>1</v>
      </c>
      <c r="E2333" t="s">
        <v>10</v>
      </c>
      <c r="F2333">
        <v>16845</v>
      </c>
    </row>
    <row r="2334" spans="1:6" x14ac:dyDescent="0.25">
      <c r="A2334" t="s">
        <v>4345</v>
      </c>
      <c r="B2334" t="s">
        <v>4346</v>
      </c>
      <c r="C2334" s="1">
        <v>44083</v>
      </c>
      <c r="D2334" t="b">
        <v>1</v>
      </c>
      <c r="E2334" t="s">
        <v>10</v>
      </c>
      <c r="F2334">
        <v>1993</v>
      </c>
    </row>
    <row r="2335" spans="1:6" x14ac:dyDescent="0.25">
      <c r="A2335" t="s">
        <v>4347</v>
      </c>
      <c r="B2335" t="s">
        <v>4348</v>
      </c>
      <c r="C2335" s="1">
        <v>44083</v>
      </c>
      <c r="D2335" t="b">
        <v>1</v>
      </c>
      <c r="E2335" t="s">
        <v>10</v>
      </c>
      <c r="F2335">
        <v>1994</v>
      </c>
    </row>
    <row r="2336" spans="1:6" x14ac:dyDescent="0.25">
      <c r="A2336" t="s">
        <v>4349</v>
      </c>
      <c r="B2336" t="s">
        <v>4350</v>
      </c>
      <c r="C2336" s="1">
        <v>44083</v>
      </c>
      <c r="D2336" t="b">
        <v>1</v>
      </c>
      <c r="E2336" t="s">
        <v>10</v>
      </c>
      <c r="F2336">
        <v>1995</v>
      </c>
    </row>
    <row r="2337" spans="1:6" x14ac:dyDescent="0.25">
      <c r="A2337" t="s">
        <v>4351</v>
      </c>
      <c r="B2337" t="s">
        <v>4352</v>
      </c>
      <c r="C2337" s="1">
        <v>44083</v>
      </c>
      <c r="D2337" t="b">
        <v>1</v>
      </c>
      <c r="E2337" t="s">
        <v>10</v>
      </c>
      <c r="F2337">
        <v>1996</v>
      </c>
    </row>
    <row r="2338" spans="1:6" x14ac:dyDescent="0.25">
      <c r="A2338" t="s">
        <v>4353</v>
      </c>
      <c r="B2338" t="s">
        <v>4354</v>
      </c>
      <c r="C2338" s="1">
        <v>44083</v>
      </c>
      <c r="D2338" t="b">
        <v>1</v>
      </c>
      <c r="E2338" t="s">
        <v>10</v>
      </c>
      <c r="F2338">
        <v>1997</v>
      </c>
    </row>
    <row r="2339" spans="1:6" x14ac:dyDescent="0.25">
      <c r="A2339" t="s">
        <v>4355</v>
      </c>
      <c r="B2339" t="s">
        <v>4356</v>
      </c>
      <c r="C2339" s="1">
        <v>44083</v>
      </c>
      <c r="D2339" t="b">
        <v>1</v>
      </c>
      <c r="E2339" t="s">
        <v>10</v>
      </c>
      <c r="F2339">
        <v>1998</v>
      </c>
    </row>
    <row r="2340" spans="1:6" x14ac:dyDescent="0.25">
      <c r="A2340" t="s">
        <v>4357</v>
      </c>
      <c r="B2340" t="s">
        <v>4358</v>
      </c>
      <c r="C2340" s="1">
        <v>44083</v>
      </c>
      <c r="D2340" t="b">
        <v>1</v>
      </c>
      <c r="E2340" t="s">
        <v>10</v>
      </c>
      <c r="F2340">
        <v>9211</v>
      </c>
    </row>
    <row r="2341" spans="1:6" x14ac:dyDescent="0.25">
      <c r="A2341" t="s">
        <v>4359</v>
      </c>
      <c r="C2341" s="1">
        <v>44083</v>
      </c>
      <c r="D2341" t="b">
        <v>1</v>
      </c>
      <c r="E2341" t="s">
        <v>10</v>
      </c>
      <c r="F2341">
        <v>11964</v>
      </c>
    </row>
    <row r="2342" spans="1:6" x14ac:dyDescent="0.25">
      <c r="A2342" t="s">
        <v>4360</v>
      </c>
      <c r="C2342" s="1">
        <v>44083</v>
      </c>
      <c r="D2342" t="b">
        <v>1</v>
      </c>
      <c r="E2342" t="s">
        <v>10</v>
      </c>
      <c r="F2342">
        <v>14495</v>
      </c>
    </row>
    <row r="2343" spans="1:6" x14ac:dyDescent="0.25">
      <c r="A2343" t="s">
        <v>4361</v>
      </c>
      <c r="C2343" s="1">
        <v>44083</v>
      </c>
      <c r="D2343" t="b">
        <v>1</v>
      </c>
      <c r="E2343" t="s">
        <v>10</v>
      </c>
      <c r="F2343">
        <v>13246</v>
      </c>
    </row>
    <row r="2344" spans="1:6" x14ac:dyDescent="0.25">
      <c r="A2344" t="s">
        <v>4362</v>
      </c>
      <c r="B2344" t="s">
        <v>4363</v>
      </c>
      <c r="C2344" s="1">
        <v>44083</v>
      </c>
      <c r="D2344" t="b">
        <v>1</v>
      </c>
      <c r="E2344" t="s">
        <v>10</v>
      </c>
      <c r="F2344">
        <v>2000</v>
      </c>
    </row>
    <row r="2345" spans="1:6" x14ac:dyDescent="0.25">
      <c r="A2345" t="s">
        <v>4364</v>
      </c>
      <c r="C2345" s="1">
        <v>44083</v>
      </c>
      <c r="D2345" t="b">
        <v>1</v>
      </c>
      <c r="E2345" t="s">
        <v>10</v>
      </c>
      <c r="F2345">
        <v>13418</v>
      </c>
    </row>
    <row r="2346" spans="1:6" x14ac:dyDescent="0.25">
      <c r="A2346" t="s">
        <v>4365</v>
      </c>
      <c r="B2346" t="s">
        <v>4366</v>
      </c>
      <c r="C2346" s="1">
        <v>44083</v>
      </c>
      <c r="D2346" t="b">
        <v>1</v>
      </c>
      <c r="E2346" t="s">
        <v>10</v>
      </c>
      <c r="F2346">
        <v>2001</v>
      </c>
    </row>
    <row r="2347" spans="1:6" x14ac:dyDescent="0.25">
      <c r="A2347" t="s">
        <v>4367</v>
      </c>
      <c r="B2347" t="s">
        <v>4368</v>
      </c>
      <c r="C2347" s="1">
        <v>44083</v>
      </c>
      <c r="D2347" t="b">
        <v>1</v>
      </c>
      <c r="E2347" t="s">
        <v>10</v>
      </c>
      <c r="F2347">
        <v>2002</v>
      </c>
    </row>
    <row r="2348" spans="1:6" x14ac:dyDescent="0.25">
      <c r="A2348" t="s">
        <v>4369</v>
      </c>
      <c r="B2348" t="s">
        <v>4370</v>
      </c>
      <c r="C2348" s="1">
        <v>44083</v>
      </c>
      <c r="D2348" t="b">
        <v>1</v>
      </c>
      <c r="E2348" t="s">
        <v>10</v>
      </c>
      <c r="F2348">
        <v>2003</v>
      </c>
    </row>
    <row r="2349" spans="1:6" x14ac:dyDescent="0.25">
      <c r="A2349" t="s">
        <v>4371</v>
      </c>
      <c r="B2349" t="s">
        <v>4372</v>
      </c>
      <c r="C2349" s="1">
        <v>44083</v>
      </c>
      <c r="D2349" t="b">
        <v>1</v>
      </c>
      <c r="E2349" t="s">
        <v>10</v>
      </c>
      <c r="F2349">
        <v>16014</v>
      </c>
    </row>
    <row r="2350" spans="1:6" x14ac:dyDescent="0.25">
      <c r="A2350" t="s">
        <v>4373</v>
      </c>
      <c r="B2350" t="s">
        <v>4374</v>
      </c>
      <c r="C2350" s="1">
        <v>44083</v>
      </c>
      <c r="D2350" t="b">
        <v>1</v>
      </c>
      <c r="E2350" t="s">
        <v>10</v>
      </c>
      <c r="F2350">
        <v>2004</v>
      </c>
    </row>
    <row r="2351" spans="1:6" x14ac:dyDescent="0.25">
      <c r="A2351" t="s">
        <v>4375</v>
      </c>
      <c r="B2351" t="s">
        <v>4376</v>
      </c>
      <c r="C2351" s="1">
        <v>44083</v>
      </c>
      <c r="D2351" t="b">
        <v>1</v>
      </c>
      <c r="E2351" t="s">
        <v>10</v>
      </c>
      <c r="F2351">
        <v>16259</v>
      </c>
    </row>
    <row r="2352" spans="1:6" x14ac:dyDescent="0.25">
      <c r="A2352" t="s">
        <v>4377</v>
      </c>
      <c r="C2352" s="1">
        <v>44083</v>
      </c>
      <c r="D2352" t="b">
        <v>1</v>
      </c>
      <c r="E2352" t="s">
        <v>10</v>
      </c>
      <c r="F2352">
        <v>16252</v>
      </c>
    </row>
    <row r="2353" spans="1:6" x14ac:dyDescent="0.25">
      <c r="A2353" t="s">
        <v>4378</v>
      </c>
      <c r="B2353" t="s">
        <v>4379</v>
      </c>
      <c r="C2353" s="1">
        <v>44083</v>
      </c>
      <c r="D2353" t="b">
        <v>1</v>
      </c>
      <c r="E2353" t="s">
        <v>10</v>
      </c>
      <c r="F2353">
        <v>2006</v>
      </c>
    </row>
    <row r="2354" spans="1:6" x14ac:dyDescent="0.25">
      <c r="A2354" t="s">
        <v>4380</v>
      </c>
      <c r="B2354" t="s">
        <v>4381</v>
      </c>
      <c r="C2354" s="1">
        <v>44083</v>
      </c>
      <c r="D2354" t="b">
        <v>1</v>
      </c>
      <c r="E2354" t="s">
        <v>10</v>
      </c>
      <c r="F2354">
        <v>2007</v>
      </c>
    </row>
    <row r="2355" spans="1:6" x14ac:dyDescent="0.25">
      <c r="A2355" t="s">
        <v>4382</v>
      </c>
      <c r="B2355" t="s">
        <v>4383</v>
      </c>
      <c r="C2355" s="1">
        <v>44083</v>
      </c>
      <c r="D2355" t="b">
        <v>1</v>
      </c>
      <c r="E2355" t="s">
        <v>10</v>
      </c>
      <c r="F2355">
        <v>14653</v>
      </c>
    </row>
    <row r="2356" spans="1:6" x14ac:dyDescent="0.25">
      <c r="A2356" t="s">
        <v>4384</v>
      </c>
      <c r="B2356" t="s">
        <v>4385</v>
      </c>
      <c r="C2356" s="1">
        <v>44083</v>
      </c>
      <c r="D2356" t="b">
        <v>1</v>
      </c>
      <c r="E2356" t="s">
        <v>10</v>
      </c>
      <c r="F2356">
        <v>15691</v>
      </c>
    </row>
    <row r="2357" spans="1:6" x14ac:dyDescent="0.25">
      <c r="A2357" t="s">
        <v>4386</v>
      </c>
      <c r="B2357" t="s">
        <v>4387</v>
      </c>
      <c r="C2357" s="1">
        <v>44083</v>
      </c>
      <c r="D2357" t="b">
        <v>1</v>
      </c>
      <c r="E2357" t="s">
        <v>10</v>
      </c>
      <c r="F2357">
        <v>16579</v>
      </c>
    </row>
    <row r="2358" spans="1:6" x14ac:dyDescent="0.25">
      <c r="A2358" t="s">
        <v>4388</v>
      </c>
      <c r="B2358" t="s">
        <v>4389</v>
      </c>
      <c r="C2358" s="1">
        <v>44083</v>
      </c>
      <c r="D2358" t="b">
        <v>1</v>
      </c>
      <c r="E2358" t="s">
        <v>10</v>
      </c>
      <c r="F2358">
        <v>2008</v>
      </c>
    </row>
    <row r="2359" spans="1:6" x14ac:dyDescent="0.25">
      <c r="A2359" t="s">
        <v>4390</v>
      </c>
      <c r="B2359" t="s">
        <v>4391</v>
      </c>
      <c r="C2359" s="1">
        <v>44083</v>
      </c>
      <c r="D2359" t="b">
        <v>1</v>
      </c>
      <c r="E2359" t="s">
        <v>10</v>
      </c>
      <c r="F2359">
        <v>2013</v>
      </c>
    </row>
    <row r="2360" spans="1:6" x14ac:dyDescent="0.25">
      <c r="A2360" t="s">
        <v>4392</v>
      </c>
      <c r="B2360" t="s">
        <v>4393</v>
      </c>
      <c r="C2360" s="1">
        <v>44083</v>
      </c>
      <c r="D2360" t="b">
        <v>1</v>
      </c>
      <c r="E2360" t="s">
        <v>10</v>
      </c>
      <c r="F2360">
        <v>2014</v>
      </c>
    </row>
    <row r="2361" spans="1:6" x14ac:dyDescent="0.25">
      <c r="A2361" t="s">
        <v>4394</v>
      </c>
      <c r="B2361" t="s">
        <v>4395</v>
      </c>
      <c r="C2361" s="1">
        <v>44083</v>
      </c>
      <c r="D2361" t="b">
        <v>1</v>
      </c>
      <c r="E2361" t="s">
        <v>10</v>
      </c>
      <c r="F2361">
        <v>2015</v>
      </c>
    </row>
    <row r="2362" spans="1:6" x14ac:dyDescent="0.25">
      <c r="A2362" t="s">
        <v>4396</v>
      </c>
      <c r="B2362" t="s">
        <v>4397</v>
      </c>
      <c r="C2362" s="1">
        <v>44083</v>
      </c>
      <c r="D2362" t="b">
        <v>1</v>
      </c>
      <c r="E2362" t="s">
        <v>10</v>
      </c>
      <c r="F2362">
        <v>2016</v>
      </c>
    </row>
    <row r="2363" spans="1:6" x14ac:dyDescent="0.25">
      <c r="A2363" t="s">
        <v>4398</v>
      </c>
      <c r="B2363" t="s">
        <v>4399</v>
      </c>
      <c r="C2363" s="1">
        <v>44083</v>
      </c>
      <c r="D2363" t="b">
        <v>1</v>
      </c>
      <c r="E2363" t="s">
        <v>10</v>
      </c>
      <c r="F2363">
        <v>2018</v>
      </c>
    </row>
    <row r="2364" spans="1:6" x14ac:dyDescent="0.25">
      <c r="A2364" t="s">
        <v>4400</v>
      </c>
      <c r="B2364" t="s">
        <v>4401</v>
      </c>
      <c r="C2364" s="1">
        <v>44083</v>
      </c>
      <c r="D2364" t="b">
        <v>1</v>
      </c>
      <c r="E2364" t="s">
        <v>10</v>
      </c>
      <c r="F2364">
        <v>2019</v>
      </c>
    </row>
    <row r="2365" spans="1:6" x14ac:dyDescent="0.25">
      <c r="A2365" t="s">
        <v>4402</v>
      </c>
      <c r="B2365" t="s">
        <v>4403</v>
      </c>
      <c r="C2365" s="1">
        <v>44083</v>
      </c>
      <c r="D2365" t="b">
        <v>1</v>
      </c>
      <c r="E2365" t="s">
        <v>10</v>
      </c>
      <c r="F2365">
        <v>2022</v>
      </c>
    </row>
    <row r="2366" spans="1:6" x14ac:dyDescent="0.25">
      <c r="A2366" t="s">
        <v>4404</v>
      </c>
      <c r="B2366" t="s">
        <v>4405</v>
      </c>
      <c r="C2366" s="1">
        <v>44083</v>
      </c>
      <c r="D2366" t="b">
        <v>1</v>
      </c>
      <c r="E2366" t="s">
        <v>10</v>
      </c>
      <c r="F2366">
        <v>11040</v>
      </c>
    </row>
    <row r="2367" spans="1:6" x14ac:dyDescent="0.25">
      <c r="A2367" t="s">
        <v>4406</v>
      </c>
      <c r="B2367" t="s">
        <v>4407</v>
      </c>
      <c r="C2367" s="1">
        <v>44083</v>
      </c>
      <c r="D2367" t="b">
        <v>1</v>
      </c>
      <c r="E2367" t="s">
        <v>10</v>
      </c>
      <c r="F2367">
        <v>2023</v>
      </c>
    </row>
    <row r="2368" spans="1:6" x14ac:dyDescent="0.25">
      <c r="A2368" t="s">
        <v>4408</v>
      </c>
      <c r="B2368" t="s">
        <v>4409</v>
      </c>
      <c r="C2368" s="1">
        <v>44083</v>
      </c>
      <c r="D2368" t="b">
        <v>1</v>
      </c>
      <c r="E2368" t="s">
        <v>10</v>
      </c>
      <c r="F2368">
        <v>2025</v>
      </c>
    </row>
    <row r="2369" spans="1:6" x14ac:dyDescent="0.25">
      <c r="A2369" t="s">
        <v>4410</v>
      </c>
      <c r="B2369" t="s">
        <v>4411</v>
      </c>
      <c r="C2369" s="1">
        <v>44083</v>
      </c>
      <c r="D2369" t="b">
        <v>1</v>
      </c>
      <c r="E2369" t="s">
        <v>10</v>
      </c>
      <c r="F2369">
        <v>14491</v>
      </c>
    </row>
    <row r="2370" spans="1:6" x14ac:dyDescent="0.25">
      <c r="A2370" t="s">
        <v>4412</v>
      </c>
      <c r="B2370" t="s">
        <v>4413</v>
      </c>
      <c r="C2370" s="1">
        <v>44083</v>
      </c>
      <c r="D2370" t="b">
        <v>0</v>
      </c>
      <c r="E2370" t="s">
        <v>10</v>
      </c>
      <c r="F2370">
        <v>17025</v>
      </c>
    </row>
    <row r="2371" spans="1:6" x14ac:dyDescent="0.25">
      <c r="A2371" t="s">
        <v>4414</v>
      </c>
      <c r="B2371" t="s">
        <v>4415</v>
      </c>
      <c r="C2371" s="1">
        <v>44083</v>
      </c>
      <c r="D2371" t="b">
        <v>1</v>
      </c>
      <c r="E2371" t="s">
        <v>10</v>
      </c>
      <c r="F2371">
        <v>8499</v>
      </c>
    </row>
    <row r="2372" spans="1:6" x14ac:dyDescent="0.25">
      <c r="A2372" t="s">
        <v>4416</v>
      </c>
      <c r="B2372" t="s">
        <v>4417</v>
      </c>
      <c r="C2372" s="1">
        <v>44083</v>
      </c>
      <c r="D2372" t="b">
        <v>1</v>
      </c>
      <c r="E2372" t="s">
        <v>10</v>
      </c>
      <c r="F2372">
        <v>13229</v>
      </c>
    </row>
    <row r="2373" spans="1:6" x14ac:dyDescent="0.25">
      <c r="A2373" t="s">
        <v>4418</v>
      </c>
      <c r="B2373" t="s">
        <v>4419</v>
      </c>
      <c r="C2373" s="1">
        <v>44083</v>
      </c>
      <c r="D2373" t="b">
        <v>1</v>
      </c>
      <c r="E2373" t="s">
        <v>10</v>
      </c>
      <c r="F2373">
        <v>14663</v>
      </c>
    </row>
    <row r="2374" spans="1:6" x14ac:dyDescent="0.25">
      <c r="A2374" t="s">
        <v>4420</v>
      </c>
      <c r="B2374" t="s">
        <v>4421</v>
      </c>
      <c r="C2374" s="1">
        <v>44083</v>
      </c>
      <c r="D2374" t="b">
        <v>1</v>
      </c>
      <c r="E2374" t="s">
        <v>10</v>
      </c>
      <c r="F2374">
        <v>10817</v>
      </c>
    </row>
    <row r="2375" spans="1:6" x14ac:dyDescent="0.25">
      <c r="A2375" t="s">
        <v>4422</v>
      </c>
      <c r="B2375" t="s">
        <v>4423</v>
      </c>
      <c r="C2375" s="1">
        <v>44083</v>
      </c>
      <c r="D2375" t="b">
        <v>1</v>
      </c>
      <c r="E2375" t="s">
        <v>10</v>
      </c>
      <c r="F2375">
        <v>16692</v>
      </c>
    </row>
    <row r="2376" spans="1:6" x14ac:dyDescent="0.25">
      <c r="A2376" t="s">
        <v>4424</v>
      </c>
      <c r="B2376" t="s">
        <v>4425</v>
      </c>
      <c r="C2376" s="1">
        <v>44083</v>
      </c>
      <c r="D2376" t="b">
        <v>1</v>
      </c>
      <c r="E2376" t="s">
        <v>10</v>
      </c>
      <c r="F2376">
        <v>2029</v>
      </c>
    </row>
    <row r="2377" spans="1:6" x14ac:dyDescent="0.25">
      <c r="A2377" t="s">
        <v>4426</v>
      </c>
      <c r="B2377" t="s">
        <v>4427</v>
      </c>
      <c r="C2377" s="1">
        <v>44083</v>
      </c>
      <c r="D2377" t="b">
        <v>1</v>
      </c>
      <c r="E2377" t="s">
        <v>10</v>
      </c>
      <c r="F2377">
        <v>2030</v>
      </c>
    </row>
    <row r="2378" spans="1:6" x14ac:dyDescent="0.25">
      <c r="A2378" t="s">
        <v>4428</v>
      </c>
      <c r="B2378" t="s">
        <v>4429</v>
      </c>
      <c r="C2378" s="1">
        <v>44083</v>
      </c>
      <c r="D2378" t="b">
        <v>0</v>
      </c>
      <c r="E2378" t="s">
        <v>10</v>
      </c>
      <c r="F2378">
        <v>16957</v>
      </c>
    </row>
    <row r="2379" spans="1:6" x14ac:dyDescent="0.25">
      <c r="A2379" t="s">
        <v>4430</v>
      </c>
      <c r="B2379" t="s">
        <v>4431</v>
      </c>
      <c r="C2379" s="1">
        <v>44083</v>
      </c>
      <c r="D2379" t="b">
        <v>1</v>
      </c>
      <c r="E2379" t="s">
        <v>10</v>
      </c>
      <c r="F2379">
        <v>2031</v>
      </c>
    </row>
    <row r="2380" spans="1:6" x14ac:dyDescent="0.25">
      <c r="A2380" t="s">
        <v>4432</v>
      </c>
      <c r="B2380" t="s">
        <v>4433</v>
      </c>
      <c r="C2380" s="1">
        <v>44083</v>
      </c>
      <c r="D2380" t="b">
        <v>1</v>
      </c>
      <c r="E2380" t="s">
        <v>10</v>
      </c>
      <c r="F2380">
        <v>2032</v>
      </c>
    </row>
    <row r="2381" spans="1:6" x14ac:dyDescent="0.25">
      <c r="A2381" t="s">
        <v>4434</v>
      </c>
      <c r="B2381" t="s">
        <v>4435</v>
      </c>
      <c r="C2381" s="1">
        <v>44083</v>
      </c>
      <c r="D2381" t="b">
        <v>1</v>
      </c>
      <c r="E2381" t="s">
        <v>10</v>
      </c>
      <c r="F2381">
        <v>2034</v>
      </c>
    </row>
    <row r="2382" spans="1:6" x14ac:dyDescent="0.25">
      <c r="A2382" t="s">
        <v>4436</v>
      </c>
      <c r="B2382" t="s">
        <v>4437</v>
      </c>
      <c r="C2382" s="1">
        <v>44083</v>
      </c>
      <c r="D2382" t="b">
        <v>1</v>
      </c>
      <c r="E2382" t="s">
        <v>10</v>
      </c>
      <c r="F2382">
        <v>2036</v>
      </c>
    </row>
    <row r="2383" spans="1:6" x14ac:dyDescent="0.25">
      <c r="A2383" t="s">
        <v>4438</v>
      </c>
      <c r="B2383" t="s">
        <v>4439</v>
      </c>
      <c r="C2383" s="1">
        <v>44083</v>
      </c>
      <c r="D2383" t="b">
        <v>1</v>
      </c>
      <c r="E2383" t="s">
        <v>10</v>
      </c>
      <c r="F2383">
        <v>2037</v>
      </c>
    </row>
    <row r="2384" spans="1:6" x14ac:dyDescent="0.25">
      <c r="A2384" t="s">
        <v>4440</v>
      </c>
      <c r="B2384" t="s">
        <v>4441</v>
      </c>
      <c r="C2384" s="1">
        <v>44083</v>
      </c>
      <c r="D2384" t="b">
        <v>1</v>
      </c>
      <c r="E2384" t="s">
        <v>10</v>
      </c>
      <c r="F2384">
        <v>2040</v>
      </c>
    </row>
    <row r="2385" spans="1:6" x14ac:dyDescent="0.25">
      <c r="A2385" t="s">
        <v>4442</v>
      </c>
      <c r="B2385" t="s">
        <v>4443</v>
      </c>
      <c r="C2385" s="1">
        <v>44083</v>
      </c>
      <c r="D2385" t="b">
        <v>1</v>
      </c>
      <c r="E2385" t="s">
        <v>10</v>
      </c>
      <c r="F2385">
        <v>2041</v>
      </c>
    </row>
    <row r="2386" spans="1:6" x14ac:dyDescent="0.25">
      <c r="A2386" t="s">
        <v>4444</v>
      </c>
      <c r="B2386" t="s">
        <v>4445</v>
      </c>
      <c r="C2386" s="1">
        <v>44083</v>
      </c>
      <c r="D2386" t="b">
        <v>1</v>
      </c>
      <c r="E2386" t="s">
        <v>10</v>
      </c>
      <c r="F2386">
        <v>2042</v>
      </c>
    </row>
    <row r="2387" spans="1:6" x14ac:dyDescent="0.25">
      <c r="A2387" t="s">
        <v>4446</v>
      </c>
      <c r="B2387" t="s">
        <v>4447</v>
      </c>
      <c r="C2387" s="1">
        <v>44083</v>
      </c>
      <c r="D2387" t="b">
        <v>1</v>
      </c>
      <c r="E2387" t="s">
        <v>10</v>
      </c>
      <c r="F2387">
        <v>13840</v>
      </c>
    </row>
    <row r="2388" spans="1:6" x14ac:dyDescent="0.25">
      <c r="A2388" t="s">
        <v>4448</v>
      </c>
      <c r="B2388" t="s">
        <v>4441</v>
      </c>
      <c r="C2388" s="1">
        <v>44083</v>
      </c>
      <c r="D2388" t="b">
        <v>1</v>
      </c>
      <c r="E2388" t="s">
        <v>10</v>
      </c>
      <c r="F2388">
        <v>2038</v>
      </c>
    </row>
    <row r="2389" spans="1:6" x14ac:dyDescent="0.25">
      <c r="A2389" t="s">
        <v>4449</v>
      </c>
      <c r="B2389" t="s">
        <v>4450</v>
      </c>
      <c r="C2389" s="1">
        <v>44083</v>
      </c>
      <c r="D2389" t="b">
        <v>1</v>
      </c>
      <c r="E2389" t="s">
        <v>10</v>
      </c>
      <c r="F2389">
        <v>2045</v>
      </c>
    </row>
    <row r="2390" spans="1:6" x14ac:dyDescent="0.25">
      <c r="A2390" t="s">
        <v>4451</v>
      </c>
      <c r="B2390" t="s">
        <v>4443</v>
      </c>
      <c r="C2390" s="1">
        <v>44083</v>
      </c>
      <c r="D2390" t="b">
        <v>1</v>
      </c>
      <c r="E2390" t="s">
        <v>10</v>
      </c>
      <c r="F2390">
        <v>2046</v>
      </c>
    </row>
    <row r="2391" spans="1:6" x14ac:dyDescent="0.25">
      <c r="A2391" t="s">
        <v>4452</v>
      </c>
      <c r="B2391" t="s">
        <v>4453</v>
      </c>
      <c r="C2391" s="1">
        <v>44083</v>
      </c>
      <c r="D2391" t="b">
        <v>1</v>
      </c>
      <c r="E2391" t="s">
        <v>10</v>
      </c>
      <c r="F2391">
        <v>12016</v>
      </c>
    </row>
    <row r="2392" spans="1:6" x14ac:dyDescent="0.25">
      <c r="A2392" t="s">
        <v>4454</v>
      </c>
      <c r="B2392" t="s">
        <v>4455</v>
      </c>
      <c r="C2392" s="1">
        <v>44083</v>
      </c>
      <c r="D2392" t="b">
        <v>1</v>
      </c>
      <c r="E2392" t="s">
        <v>10</v>
      </c>
      <c r="F2392">
        <v>2049</v>
      </c>
    </row>
    <row r="2393" spans="1:6" x14ac:dyDescent="0.25">
      <c r="A2393" t="s">
        <v>4456</v>
      </c>
      <c r="B2393" t="s">
        <v>4457</v>
      </c>
      <c r="C2393" s="1">
        <v>44083</v>
      </c>
      <c r="D2393" t="b">
        <v>1</v>
      </c>
      <c r="E2393" t="s">
        <v>10</v>
      </c>
      <c r="F2393">
        <v>2050</v>
      </c>
    </row>
    <row r="2394" spans="1:6" x14ac:dyDescent="0.25">
      <c r="A2394" t="s">
        <v>4458</v>
      </c>
      <c r="B2394" t="s">
        <v>4459</v>
      </c>
      <c r="C2394" s="1">
        <v>44083</v>
      </c>
      <c r="D2394" t="b">
        <v>1</v>
      </c>
      <c r="E2394" t="s">
        <v>10</v>
      </c>
      <c r="F2394">
        <v>2051</v>
      </c>
    </row>
    <row r="2395" spans="1:6" x14ac:dyDescent="0.25">
      <c r="A2395" t="s">
        <v>4460</v>
      </c>
      <c r="B2395" t="s">
        <v>4461</v>
      </c>
      <c r="C2395" s="1">
        <v>44083</v>
      </c>
      <c r="D2395" t="b">
        <v>1</v>
      </c>
      <c r="E2395" t="s">
        <v>10</v>
      </c>
      <c r="F2395">
        <v>12756</v>
      </c>
    </row>
    <row r="2396" spans="1:6" x14ac:dyDescent="0.25">
      <c r="A2396" t="s">
        <v>4462</v>
      </c>
      <c r="B2396" t="s">
        <v>4463</v>
      </c>
      <c r="C2396" s="1">
        <v>44083</v>
      </c>
      <c r="D2396" t="b">
        <v>1</v>
      </c>
      <c r="E2396" t="s">
        <v>10</v>
      </c>
      <c r="F2396">
        <v>2052</v>
      </c>
    </row>
    <row r="2397" spans="1:6" x14ac:dyDescent="0.25">
      <c r="A2397" t="s">
        <v>4464</v>
      </c>
      <c r="B2397" t="s">
        <v>4465</v>
      </c>
      <c r="C2397" s="1">
        <v>44083</v>
      </c>
      <c r="D2397" t="b">
        <v>1</v>
      </c>
      <c r="E2397" t="s">
        <v>10</v>
      </c>
      <c r="F2397">
        <v>9163</v>
      </c>
    </row>
    <row r="2398" spans="1:6" x14ac:dyDescent="0.25">
      <c r="A2398" t="s">
        <v>4466</v>
      </c>
      <c r="B2398" t="s">
        <v>4467</v>
      </c>
      <c r="C2398" s="1">
        <v>44083</v>
      </c>
      <c r="D2398" t="b">
        <v>1</v>
      </c>
      <c r="E2398" t="s">
        <v>10</v>
      </c>
      <c r="F2398">
        <v>12081</v>
      </c>
    </row>
    <row r="2399" spans="1:6" x14ac:dyDescent="0.25">
      <c r="A2399" t="s">
        <v>4468</v>
      </c>
      <c r="B2399" t="s">
        <v>4469</v>
      </c>
      <c r="C2399" s="1">
        <v>44083</v>
      </c>
      <c r="D2399" t="b">
        <v>1</v>
      </c>
      <c r="E2399" t="s">
        <v>10</v>
      </c>
      <c r="F2399">
        <v>2053</v>
      </c>
    </row>
    <row r="2400" spans="1:6" x14ac:dyDescent="0.25">
      <c r="A2400" t="s">
        <v>4470</v>
      </c>
      <c r="B2400" t="s">
        <v>4471</v>
      </c>
      <c r="C2400" s="1">
        <v>44083</v>
      </c>
      <c r="D2400" t="b">
        <v>1</v>
      </c>
      <c r="E2400" t="s">
        <v>10</v>
      </c>
      <c r="F2400">
        <v>12017</v>
      </c>
    </row>
    <row r="2401" spans="1:6" x14ac:dyDescent="0.25">
      <c r="A2401" t="s">
        <v>4472</v>
      </c>
      <c r="B2401" t="s">
        <v>4473</v>
      </c>
      <c r="C2401" s="1">
        <v>44083</v>
      </c>
      <c r="D2401" t="b">
        <v>1</v>
      </c>
      <c r="E2401" t="s">
        <v>10</v>
      </c>
      <c r="F2401">
        <v>2054</v>
      </c>
    </row>
    <row r="2402" spans="1:6" x14ac:dyDescent="0.25">
      <c r="A2402" t="s">
        <v>4474</v>
      </c>
      <c r="C2402" s="1">
        <v>44083</v>
      </c>
      <c r="D2402" t="b">
        <v>1</v>
      </c>
      <c r="E2402" t="s">
        <v>10</v>
      </c>
      <c r="F2402">
        <v>16220</v>
      </c>
    </row>
    <row r="2403" spans="1:6" x14ac:dyDescent="0.25">
      <c r="A2403" t="s">
        <v>4475</v>
      </c>
      <c r="B2403" t="s">
        <v>4476</v>
      </c>
      <c r="C2403" s="1">
        <v>44083</v>
      </c>
      <c r="D2403" t="b">
        <v>1</v>
      </c>
      <c r="E2403" t="s">
        <v>10</v>
      </c>
      <c r="F2403">
        <v>2055</v>
      </c>
    </row>
    <row r="2404" spans="1:6" x14ac:dyDescent="0.25">
      <c r="A2404" t="s">
        <v>4477</v>
      </c>
      <c r="B2404" t="s">
        <v>4478</v>
      </c>
      <c r="C2404" s="1">
        <v>44083</v>
      </c>
      <c r="D2404" t="b">
        <v>1</v>
      </c>
      <c r="E2404" t="s">
        <v>10</v>
      </c>
      <c r="F2404">
        <v>2056</v>
      </c>
    </row>
    <row r="2405" spans="1:6" x14ac:dyDescent="0.25">
      <c r="A2405" t="s">
        <v>4479</v>
      </c>
      <c r="B2405" t="s">
        <v>4480</v>
      </c>
      <c r="C2405" s="1">
        <v>44083</v>
      </c>
      <c r="D2405" t="b">
        <v>0</v>
      </c>
      <c r="E2405" t="s">
        <v>10</v>
      </c>
      <c r="F2405">
        <v>17011</v>
      </c>
    </row>
    <row r="2406" spans="1:6" x14ac:dyDescent="0.25">
      <c r="A2406" t="s">
        <v>4481</v>
      </c>
      <c r="B2406" t="s">
        <v>4482</v>
      </c>
      <c r="C2406" s="1">
        <v>44083</v>
      </c>
      <c r="D2406" t="b">
        <v>1</v>
      </c>
      <c r="E2406" t="s">
        <v>10</v>
      </c>
      <c r="F2406">
        <v>13173</v>
      </c>
    </row>
    <row r="2407" spans="1:6" x14ac:dyDescent="0.25">
      <c r="A2407" t="s">
        <v>4483</v>
      </c>
      <c r="B2407" t="s">
        <v>4484</v>
      </c>
      <c r="C2407" s="1">
        <v>44083</v>
      </c>
      <c r="D2407" t="b">
        <v>1</v>
      </c>
      <c r="E2407" t="s">
        <v>10</v>
      </c>
      <c r="F2407">
        <v>2059</v>
      </c>
    </row>
    <row r="2408" spans="1:6" x14ac:dyDescent="0.25">
      <c r="A2408" t="s">
        <v>4485</v>
      </c>
      <c r="B2408" t="s">
        <v>4486</v>
      </c>
      <c r="C2408" s="1">
        <v>44083</v>
      </c>
      <c r="D2408" t="b">
        <v>1</v>
      </c>
      <c r="E2408" t="s">
        <v>10</v>
      </c>
      <c r="F2408">
        <v>2060</v>
      </c>
    </row>
    <row r="2409" spans="1:6" x14ac:dyDescent="0.25">
      <c r="A2409" t="s">
        <v>4487</v>
      </c>
      <c r="B2409" t="s">
        <v>4488</v>
      </c>
      <c r="C2409" s="1">
        <v>44083</v>
      </c>
      <c r="D2409" t="b">
        <v>1</v>
      </c>
      <c r="E2409" t="s">
        <v>10</v>
      </c>
      <c r="F2409">
        <v>9131</v>
      </c>
    </row>
    <row r="2410" spans="1:6" x14ac:dyDescent="0.25">
      <c r="A2410" t="s">
        <v>4489</v>
      </c>
      <c r="B2410" t="s">
        <v>4490</v>
      </c>
      <c r="C2410" s="1">
        <v>44083</v>
      </c>
      <c r="D2410" t="b">
        <v>1</v>
      </c>
      <c r="E2410" t="s">
        <v>10</v>
      </c>
      <c r="F2410">
        <v>2061</v>
      </c>
    </row>
    <row r="2411" spans="1:6" x14ac:dyDescent="0.25">
      <c r="A2411" t="s">
        <v>4491</v>
      </c>
      <c r="B2411" t="s">
        <v>4492</v>
      </c>
      <c r="C2411" s="1">
        <v>44083</v>
      </c>
      <c r="D2411" t="b">
        <v>1</v>
      </c>
      <c r="E2411" t="s">
        <v>10</v>
      </c>
      <c r="F2411">
        <v>2062</v>
      </c>
    </row>
    <row r="2412" spans="1:6" x14ac:dyDescent="0.25">
      <c r="A2412" t="s">
        <v>4493</v>
      </c>
      <c r="B2412" t="s">
        <v>4494</v>
      </c>
      <c r="C2412" s="1">
        <v>44083</v>
      </c>
      <c r="D2412" t="b">
        <v>1</v>
      </c>
      <c r="E2412" t="s">
        <v>10</v>
      </c>
      <c r="F2412">
        <v>2063</v>
      </c>
    </row>
    <row r="2413" spans="1:6" x14ac:dyDescent="0.25">
      <c r="A2413" t="s">
        <v>4495</v>
      </c>
      <c r="B2413" t="s">
        <v>4496</v>
      </c>
      <c r="C2413" s="1">
        <v>44083</v>
      </c>
      <c r="D2413" t="b">
        <v>1</v>
      </c>
      <c r="E2413" t="s">
        <v>10</v>
      </c>
      <c r="F2413">
        <v>2064</v>
      </c>
    </row>
    <row r="2414" spans="1:6" x14ac:dyDescent="0.25">
      <c r="A2414" t="s">
        <v>4497</v>
      </c>
      <c r="B2414" t="s">
        <v>4498</v>
      </c>
      <c r="C2414" s="1">
        <v>44083</v>
      </c>
      <c r="D2414" t="b">
        <v>1</v>
      </c>
      <c r="E2414" t="s">
        <v>10</v>
      </c>
      <c r="F2414">
        <v>2066</v>
      </c>
    </row>
    <row r="2415" spans="1:6" x14ac:dyDescent="0.25">
      <c r="A2415" t="s">
        <v>4499</v>
      </c>
      <c r="B2415" t="s">
        <v>4500</v>
      </c>
      <c r="C2415" s="1">
        <v>44083</v>
      </c>
      <c r="D2415" t="b">
        <v>1</v>
      </c>
      <c r="E2415" t="s">
        <v>10</v>
      </c>
      <c r="F2415">
        <v>2067</v>
      </c>
    </row>
    <row r="2416" spans="1:6" x14ac:dyDescent="0.25">
      <c r="A2416" t="s">
        <v>4501</v>
      </c>
      <c r="B2416" t="s">
        <v>4502</v>
      </c>
      <c r="C2416" s="1">
        <v>44083</v>
      </c>
      <c r="D2416" t="b">
        <v>1</v>
      </c>
      <c r="E2416" t="s">
        <v>10</v>
      </c>
      <c r="F2416">
        <v>2068</v>
      </c>
    </row>
    <row r="2417" spans="1:6" x14ac:dyDescent="0.25">
      <c r="A2417" t="s">
        <v>4503</v>
      </c>
      <c r="B2417" t="s">
        <v>4504</v>
      </c>
      <c r="C2417" s="1">
        <v>44083</v>
      </c>
      <c r="D2417" t="b">
        <v>1</v>
      </c>
      <c r="E2417" t="s">
        <v>10</v>
      </c>
      <c r="F2417">
        <v>2069</v>
      </c>
    </row>
    <row r="2418" spans="1:6" x14ac:dyDescent="0.25">
      <c r="A2418" t="s">
        <v>4505</v>
      </c>
      <c r="B2418" t="s">
        <v>4506</v>
      </c>
      <c r="C2418" s="1">
        <v>44083</v>
      </c>
      <c r="D2418" t="b">
        <v>1</v>
      </c>
      <c r="E2418" t="s">
        <v>10</v>
      </c>
      <c r="F2418">
        <v>2071</v>
      </c>
    </row>
    <row r="2419" spans="1:6" x14ac:dyDescent="0.25">
      <c r="A2419" t="s">
        <v>4507</v>
      </c>
      <c r="B2419" t="s">
        <v>4508</v>
      </c>
      <c r="C2419" s="1">
        <v>44083</v>
      </c>
      <c r="D2419" t="b">
        <v>1</v>
      </c>
      <c r="E2419" t="s">
        <v>10</v>
      </c>
      <c r="F2419">
        <v>2072</v>
      </c>
    </row>
    <row r="2420" spans="1:6" x14ac:dyDescent="0.25">
      <c r="A2420" t="s">
        <v>4509</v>
      </c>
      <c r="B2420" t="s">
        <v>4510</v>
      </c>
      <c r="C2420" s="1">
        <v>44083</v>
      </c>
      <c r="D2420" t="b">
        <v>1</v>
      </c>
      <c r="E2420" t="s">
        <v>10</v>
      </c>
      <c r="F2420">
        <v>2073</v>
      </c>
    </row>
    <row r="2421" spans="1:6" x14ac:dyDescent="0.25">
      <c r="A2421" t="s">
        <v>4511</v>
      </c>
      <c r="B2421" t="s">
        <v>4512</v>
      </c>
      <c r="C2421" s="1">
        <v>44083</v>
      </c>
      <c r="D2421" t="b">
        <v>1</v>
      </c>
      <c r="E2421" t="s">
        <v>10</v>
      </c>
      <c r="F2421">
        <v>2076</v>
      </c>
    </row>
    <row r="2422" spans="1:6" x14ac:dyDescent="0.25">
      <c r="A2422" t="s">
        <v>4513</v>
      </c>
      <c r="B2422" t="s">
        <v>4514</v>
      </c>
      <c r="C2422" s="1">
        <v>44083</v>
      </c>
      <c r="D2422" t="b">
        <v>1</v>
      </c>
      <c r="E2422" t="s">
        <v>10</v>
      </c>
      <c r="F2422">
        <v>2078</v>
      </c>
    </row>
    <row r="2423" spans="1:6" x14ac:dyDescent="0.25">
      <c r="A2423" t="s">
        <v>4515</v>
      </c>
      <c r="B2423" t="s">
        <v>4516</v>
      </c>
      <c r="C2423" s="1">
        <v>44083</v>
      </c>
      <c r="D2423" t="b">
        <v>1</v>
      </c>
      <c r="E2423" t="s">
        <v>10</v>
      </c>
      <c r="F2423">
        <v>2079</v>
      </c>
    </row>
    <row r="2424" spans="1:6" x14ac:dyDescent="0.25">
      <c r="A2424" t="s">
        <v>4517</v>
      </c>
      <c r="B2424" t="s">
        <v>4518</v>
      </c>
      <c r="C2424" s="1">
        <v>44083</v>
      </c>
      <c r="D2424" t="b">
        <v>1</v>
      </c>
      <c r="E2424" t="s">
        <v>10</v>
      </c>
      <c r="F2424">
        <v>2080</v>
      </c>
    </row>
    <row r="2425" spans="1:6" x14ac:dyDescent="0.25">
      <c r="A2425" t="s">
        <v>4519</v>
      </c>
      <c r="B2425" t="s">
        <v>4520</v>
      </c>
      <c r="C2425" s="1">
        <v>44083</v>
      </c>
      <c r="D2425" t="b">
        <v>1</v>
      </c>
      <c r="E2425" t="s">
        <v>10</v>
      </c>
      <c r="F2425">
        <v>2081</v>
      </c>
    </row>
    <row r="2426" spans="1:6" x14ac:dyDescent="0.25">
      <c r="A2426" t="s">
        <v>4521</v>
      </c>
      <c r="B2426" t="s">
        <v>4522</v>
      </c>
      <c r="C2426" s="1">
        <v>44083</v>
      </c>
      <c r="D2426" t="b">
        <v>1</v>
      </c>
      <c r="E2426" t="s">
        <v>10</v>
      </c>
      <c r="F2426">
        <v>8254</v>
      </c>
    </row>
    <row r="2427" spans="1:6" x14ac:dyDescent="0.25">
      <c r="A2427" t="s">
        <v>4523</v>
      </c>
      <c r="B2427" t="s">
        <v>4524</v>
      </c>
      <c r="C2427" s="1">
        <v>44083</v>
      </c>
      <c r="D2427" t="b">
        <v>1</v>
      </c>
      <c r="E2427" t="s">
        <v>10</v>
      </c>
      <c r="F2427">
        <v>2084</v>
      </c>
    </row>
    <row r="2428" spans="1:6" x14ac:dyDescent="0.25">
      <c r="A2428" t="s">
        <v>4525</v>
      </c>
      <c r="B2428" t="s">
        <v>4526</v>
      </c>
      <c r="C2428" s="1">
        <v>44083</v>
      </c>
      <c r="D2428" t="b">
        <v>1</v>
      </c>
      <c r="E2428" t="s">
        <v>10</v>
      </c>
      <c r="F2428">
        <v>16248</v>
      </c>
    </row>
    <row r="2429" spans="1:6" x14ac:dyDescent="0.25">
      <c r="A2429" t="s">
        <v>4527</v>
      </c>
      <c r="B2429" t="s">
        <v>4528</v>
      </c>
      <c r="C2429" s="1">
        <v>44083</v>
      </c>
      <c r="D2429" t="b">
        <v>1</v>
      </c>
      <c r="E2429" t="s">
        <v>10</v>
      </c>
      <c r="F2429">
        <v>3215</v>
      </c>
    </row>
    <row r="2430" spans="1:6" x14ac:dyDescent="0.25">
      <c r="A2430" t="s">
        <v>4529</v>
      </c>
      <c r="B2430" t="s">
        <v>4530</v>
      </c>
      <c r="C2430" s="1">
        <v>44083</v>
      </c>
      <c r="D2430" t="b">
        <v>1</v>
      </c>
      <c r="E2430" t="s">
        <v>10</v>
      </c>
      <c r="F2430">
        <v>2085</v>
      </c>
    </row>
    <row r="2431" spans="1:6" x14ac:dyDescent="0.25">
      <c r="A2431" t="s">
        <v>4531</v>
      </c>
      <c r="B2431" t="s">
        <v>4532</v>
      </c>
      <c r="C2431" s="1">
        <v>44083</v>
      </c>
      <c r="D2431" t="b">
        <v>1</v>
      </c>
      <c r="E2431" t="s">
        <v>10</v>
      </c>
      <c r="F2431">
        <v>11285</v>
      </c>
    </row>
    <row r="2432" spans="1:6" x14ac:dyDescent="0.25">
      <c r="A2432" t="s">
        <v>4533</v>
      </c>
      <c r="B2432" t="s">
        <v>4534</v>
      </c>
      <c r="C2432" s="1">
        <v>44083</v>
      </c>
      <c r="D2432" t="b">
        <v>1</v>
      </c>
      <c r="E2432" t="s">
        <v>10</v>
      </c>
      <c r="F2432">
        <v>2086</v>
      </c>
    </row>
    <row r="2433" spans="1:6" x14ac:dyDescent="0.25">
      <c r="A2433" t="s">
        <v>4535</v>
      </c>
      <c r="B2433" t="s">
        <v>4536</v>
      </c>
      <c r="C2433" s="1">
        <v>44083</v>
      </c>
      <c r="D2433" t="b">
        <v>1</v>
      </c>
      <c r="E2433" t="s">
        <v>10</v>
      </c>
      <c r="F2433">
        <v>15123</v>
      </c>
    </row>
    <row r="2434" spans="1:6" x14ac:dyDescent="0.25">
      <c r="A2434" t="s">
        <v>4537</v>
      </c>
      <c r="B2434" t="s">
        <v>4538</v>
      </c>
      <c r="C2434" s="1">
        <v>44083</v>
      </c>
      <c r="D2434" t="b">
        <v>1</v>
      </c>
      <c r="E2434" t="s">
        <v>10</v>
      </c>
      <c r="F2434">
        <v>2088</v>
      </c>
    </row>
    <row r="2435" spans="1:6" x14ac:dyDescent="0.25">
      <c r="A2435" t="s">
        <v>4539</v>
      </c>
      <c r="B2435" t="s">
        <v>4540</v>
      </c>
      <c r="C2435" s="1">
        <v>44083</v>
      </c>
      <c r="D2435" t="b">
        <v>1</v>
      </c>
      <c r="E2435" t="s">
        <v>10</v>
      </c>
      <c r="F2435">
        <v>14677</v>
      </c>
    </row>
    <row r="2436" spans="1:6" x14ac:dyDescent="0.25">
      <c r="A2436" t="s">
        <v>4541</v>
      </c>
      <c r="B2436" t="s">
        <v>4542</v>
      </c>
      <c r="C2436" s="1">
        <v>44083</v>
      </c>
      <c r="D2436" t="b">
        <v>1</v>
      </c>
      <c r="E2436" t="s">
        <v>10</v>
      </c>
      <c r="F2436">
        <v>2089</v>
      </c>
    </row>
    <row r="2437" spans="1:6" x14ac:dyDescent="0.25">
      <c r="A2437" t="s">
        <v>4543</v>
      </c>
      <c r="B2437" t="s">
        <v>4544</v>
      </c>
      <c r="C2437" s="1">
        <v>44083</v>
      </c>
      <c r="D2437" t="b">
        <v>1</v>
      </c>
      <c r="E2437" t="s">
        <v>10</v>
      </c>
      <c r="F2437">
        <v>8042</v>
      </c>
    </row>
    <row r="2438" spans="1:6" x14ac:dyDescent="0.25">
      <c r="A2438" t="s">
        <v>4545</v>
      </c>
      <c r="B2438" t="s">
        <v>4546</v>
      </c>
      <c r="C2438" s="1">
        <v>44083</v>
      </c>
      <c r="D2438" t="b">
        <v>1</v>
      </c>
      <c r="E2438" t="s">
        <v>10</v>
      </c>
      <c r="F2438">
        <v>8105</v>
      </c>
    </row>
    <row r="2439" spans="1:6" x14ac:dyDescent="0.25">
      <c r="A2439" t="s">
        <v>4547</v>
      </c>
      <c r="B2439" t="s">
        <v>4548</v>
      </c>
      <c r="C2439" s="1">
        <v>44083</v>
      </c>
      <c r="D2439" t="b">
        <v>1</v>
      </c>
      <c r="E2439" t="s">
        <v>10</v>
      </c>
      <c r="F2439">
        <v>2091</v>
      </c>
    </row>
    <row r="2440" spans="1:6" x14ac:dyDescent="0.25">
      <c r="A2440" t="s">
        <v>4549</v>
      </c>
      <c r="B2440" t="s">
        <v>4550</v>
      </c>
      <c r="C2440" s="1">
        <v>44083</v>
      </c>
      <c r="D2440" t="b">
        <v>1</v>
      </c>
      <c r="E2440" t="s">
        <v>10</v>
      </c>
      <c r="F2440">
        <v>7656</v>
      </c>
    </row>
    <row r="2441" spans="1:6" x14ac:dyDescent="0.25">
      <c r="A2441" t="s">
        <v>4551</v>
      </c>
      <c r="B2441" t="s">
        <v>4552</v>
      </c>
      <c r="C2441" s="1">
        <v>44083</v>
      </c>
      <c r="D2441" t="b">
        <v>1</v>
      </c>
      <c r="E2441" t="s">
        <v>10</v>
      </c>
      <c r="F2441">
        <v>2094</v>
      </c>
    </row>
    <row r="2442" spans="1:6" x14ac:dyDescent="0.25">
      <c r="A2442" t="s">
        <v>4553</v>
      </c>
      <c r="B2442" t="s">
        <v>4554</v>
      </c>
      <c r="C2442" s="1">
        <v>44083</v>
      </c>
      <c r="D2442" t="b">
        <v>1</v>
      </c>
      <c r="E2442" t="s">
        <v>10</v>
      </c>
      <c r="F2442">
        <v>2095</v>
      </c>
    </row>
    <row r="2443" spans="1:6" x14ac:dyDescent="0.25">
      <c r="A2443" t="s">
        <v>4555</v>
      </c>
      <c r="B2443" t="s">
        <v>4556</v>
      </c>
      <c r="C2443" s="1">
        <v>44083</v>
      </c>
      <c r="D2443" t="b">
        <v>1</v>
      </c>
      <c r="E2443" t="s">
        <v>10</v>
      </c>
      <c r="F2443">
        <v>2097</v>
      </c>
    </row>
    <row r="2444" spans="1:6" x14ac:dyDescent="0.25">
      <c r="A2444" t="s">
        <v>4557</v>
      </c>
      <c r="B2444" t="s">
        <v>4558</v>
      </c>
      <c r="C2444" s="1">
        <v>44083</v>
      </c>
      <c r="D2444" t="b">
        <v>1</v>
      </c>
      <c r="E2444" t="s">
        <v>10</v>
      </c>
      <c r="F2444">
        <v>16429</v>
      </c>
    </row>
    <row r="2445" spans="1:6" x14ac:dyDescent="0.25">
      <c r="A2445" t="s">
        <v>4559</v>
      </c>
      <c r="B2445" t="s">
        <v>4560</v>
      </c>
      <c r="C2445" s="1">
        <v>44083</v>
      </c>
      <c r="D2445" t="b">
        <v>1</v>
      </c>
      <c r="E2445" t="s">
        <v>10</v>
      </c>
      <c r="F2445">
        <v>15890</v>
      </c>
    </row>
    <row r="2446" spans="1:6" x14ac:dyDescent="0.25">
      <c r="A2446" t="s">
        <v>4561</v>
      </c>
      <c r="B2446" t="s">
        <v>4562</v>
      </c>
      <c r="C2446" s="1">
        <v>44083</v>
      </c>
      <c r="D2446" t="b">
        <v>1</v>
      </c>
      <c r="E2446" t="s">
        <v>10</v>
      </c>
      <c r="F2446">
        <v>14140</v>
      </c>
    </row>
    <row r="2447" spans="1:6" x14ac:dyDescent="0.25">
      <c r="A2447" t="s">
        <v>4563</v>
      </c>
      <c r="B2447" t="s">
        <v>4564</v>
      </c>
      <c r="C2447" s="1">
        <v>44083</v>
      </c>
      <c r="D2447" t="b">
        <v>1</v>
      </c>
      <c r="E2447" t="s">
        <v>10</v>
      </c>
      <c r="F2447">
        <v>11702</v>
      </c>
    </row>
    <row r="2448" spans="1:6" x14ac:dyDescent="0.25">
      <c r="A2448" t="s">
        <v>4565</v>
      </c>
      <c r="B2448" t="s">
        <v>4566</v>
      </c>
      <c r="C2448" s="1">
        <v>44083</v>
      </c>
      <c r="D2448" t="b">
        <v>1</v>
      </c>
      <c r="E2448" t="s">
        <v>10</v>
      </c>
      <c r="F2448">
        <v>2099</v>
      </c>
    </row>
    <row r="2449" spans="1:6" x14ac:dyDescent="0.25">
      <c r="A2449" t="s">
        <v>4567</v>
      </c>
      <c r="B2449" t="s">
        <v>4568</v>
      </c>
      <c r="C2449" s="1">
        <v>44083</v>
      </c>
      <c r="D2449" t="b">
        <v>1</v>
      </c>
      <c r="E2449" t="s">
        <v>10</v>
      </c>
      <c r="F2449">
        <v>1771</v>
      </c>
    </row>
    <row r="2450" spans="1:6" x14ac:dyDescent="0.25">
      <c r="A2450" t="s">
        <v>4569</v>
      </c>
      <c r="B2450" t="s">
        <v>4570</v>
      </c>
      <c r="C2450" s="1">
        <v>44083</v>
      </c>
      <c r="D2450" t="b">
        <v>1</v>
      </c>
      <c r="E2450" t="s">
        <v>10</v>
      </c>
      <c r="F2450">
        <v>14892</v>
      </c>
    </row>
    <row r="2451" spans="1:6" x14ac:dyDescent="0.25">
      <c r="A2451" t="s">
        <v>4571</v>
      </c>
      <c r="C2451" s="1">
        <v>44083</v>
      </c>
      <c r="D2451" t="b">
        <v>1</v>
      </c>
      <c r="E2451" t="s">
        <v>10</v>
      </c>
      <c r="F2451">
        <v>16493</v>
      </c>
    </row>
    <row r="2452" spans="1:6" x14ac:dyDescent="0.25">
      <c r="A2452" t="s">
        <v>4572</v>
      </c>
      <c r="C2452" s="1">
        <v>44083</v>
      </c>
      <c r="D2452" t="b">
        <v>1</v>
      </c>
      <c r="E2452" t="s">
        <v>10</v>
      </c>
      <c r="F2452">
        <v>11704</v>
      </c>
    </row>
    <row r="2453" spans="1:6" x14ac:dyDescent="0.25">
      <c r="A2453" t="s">
        <v>4573</v>
      </c>
      <c r="B2453" t="s">
        <v>4574</v>
      </c>
      <c r="C2453" s="1">
        <v>44083</v>
      </c>
      <c r="D2453" t="b">
        <v>1</v>
      </c>
      <c r="E2453" t="s">
        <v>10</v>
      </c>
      <c r="F2453">
        <v>2102</v>
      </c>
    </row>
    <row r="2454" spans="1:6" x14ac:dyDescent="0.25">
      <c r="A2454" t="s">
        <v>4575</v>
      </c>
      <c r="B2454" t="s">
        <v>4576</v>
      </c>
      <c r="C2454" s="1">
        <v>44083</v>
      </c>
      <c r="D2454" t="b">
        <v>1</v>
      </c>
      <c r="E2454" t="s">
        <v>10</v>
      </c>
      <c r="F2454">
        <v>11764</v>
      </c>
    </row>
    <row r="2455" spans="1:6" x14ac:dyDescent="0.25">
      <c r="A2455" t="s">
        <v>4577</v>
      </c>
      <c r="C2455" s="1">
        <v>44083</v>
      </c>
      <c r="D2455" t="b">
        <v>1</v>
      </c>
      <c r="E2455" t="s">
        <v>10</v>
      </c>
      <c r="F2455">
        <v>2104</v>
      </c>
    </row>
    <row r="2456" spans="1:6" x14ac:dyDescent="0.25">
      <c r="A2456" t="s">
        <v>4578</v>
      </c>
      <c r="B2456" t="s">
        <v>4579</v>
      </c>
      <c r="C2456" s="1">
        <v>44083</v>
      </c>
      <c r="D2456" t="b">
        <v>1</v>
      </c>
      <c r="E2456" t="s">
        <v>10</v>
      </c>
      <c r="F2456">
        <v>2106</v>
      </c>
    </row>
    <row r="2457" spans="1:6" x14ac:dyDescent="0.25">
      <c r="A2457" t="s">
        <v>4580</v>
      </c>
      <c r="B2457" t="s">
        <v>4581</v>
      </c>
      <c r="C2457" s="1">
        <v>44083</v>
      </c>
      <c r="D2457" t="b">
        <v>1</v>
      </c>
      <c r="E2457" t="s">
        <v>10</v>
      </c>
      <c r="F2457">
        <v>2107</v>
      </c>
    </row>
    <row r="2458" spans="1:6" x14ac:dyDescent="0.25">
      <c r="A2458" t="s">
        <v>4582</v>
      </c>
      <c r="B2458" t="s">
        <v>4583</v>
      </c>
      <c r="C2458" s="1">
        <v>44083</v>
      </c>
      <c r="D2458" t="b">
        <v>1</v>
      </c>
      <c r="E2458" t="s">
        <v>10</v>
      </c>
      <c r="F2458">
        <v>14483</v>
      </c>
    </row>
    <row r="2459" spans="1:6" x14ac:dyDescent="0.25">
      <c r="A2459" t="s">
        <v>4584</v>
      </c>
      <c r="B2459" t="s">
        <v>4585</v>
      </c>
      <c r="C2459" s="1">
        <v>44083</v>
      </c>
      <c r="D2459" t="b">
        <v>1</v>
      </c>
      <c r="E2459" t="s">
        <v>10</v>
      </c>
      <c r="F2459">
        <v>2112</v>
      </c>
    </row>
    <row r="2460" spans="1:6" x14ac:dyDescent="0.25">
      <c r="A2460" t="s">
        <v>4586</v>
      </c>
      <c r="B2460" t="s">
        <v>4587</v>
      </c>
      <c r="C2460" s="1">
        <v>44083</v>
      </c>
      <c r="D2460" t="b">
        <v>1</v>
      </c>
      <c r="E2460" t="s">
        <v>10</v>
      </c>
      <c r="F2460">
        <v>2114</v>
      </c>
    </row>
    <row r="2461" spans="1:6" x14ac:dyDescent="0.25">
      <c r="A2461" t="s">
        <v>4588</v>
      </c>
      <c r="B2461" t="s">
        <v>4589</v>
      </c>
      <c r="C2461" s="1">
        <v>44083</v>
      </c>
      <c r="D2461" t="b">
        <v>1</v>
      </c>
      <c r="E2461" t="s">
        <v>10</v>
      </c>
      <c r="F2461">
        <v>2116</v>
      </c>
    </row>
    <row r="2462" spans="1:6" x14ac:dyDescent="0.25">
      <c r="A2462" t="s">
        <v>4590</v>
      </c>
      <c r="B2462" t="s">
        <v>4591</v>
      </c>
      <c r="C2462" s="1">
        <v>44083</v>
      </c>
      <c r="D2462" t="b">
        <v>1</v>
      </c>
      <c r="E2462" t="s">
        <v>10</v>
      </c>
      <c r="F2462">
        <v>2117</v>
      </c>
    </row>
    <row r="2463" spans="1:6" x14ac:dyDescent="0.25">
      <c r="A2463" t="s">
        <v>4592</v>
      </c>
      <c r="C2463" s="1">
        <v>44083</v>
      </c>
      <c r="D2463" t="b">
        <v>1</v>
      </c>
      <c r="E2463" t="s">
        <v>10</v>
      </c>
      <c r="F2463">
        <v>2118</v>
      </c>
    </row>
    <row r="2464" spans="1:6" x14ac:dyDescent="0.25">
      <c r="A2464" t="s">
        <v>4593</v>
      </c>
      <c r="B2464" t="s">
        <v>4594</v>
      </c>
      <c r="C2464" s="1">
        <v>44083</v>
      </c>
      <c r="D2464" t="b">
        <v>1</v>
      </c>
      <c r="E2464" t="s">
        <v>10</v>
      </c>
      <c r="F2464">
        <v>11013</v>
      </c>
    </row>
    <row r="2465" spans="1:6" x14ac:dyDescent="0.25">
      <c r="A2465" t="s">
        <v>4595</v>
      </c>
      <c r="B2465" t="s">
        <v>4596</v>
      </c>
      <c r="C2465" s="1">
        <v>44083</v>
      </c>
      <c r="D2465" t="b">
        <v>1</v>
      </c>
      <c r="E2465" t="s">
        <v>10</v>
      </c>
      <c r="F2465">
        <v>2120</v>
      </c>
    </row>
    <row r="2466" spans="1:6" x14ac:dyDescent="0.25">
      <c r="A2466" t="s">
        <v>4597</v>
      </c>
      <c r="B2466" t="s">
        <v>4598</v>
      </c>
      <c r="C2466" s="1">
        <v>44083</v>
      </c>
      <c r="D2466" t="b">
        <v>1</v>
      </c>
      <c r="E2466" t="s">
        <v>10</v>
      </c>
      <c r="F2466">
        <v>852</v>
      </c>
    </row>
    <row r="2467" spans="1:6" x14ac:dyDescent="0.25">
      <c r="A2467" t="s">
        <v>4599</v>
      </c>
      <c r="B2467" t="s">
        <v>4600</v>
      </c>
      <c r="C2467" s="1">
        <v>44083</v>
      </c>
      <c r="D2467" t="b">
        <v>1</v>
      </c>
      <c r="E2467" t="s">
        <v>10</v>
      </c>
      <c r="F2467">
        <v>2121</v>
      </c>
    </row>
    <row r="2468" spans="1:6" x14ac:dyDescent="0.25">
      <c r="A2468" t="s">
        <v>4601</v>
      </c>
      <c r="B2468" t="s">
        <v>4602</v>
      </c>
      <c r="C2468" s="1">
        <v>44083</v>
      </c>
      <c r="D2468" t="b">
        <v>1</v>
      </c>
      <c r="E2468" t="s">
        <v>10</v>
      </c>
      <c r="F2468">
        <v>2122</v>
      </c>
    </row>
    <row r="2469" spans="1:6" x14ac:dyDescent="0.25">
      <c r="A2469" t="s">
        <v>4603</v>
      </c>
      <c r="B2469" t="s">
        <v>4604</v>
      </c>
      <c r="C2469" s="1">
        <v>44083</v>
      </c>
      <c r="D2469" t="b">
        <v>1</v>
      </c>
      <c r="E2469" t="s">
        <v>10</v>
      </c>
      <c r="F2469">
        <v>16777</v>
      </c>
    </row>
    <row r="2470" spans="1:6" x14ac:dyDescent="0.25">
      <c r="A2470" t="s">
        <v>4605</v>
      </c>
      <c r="B2470" t="s">
        <v>4606</v>
      </c>
      <c r="C2470" s="1">
        <v>44083</v>
      </c>
      <c r="D2470" t="b">
        <v>1</v>
      </c>
      <c r="E2470" t="s">
        <v>10</v>
      </c>
      <c r="F2470">
        <v>10325</v>
      </c>
    </row>
    <row r="2471" spans="1:6" x14ac:dyDescent="0.25">
      <c r="A2471" t="s">
        <v>4607</v>
      </c>
      <c r="B2471" t="s">
        <v>4608</v>
      </c>
      <c r="C2471" s="1">
        <v>44083</v>
      </c>
      <c r="D2471" t="b">
        <v>1</v>
      </c>
      <c r="E2471" t="s">
        <v>10</v>
      </c>
      <c r="F2471">
        <v>2124</v>
      </c>
    </row>
    <row r="2472" spans="1:6" x14ac:dyDescent="0.25">
      <c r="A2472" t="s">
        <v>4609</v>
      </c>
      <c r="B2472" t="s">
        <v>4610</v>
      </c>
      <c r="C2472" s="1">
        <v>44083</v>
      </c>
      <c r="D2472" t="b">
        <v>1</v>
      </c>
      <c r="E2472" t="s">
        <v>10</v>
      </c>
      <c r="F2472">
        <v>2126</v>
      </c>
    </row>
    <row r="2473" spans="1:6" x14ac:dyDescent="0.25">
      <c r="A2473" t="s">
        <v>4611</v>
      </c>
      <c r="B2473" t="s">
        <v>4612</v>
      </c>
      <c r="C2473" s="1">
        <v>44083</v>
      </c>
      <c r="D2473" t="b">
        <v>1</v>
      </c>
      <c r="E2473" t="s">
        <v>10</v>
      </c>
      <c r="F2473">
        <v>2248</v>
      </c>
    </row>
    <row r="2474" spans="1:6" x14ac:dyDescent="0.25">
      <c r="A2474" t="s">
        <v>4613</v>
      </c>
      <c r="B2474" t="s">
        <v>4614</v>
      </c>
      <c r="C2474" s="1">
        <v>44083</v>
      </c>
      <c r="D2474" t="b">
        <v>1</v>
      </c>
      <c r="E2474" t="s">
        <v>10</v>
      </c>
      <c r="F2474">
        <v>11028</v>
      </c>
    </row>
    <row r="2475" spans="1:6" x14ac:dyDescent="0.25">
      <c r="A2475" t="s">
        <v>4615</v>
      </c>
      <c r="B2475" t="s">
        <v>4616</v>
      </c>
      <c r="C2475" s="1">
        <v>44083</v>
      </c>
      <c r="D2475" t="b">
        <v>1</v>
      </c>
      <c r="E2475" t="s">
        <v>10</v>
      </c>
      <c r="F2475">
        <v>2134</v>
      </c>
    </row>
    <row r="2476" spans="1:6" x14ac:dyDescent="0.25">
      <c r="A2476" t="s">
        <v>4617</v>
      </c>
      <c r="B2476" t="s">
        <v>4618</v>
      </c>
      <c r="C2476" s="1">
        <v>44083</v>
      </c>
      <c r="D2476" t="b">
        <v>1</v>
      </c>
      <c r="E2476" t="s">
        <v>10</v>
      </c>
      <c r="F2476">
        <v>2137</v>
      </c>
    </row>
    <row r="2477" spans="1:6" x14ac:dyDescent="0.25">
      <c r="A2477" t="s">
        <v>4619</v>
      </c>
      <c r="B2477" t="s">
        <v>4620</v>
      </c>
      <c r="C2477" s="1">
        <v>44083</v>
      </c>
      <c r="D2477" t="b">
        <v>1</v>
      </c>
      <c r="E2477" t="s">
        <v>10</v>
      </c>
      <c r="F2477">
        <v>8089</v>
      </c>
    </row>
    <row r="2478" spans="1:6" x14ac:dyDescent="0.25">
      <c r="A2478" t="s">
        <v>4621</v>
      </c>
      <c r="B2478" t="s">
        <v>4443</v>
      </c>
      <c r="C2478" s="1">
        <v>44083</v>
      </c>
      <c r="D2478" t="b">
        <v>1</v>
      </c>
      <c r="E2478" t="s">
        <v>10</v>
      </c>
      <c r="F2478">
        <v>10914</v>
      </c>
    </row>
    <row r="2479" spans="1:6" x14ac:dyDescent="0.25">
      <c r="A2479" t="s">
        <v>4622</v>
      </c>
      <c r="B2479" t="s">
        <v>4623</v>
      </c>
      <c r="C2479" s="1">
        <v>44083</v>
      </c>
      <c r="D2479" t="b">
        <v>1</v>
      </c>
      <c r="E2479" t="s">
        <v>10</v>
      </c>
      <c r="F2479">
        <v>2140</v>
      </c>
    </row>
    <row r="2480" spans="1:6" x14ac:dyDescent="0.25">
      <c r="A2480" t="s">
        <v>4624</v>
      </c>
      <c r="B2480" t="s">
        <v>4625</v>
      </c>
      <c r="C2480" s="1">
        <v>44083</v>
      </c>
      <c r="D2480" t="b">
        <v>1</v>
      </c>
      <c r="E2480" t="s">
        <v>10</v>
      </c>
      <c r="F2480">
        <v>2142</v>
      </c>
    </row>
    <row r="2481" spans="1:6" x14ac:dyDescent="0.25">
      <c r="A2481" t="s">
        <v>4626</v>
      </c>
      <c r="B2481" t="s">
        <v>4627</v>
      </c>
      <c r="C2481" s="1">
        <v>44083</v>
      </c>
      <c r="D2481" t="b">
        <v>1</v>
      </c>
      <c r="E2481" t="s">
        <v>10</v>
      </c>
      <c r="F2481">
        <v>2145</v>
      </c>
    </row>
    <row r="2482" spans="1:6" x14ac:dyDescent="0.25">
      <c r="A2482" t="s">
        <v>4628</v>
      </c>
      <c r="B2482" t="s">
        <v>4629</v>
      </c>
      <c r="C2482" s="1">
        <v>44083</v>
      </c>
      <c r="D2482" t="b">
        <v>1</v>
      </c>
      <c r="E2482" t="s">
        <v>10</v>
      </c>
      <c r="F2482">
        <v>2146</v>
      </c>
    </row>
    <row r="2483" spans="1:6" x14ac:dyDescent="0.25">
      <c r="A2483" t="s">
        <v>4630</v>
      </c>
      <c r="B2483" t="s">
        <v>4631</v>
      </c>
      <c r="C2483" s="1">
        <v>44083</v>
      </c>
      <c r="D2483" t="b">
        <v>1</v>
      </c>
      <c r="E2483" t="s">
        <v>10</v>
      </c>
      <c r="F2483">
        <v>2148</v>
      </c>
    </row>
    <row r="2484" spans="1:6" x14ac:dyDescent="0.25">
      <c r="A2484" t="s">
        <v>4632</v>
      </c>
      <c r="B2484" t="s">
        <v>4633</v>
      </c>
      <c r="C2484" s="1">
        <v>44083</v>
      </c>
      <c r="D2484" t="b">
        <v>1</v>
      </c>
      <c r="E2484" t="s">
        <v>10</v>
      </c>
      <c r="F2484">
        <v>2149</v>
      </c>
    </row>
    <row r="2485" spans="1:6" x14ac:dyDescent="0.25">
      <c r="A2485" t="s">
        <v>4634</v>
      </c>
      <c r="B2485" t="s">
        <v>3775</v>
      </c>
      <c r="C2485" s="1">
        <v>44083</v>
      </c>
      <c r="D2485" t="b">
        <v>1</v>
      </c>
      <c r="E2485" t="s">
        <v>10</v>
      </c>
      <c r="F2485">
        <v>14908</v>
      </c>
    </row>
    <row r="2486" spans="1:6" x14ac:dyDescent="0.25">
      <c r="A2486" t="s">
        <v>4635</v>
      </c>
      <c r="B2486" t="s">
        <v>4636</v>
      </c>
      <c r="C2486" s="1">
        <v>44083</v>
      </c>
      <c r="D2486" t="b">
        <v>1</v>
      </c>
      <c r="E2486" t="s">
        <v>10</v>
      </c>
      <c r="F2486">
        <v>2153</v>
      </c>
    </row>
    <row r="2487" spans="1:6" x14ac:dyDescent="0.25">
      <c r="A2487" t="s">
        <v>4637</v>
      </c>
      <c r="B2487" t="s">
        <v>4638</v>
      </c>
      <c r="C2487" s="1">
        <v>44083</v>
      </c>
      <c r="D2487" t="b">
        <v>1</v>
      </c>
      <c r="E2487" t="s">
        <v>10</v>
      </c>
      <c r="F2487">
        <v>16369</v>
      </c>
    </row>
    <row r="2488" spans="1:6" x14ac:dyDescent="0.25">
      <c r="A2488" t="s">
        <v>4639</v>
      </c>
      <c r="B2488" t="s">
        <v>4640</v>
      </c>
      <c r="C2488" s="1">
        <v>44083</v>
      </c>
      <c r="D2488" t="b">
        <v>1</v>
      </c>
      <c r="E2488" t="s">
        <v>10</v>
      </c>
      <c r="F2488">
        <v>2154</v>
      </c>
    </row>
    <row r="2489" spans="1:6" x14ac:dyDescent="0.25">
      <c r="A2489" t="s">
        <v>4641</v>
      </c>
      <c r="C2489" s="1">
        <v>44083</v>
      </c>
      <c r="D2489" t="b">
        <v>1</v>
      </c>
      <c r="E2489" t="s">
        <v>10</v>
      </c>
      <c r="F2489">
        <v>11804</v>
      </c>
    </row>
    <row r="2490" spans="1:6" x14ac:dyDescent="0.25">
      <c r="A2490" t="s">
        <v>4642</v>
      </c>
      <c r="B2490" t="s">
        <v>4643</v>
      </c>
      <c r="C2490" s="1">
        <v>44083</v>
      </c>
      <c r="D2490" t="b">
        <v>1</v>
      </c>
      <c r="E2490" t="s">
        <v>10</v>
      </c>
      <c r="F2490">
        <v>9491</v>
      </c>
    </row>
    <row r="2491" spans="1:6" x14ac:dyDescent="0.25">
      <c r="A2491" t="s">
        <v>4644</v>
      </c>
      <c r="B2491" t="s">
        <v>4645</v>
      </c>
      <c r="C2491" s="1">
        <v>44083</v>
      </c>
      <c r="D2491" t="b">
        <v>1</v>
      </c>
      <c r="E2491" t="s">
        <v>10</v>
      </c>
      <c r="F2491">
        <v>2156</v>
      </c>
    </row>
    <row r="2492" spans="1:6" x14ac:dyDescent="0.25">
      <c r="A2492" t="s">
        <v>4646</v>
      </c>
      <c r="B2492" t="s">
        <v>3677</v>
      </c>
      <c r="C2492" s="1">
        <v>44083</v>
      </c>
      <c r="D2492" t="b">
        <v>1</v>
      </c>
      <c r="E2492" t="s">
        <v>10</v>
      </c>
      <c r="F2492">
        <v>15286</v>
      </c>
    </row>
    <row r="2493" spans="1:6" x14ac:dyDescent="0.25">
      <c r="A2493" t="s">
        <v>4647</v>
      </c>
      <c r="B2493" t="s">
        <v>4648</v>
      </c>
      <c r="C2493" s="1">
        <v>44083</v>
      </c>
      <c r="D2493" t="b">
        <v>1</v>
      </c>
      <c r="E2493" t="s">
        <v>10</v>
      </c>
      <c r="F2493">
        <v>8131</v>
      </c>
    </row>
    <row r="2494" spans="1:6" x14ac:dyDescent="0.25">
      <c r="A2494" t="s">
        <v>4649</v>
      </c>
      <c r="B2494" t="s">
        <v>4650</v>
      </c>
      <c r="C2494" s="1">
        <v>44083</v>
      </c>
      <c r="D2494" t="b">
        <v>1</v>
      </c>
      <c r="E2494" t="s">
        <v>10</v>
      </c>
      <c r="F2494">
        <v>11229</v>
      </c>
    </row>
    <row r="2495" spans="1:6" x14ac:dyDescent="0.25">
      <c r="A2495" t="s">
        <v>4651</v>
      </c>
      <c r="B2495" t="s">
        <v>4652</v>
      </c>
      <c r="C2495" s="1">
        <v>44083</v>
      </c>
      <c r="D2495" t="b">
        <v>1</v>
      </c>
      <c r="E2495" t="s">
        <v>10</v>
      </c>
      <c r="F2495">
        <v>13792</v>
      </c>
    </row>
    <row r="2496" spans="1:6" x14ac:dyDescent="0.25">
      <c r="A2496" t="s">
        <v>4653</v>
      </c>
      <c r="B2496" t="s">
        <v>4654</v>
      </c>
      <c r="C2496" s="1">
        <v>44083</v>
      </c>
      <c r="D2496" t="b">
        <v>1</v>
      </c>
      <c r="E2496" t="s">
        <v>10</v>
      </c>
      <c r="F2496">
        <v>2159</v>
      </c>
    </row>
    <row r="2497" spans="1:6" x14ac:dyDescent="0.25">
      <c r="A2497" t="s">
        <v>4655</v>
      </c>
      <c r="B2497" t="s">
        <v>4656</v>
      </c>
      <c r="C2497" s="1">
        <v>44083</v>
      </c>
      <c r="D2497" t="b">
        <v>1</v>
      </c>
      <c r="E2497" t="s">
        <v>10</v>
      </c>
      <c r="F2497">
        <v>13153</v>
      </c>
    </row>
    <row r="2498" spans="1:6" x14ac:dyDescent="0.25">
      <c r="A2498" t="s">
        <v>4657</v>
      </c>
      <c r="B2498" t="s">
        <v>4658</v>
      </c>
      <c r="C2498" s="1">
        <v>44083</v>
      </c>
      <c r="D2498" t="b">
        <v>1</v>
      </c>
      <c r="E2498" t="s">
        <v>10</v>
      </c>
      <c r="F2498">
        <v>2161</v>
      </c>
    </row>
    <row r="2499" spans="1:6" x14ac:dyDescent="0.25">
      <c r="A2499" t="s">
        <v>4659</v>
      </c>
      <c r="C2499" s="1">
        <v>44083</v>
      </c>
      <c r="D2499" t="b">
        <v>1</v>
      </c>
      <c r="E2499" t="s">
        <v>10</v>
      </c>
      <c r="F2499">
        <v>14484</v>
      </c>
    </row>
    <row r="2500" spans="1:6" x14ac:dyDescent="0.25">
      <c r="A2500" t="s">
        <v>4660</v>
      </c>
      <c r="B2500" t="s">
        <v>4661</v>
      </c>
      <c r="C2500" s="1">
        <v>44083</v>
      </c>
      <c r="D2500" t="b">
        <v>1</v>
      </c>
      <c r="E2500" t="s">
        <v>10</v>
      </c>
      <c r="F2500">
        <v>8523</v>
      </c>
    </row>
    <row r="2501" spans="1:6" x14ac:dyDescent="0.25">
      <c r="A2501" t="s">
        <v>4662</v>
      </c>
      <c r="B2501" t="s">
        <v>4663</v>
      </c>
      <c r="C2501" s="1">
        <v>44083</v>
      </c>
      <c r="D2501" t="b">
        <v>1</v>
      </c>
      <c r="E2501" t="s">
        <v>10</v>
      </c>
      <c r="F2501">
        <v>2163</v>
      </c>
    </row>
    <row r="2502" spans="1:6" x14ac:dyDescent="0.25">
      <c r="A2502" t="s">
        <v>4664</v>
      </c>
      <c r="B2502" t="s">
        <v>4665</v>
      </c>
      <c r="C2502" s="1">
        <v>44083</v>
      </c>
      <c r="D2502" t="b">
        <v>1</v>
      </c>
      <c r="E2502" t="s">
        <v>10</v>
      </c>
      <c r="F2502">
        <v>8074</v>
      </c>
    </row>
    <row r="2503" spans="1:6" x14ac:dyDescent="0.25">
      <c r="A2503" t="s">
        <v>4666</v>
      </c>
      <c r="B2503" t="s">
        <v>4667</v>
      </c>
      <c r="C2503" s="1">
        <v>44083</v>
      </c>
      <c r="D2503" t="b">
        <v>1</v>
      </c>
      <c r="E2503" t="s">
        <v>10</v>
      </c>
      <c r="F2503">
        <v>2164</v>
      </c>
    </row>
    <row r="2504" spans="1:6" x14ac:dyDescent="0.25">
      <c r="A2504" t="s">
        <v>4668</v>
      </c>
      <c r="B2504" t="s">
        <v>4669</v>
      </c>
      <c r="C2504" s="1">
        <v>44083</v>
      </c>
      <c r="D2504" t="b">
        <v>1</v>
      </c>
      <c r="E2504" t="s">
        <v>10</v>
      </c>
      <c r="F2504">
        <v>2167</v>
      </c>
    </row>
    <row r="2505" spans="1:6" x14ac:dyDescent="0.25">
      <c r="A2505" t="s">
        <v>4670</v>
      </c>
      <c r="B2505" t="s">
        <v>4671</v>
      </c>
      <c r="C2505" s="1">
        <v>44083</v>
      </c>
      <c r="D2505" t="b">
        <v>1</v>
      </c>
      <c r="E2505" t="s">
        <v>10</v>
      </c>
      <c r="F2505">
        <v>11272</v>
      </c>
    </row>
    <row r="2506" spans="1:6" x14ac:dyDescent="0.25">
      <c r="A2506" t="s">
        <v>4672</v>
      </c>
      <c r="C2506" s="1">
        <v>44083</v>
      </c>
      <c r="D2506" t="b">
        <v>1</v>
      </c>
      <c r="E2506" t="s">
        <v>10</v>
      </c>
      <c r="F2506">
        <v>2168</v>
      </c>
    </row>
    <row r="2507" spans="1:6" x14ac:dyDescent="0.25">
      <c r="A2507" t="s">
        <v>4673</v>
      </c>
      <c r="B2507" t="s">
        <v>4674</v>
      </c>
      <c r="C2507" s="1">
        <v>44083</v>
      </c>
      <c r="D2507" t="b">
        <v>1</v>
      </c>
      <c r="E2507" t="s">
        <v>10</v>
      </c>
      <c r="F2507">
        <v>7636</v>
      </c>
    </row>
    <row r="2508" spans="1:6" x14ac:dyDescent="0.25">
      <c r="A2508" t="s">
        <v>4675</v>
      </c>
      <c r="B2508" t="s">
        <v>4676</v>
      </c>
      <c r="C2508" s="1">
        <v>44083</v>
      </c>
      <c r="D2508" t="b">
        <v>1</v>
      </c>
      <c r="E2508" t="s">
        <v>10</v>
      </c>
      <c r="F2508">
        <v>8469</v>
      </c>
    </row>
    <row r="2509" spans="1:6" x14ac:dyDescent="0.25">
      <c r="A2509" t="s">
        <v>4677</v>
      </c>
      <c r="C2509" s="1">
        <v>44083</v>
      </c>
      <c r="D2509" t="b">
        <v>1</v>
      </c>
      <c r="E2509" t="s">
        <v>10</v>
      </c>
      <c r="F2509">
        <v>11181</v>
      </c>
    </row>
    <row r="2510" spans="1:6" x14ac:dyDescent="0.25">
      <c r="A2510" t="s">
        <v>4678</v>
      </c>
      <c r="B2510" t="s">
        <v>4679</v>
      </c>
      <c r="C2510" s="1">
        <v>44083</v>
      </c>
      <c r="D2510" t="b">
        <v>1</v>
      </c>
      <c r="E2510" t="s">
        <v>10</v>
      </c>
      <c r="F2510">
        <v>15295</v>
      </c>
    </row>
    <row r="2511" spans="1:6" x14ac:dyDescent="0.25">
      <c r="A2511" t="s">
        <v>4680</v>
      </c>
      <c r="B2511" t="s">
        <v>4681</v>
      </c>
      <c r="C2511" s="1">
        <v>44083</v>
      </c>
      <c r="D2511" t="b">
        <v>1</v>
      </c>
      <c r="E2511" t="s">
        <v>10</v>
      </c>
      <c r="F2511">
        <v>2172</v>
      </c>
    </row>
    <row r="2512" spans="1:6" x14ac:dyDescent="0.25">
      <c r="A2512" t="s">
        <v>4682</v>
      </c>
      <c r="B2512" t="s">
        <v>4683</v>
      </c>
      <c r="C2512" s="1">
        <v>44083</v>
      </c>
      <c r="D2512" t="b">
        <v>1</v>
      </c>
      <c r="E2512" t="s">
        <v>10</v>
      </c>
      <c r="F2512">
        <v>2173</v>
      </c>
    </row>
    <row r="2513" spans="1:6" x14ac:dyDescent="0.25">
      <c r="A2513" t="s">
        <v>4684</v>
      </c>
      <c r="B2513" t="s">
        <v>4685</v>
      </c>
      <c r="C2513" s="1">
        <v>44083</v>
      </c>
      <c r="D2513" t="b">
        <v>1</v>
      </c>
      <c r="E2513" t="s">
        <v>10</v>
      </c>
      <c r="F2513">
        <v>10104</v>
      </c>
    </row>
    <row r="2514" spans="1:6" x14ac:dyDescent="0.25">
      <c r="A2514" t="s">
        <v>4686</v>
      </c>
      <c r="C2514" s="1">
        <v>44083</v>
      </c>
      <c r="D2514" t="b">
        <v>1</v>
      </c>
      <c r="E2514" t="s">
        <v>10</v>
      </c>
      <c r="F2514">
        <v>15404</v>
      </c>
    </row>
    <row r="2515" spans="1:6" x14ac:dyDescent="0.25">
      <c r="A2515" t="s">
        <v>4687</v>
      </c>
      <c r="B2515" t="s">
        <v>4688</v>
      </c>
      <c r="C2515" s="1">
        <v>44083</v>
      </c>
      <c r="D2515" t="b">
        <v>1</v>
      </c>
      <c r="E2515" t="s">
        <v>10</v>
      </c>
      <c r="F2515">
        <v>2175</v>
      </c>
    </row>
    <row r="2516" spans="1:6" x14ac:dyDescent="0.25">
      <c r="A2516" t="s">
        <v>4689</v>
      </c>
      <c r="B2516" t="s">
        <v>4690</v>
      </c>
      <c r="C2516" s="1">
        <v>44083</v>
      </c>
      <c r="D2516" t="b">
        <v>1</v>
      </c>
      <c r="E2516" t="s">
        <v>10</v>
      </c>
      <c r="F2516">
        <v>2176</v>
      </c>
    </row>
    <row r="2517" spans="1:6" x14ac:dyDescent="0.25">
      <c r="A2517" t="s">
        <v>4691</v>
      </c>
      <c r="B2517" t="s">
        <v>4692</v>
      </c>
      <c r="C2517" s="1">
        <v>44083</v>
      </c>
      <c r="D2517" t="b">
        <v>1</v>
      </c>
      <c r="E2517" t="s">
        <v>10</v>
      </c>
      <c r="F2517">
        <v>8325</v>
      </c>
    </row>
    <row r="2518" spans="1:6" x14ac:dyDescent="0.25">
      <c r="A2518" t="s">
        <v>4693</v>
      </c>
      <c r="B2518" t="s">
        <v>4694</v>
      </c>
      <c r="C2518" s="1">
        <v>44083</v>
      </c>
      <c r="D2518" t="b">
        <v>1</v>
      </c>
      <c r="E2518" t="s">
        <v>10</v>
      </c>
      <c r="F2518">
        <v>2178</v>
      </c>
    </row>
    <row r="2519" spans="1:6" x14ac:dyDescent="0.25">
      <c r="A2519" t="s">
        <v>4695</v>
      </c>
      <c r="B2519" t="s">
        <v>4696</v>
      </c>
      <c r="C2519" s="1">
        <v>44083</v>
      </c>
      <c r="D2519" t="b">
        <v>1</v>
      </c>
      <c r="E2519" t="s">
        <v>10</v>
      </c>
      <c r="F2519">
        <v>2179</v>
      </c>
    </row>
    <row r="2520" spans="1:6" x14ac:dyDescent="0.25">
      <c r="A2520" t="s">
        <v>4697</v>
      </c>
      <c r="B2520" t="s">
        <v>4698</v>
      </c>
      <c r="C2520" s="1">
        <v>44083</v>
      </c>
      <c r="D2520" t="b">
        <v>1</v>
      </c>
      <c r="E2520" t="s">
        <v>10</v>
      </c>
      <c r="F2520">
        <v>13733</v>
      </c>
    </row>
    <row r="2521" spans="1:6" x14ac:dyDescent="0.25">
      <c r="A2521" t="s">
        <v>4699</v>
      </c>
      <c r="B2521" t="s">
        <v>4700</v>
      </c>
      <c r="C2521" s="1">
        <v>44083</v>
      </c>
      <c r="D2521" t="b">
        <v>1</v>
      </c>
      <c r="E2521" t="s">
        <v>10</v>
      </c>
      <c r="F2521">
        <v>13763</v>
      </c>
    </row>
    <row r="2522" spans="1:6" x14ac:dyDescent="0.25">
      <c r="A2522" t="s">
        <v>4701</v>
      </c>
      <c r="C2522" s="1">
        <v>44083</v>
      </c>
      <c r="D2522" t="b">
        <v>1</v>
      </c>
      <c r="E2522" t="s">
        <v>10</v>
      </c>
      <c r="F2522">
        <v>14787</v>
      </c>
    </row>
    <row r="2523" spans="1:6" x14ac:dyDescent="0.25">
      <c r="A2523" t="s">
        <v>4702</v>
      </c>
      <c r="B2523" t="s">
        <v>4703</v>
      </c>
      <c r="C2523" s="1">
        <v>44083</v>
      </c>
      <c r="D2523" t="b">
        <v>1</v>
      </c>
      <c r="E2523" t="s">
        <v>10</v>
      </c>
      <c r="F2523">
        <v>2181</v>
      </c>
    </row>
    <row r="2524" spans="1:6" x14ac:dyDescent="0.25">
      <c r="A2524" t="s">
        <v>4704</v>
      </c>
      <c r="B2524" t="s">
        <v>4705</v>
      </c>
      <c r="C2524" s="1">
        <v>44083</v>
      </c>
      <c r="D2524" t="b">
        <v>1</v>
      </c>
      <c r="E2524" t="s">
        <v>10</v>
      </c>
      <c r="F2524">
        <v>7833</v>
      </c>
    </row>
    <row r="2525" spans="1:6" x14ac:dyDescent="0.25">
      <c r="A2525" t="s">
        <v>4706</v>
      </c>
      <c r="B2525" t="s">
        <v>4707</v>
      </c>
      <c r="C2525" s="1">
        <v>44083</v>
      </c>
      <c r="D2525" t="b">
        <v>1</v>
      </c>
      <c r="E2525" t="s">
        <v>10</v>
      </c>
      <c r="F2525">
        <v>2183</v>
      </c>
    </row>
    <row r="2526" spans="1:6" x14ac:dyDescent="0.25">
      <c r="A2526" t="s">
        <v>4708</v>
      </c>
      <c r="B2526" t="s">
        <v>4709</v>
      </c>
      <c r="C2526" s="1">
        <v>44083</v>
      </c>
      <c r="D2526" t="b">
        <v>1</v>
      </c>
      <c r="E2526" t="s">
        <v>10</v>
      </c>
      <c r="F2526">
        <v>2185</v>
      </c>
    </row>
    <row r="2527" spans="1:6" x14ac:dyDescent="0.25">
      <c r="A2527" t="s">
        <v>4710</v>
      </c>
      <c r="B2527" t="s">
        <v>4711</v>
      </c>
      <c r="C2527" s="1">
        <v>44083</v>
      </c>
      <c r="D2527" t="b">
        <v>1</v>
      </c>
      <c r="E2527" t="s">
        <v>10</v>
      </c>
      <c r="F2527">
        <v>2186</v>
      </c>
    </row>
    <row r="2528" spans="1:6" x14ac:dyDescent="0.25">
      <c r="A2528" t="s">
        <v>4712</v>
      </c>
      <c r="B2528" t="s">
        <v>4713</v>
      </c>
      <c r="C2528" s="1">
        <v>44083</v>
      </c>
      <c r="D2528" t="b">
        <v>1</v>
      </c>
      <c r="E2528" t="s">
        <v>10</v>
      </c>
      <c r="F2528">
        <v>2189</v>
      </c>
    </row>
    <row r="2529" spans="1:6" x14ac:dyDescent="0.25">
      <c r="A2529" t="s">
        <v>4714</v>
      </c>
      <c r="B2529" t="s">
        <v>4715</v>
      </c>
      <c r="C2529" s="1">
        <v>44083</v>
      </c>
      <c r="D2529" t="b">
        <v>1</v>
      </c>
      <c r="E2529" t="s">
        <v>10</v>
      </c>
      <c r="F2529">
        <v>2190</v>
      </c>
    </row>
    <row r="2530" spans="1:6" x14ac:dyDescent="0.25">
      <c r="A2530" t="s">
        <v>4716</v>
      </c>
      <c r="B2530" t="s">
        <v>4717</v>
      </c>
      <c r="C2530" s="1">
        <v>44083</v>
      </c>
      <c r="D2530" t="b">
        <v>1</v>
      </c>
      <c r="E2530" t="s">
        <v>10</v>
      </c>
      <c r="F2530">
        <v>2191</v>
      </c>
    </row>
    <row r="2531" spans="1:6" x14ac:dyDescent="0.25">
      <c r="A2531" t="s">
        <v>4718</v>
      </c>
      <c r="B2531" t="s">
        <v>4719</v>
      </c>
      <c r="C2531" s="1">
        <v>44083</v>
      </c>
      <c r="D2531" t="b">
        <v>1</v>
      </c>
      <c r="E2531" t="s">
        <v>10</v>
      </c>
      <c r="F2531">
        <v>14003</v>
      </c>
    </row>
    <row r="2532" spans="1:6" x14ac:dyDescent="0.25">
      <c r="A2532" t="s">
        <v>4720</v>
      </c>
      <c r="B2532" t="s">
        <v>4721</v>
      </c>
      <c r="C2532" s="1">
        <v>44083</v>
      </c>
      <c r="D2532" t="b">
        <v>1</v>
      </c>
      <c r="E2532" t="s">
        <v>10</v>
      </c>
      <c r="F2532">
        <v>2194</v>
      </c>
    </row>
    <row r="2533" spans="1:6" x14ac:dyDescent="0.25">
      <c r="A2533" t="s">
        <v>4722</v>
      </c>
      <c r="B2533" t="s">
        <v>4723</v>
      </c>
      <c r="C2533" s="1">
        <v>44083</v>
      </c>
      <c r="D2533" t="b">
        <v>1</v>
      </c>
      <c r="E2533" t="s">
        <v>10</v>
      </c>
      <c r="F2533">
        <v>2195</v>
      </c>
    </row>
    <row r="2534" spans="1:6" x14ac:dyDescent="0.25">
      <c r="A2534" t="s">
        <v>4724</v>
      </c>
      <c r="C2534" s="1">
        <v>44083</v>
      </c>
      <c r="D2534" t="b">
        <v>1</v>
      </c>
      <c r="E2534" t="s">
        <v>10</v>
      </c>
      <c r="F2534">
        <v>2197</v>
      </c>
    </row>
    <row r="2535" spans="1:6" x14ac:dyDescent="0.25">
      <c r="A2535" t="s">
        <v>4725</v>
      </c>
      <c r="B2535" t="s">
        <v>4726</v>
      </c>
      <c r="C2535" s="1">
        <v>44083</v>
      </c>
      <c r="D2535" t="b">
        <v>1</v>
      </c>
      <c r="E2535" t="s">
        <v>10</v>
      </c>
      <c r="F2535">
        <v>503</v>
      </c>
    </row>
    <row r="2536" spans="1:6" x14ac:dyDescent="0.25">
      <c r="A2536" t="s">
        <v>4727</v>
      </c>
      <c r="B2536" t="s">
        <v>4728</v>
      </c>
      <c r="C2536" s="1">
        <v>44083</v>
      </c>
      <c r="D2536" t="b">
        <v>1</v>
      </c>
      <c r="E2536" t="s">
        <v>10</v>
      </c>
      <c r="F2536">
        <v>2198</v>
      </c>
    </row>
    <row r="2537" spans="1:6" x14ac:dyDescent="0.25">
      <c r="A2537" t="s">
        <v>4729</v>
      </c>
      <c r="B2537" t="s">
        <v>4730</v>
      </c>
      <c r="C2537" s="1">
        <v>44083</v>
      </c>
      <c r="D2537" t="b">
        <v>1</v>
      </c>
      <c r="E2537" t="s">
        <v>10</v>
      </c>
      <c r="F2537">
        <v>2200</v>
      </c>
    </row>
    <row r="2538" spans="1:6" x14ac:dyDescent="0.25">
      <c r="A2538" t="s">
        <v>4731</v>
      </c>
      <c r="B2538" t="s">
        <v>4732</v>
      </c>
      <c r="C2538" s="1">
        <v>44083</v>
      </c>
      <c r="D2538" t="b">
        <v>1</v>
      </c>
      <c r="E2538" t="s">
        <v>10</v>
      </c>
      <c r="F2538">
        <v>2174</v>
      </c>
    </row>
    <row r="2539" spans="1:6" x14ac:dyDescent="0.25">
      <c r="A2539" t="s">
        <v>4733</v>
      </c>
      <c r="B2539" t="s">
        <v>4734</v>
      </c>
      <c r="C2539" s="1">
        <v>44083</v>
      </c>
      <c r="D2539" t="b">
        <v>1</v>
      </c>
      <c r="E2539" t="s">
        <v>10</v>
      </c>
      <c r="F2539">
        <v>2202</v>
      </c>
    </row>
    <row r="2540" spans="1:6" x14ac:dyDescent="0.25">
      <c r="A2540" t="s">
        <v>4735</v>
      </c>
      <c r="B2540" t="s">
        <v>4736</v>
      </c>
      <c r="C2540" s="1">
        <v>44083</v>
      </c>
      <c r="D2540" t="b">
        <v>1</v>
      </c>
      <c r="E2540" t="s">
        <v>10</v>
      </c>
      <c r="F2540">
        <v>2203</v>
      </c>
    </row>
    <row r="2541" spans="1:6" x14ac:dyDescent="0.25">
      <c r="A2541" t="s">
        <v>4737</v>
      </c>
      <c r="B2541" t="s">
        <v>4738</v>
      </c>
      <c r="C2541" s="1">
        <v>44083</v>
      </c>
      <c r="D2541" t="b">
        <v>1</v>
      </c>
      <c r="E2541" t="s">
        <v>10</v>
      </c>
      <c r="F2541">
        <v>2204</v>
      </c>
    </row>
    <row r="2542" spans="1:6" x14ac:dyDescent="0.25">
      <c r="A2542" t="s">
        <v>4739</v>
      </c>
      <c r="B2542" t="s">
        <v>4740</v>
      </c>
      <c r="C2542" s="1">
        <v>44083</v>
      </c>
      <c r="D2542" t="b">
        <v>1</v>
      </c>
      <c r="E2542" t="s">
        <v>10</v>
      </c>
      <c r="F2542">
        <v>10283</v>
      </c>
    </row>
    <row r="2543" spans="1:6" x14ac:dyDescent="0.25">
      <c r="A2543" t="s">
        <v>4741</v>
      </c>
      <c r="B2543" t="s">
        <v>4742</v>
      </c>
      <c r="C2543" s="1">
        <v>44083</v>
      </c>
      <c r="D2543" t="b">
        <v>1</v>
      </c>
      <c r="E2543" t="s">
        <v>10</v>
      </c>
      <c r="F2543">
        <v>2207</v>
      </c>
    </row>
    <row r="2544" spans="1:6" x14ac:dyDescent="0.25">
      <c r="A2544" t="s">
        <v>4743</v>
      </c>
      <c r="B2544" t="s">
        <v>4744</v>
      </c>
      <c r="C2544" s="1">
        <v>44083</v>
      </c>
      <c r="D2544" t="b">
        <v>1</v>
      </c>
      <c r="E2544" t="s">
        <v>10</v>
      </c>
      <c r="F2544">
        <v>2209</v>
      </c>
    </row>
    <row r="2545" spans="1:6" x14ac:dyDescent="0.25">
      <c r="A2545" t="s">
        <v>4745</v>
      </c>
      <c r="B2545" t="s">
        <v>4746</v>
      </c>
      <c r="C2545" s="1">
        <v>44083</v>
      </c>
      <c r="D2545" t="b">
        <v>1</v>
      </c>
      <c r="E2545" t="s">
        <v>10</v>
      </c>
      <c r="F2545">
        <v>2210</v>
      </c>
    </row>
    <row r="2546" spans="1:6" x14ac:dyDescent="0.25">
      <c r="A2546" t="s">
        <v>4747</v>
      </c>
      <c r="B2546" t="s">
        <v>4748</v>
      </c>
      <c r="C2546" s="1">
        <v>44083</v>
      </c>
      <c r="D2546" t="b">
        <v>1</v>
      </c>
      <c r="E2546" t="s">
        <v>10</v>
      </c>
      <c r="F2546">
        <v>2211</v>
      </c>
    </row>
    <row r="2547" spans="1:6" x14ac:dyDescent="0.25">
      <c r="A2547" t="s">
        <v>4749</v>
      </c>
      <c r="C2547" s="1">
        <v>44083</v>
      </c>
      <c r="D2547" t="b">
        <v>1</v>
      </c>
      <c r="E2547" t="s">
        <v>10</v>
      </c>
      <c r="F2547">
        <v>2212</v>
      </c>
    </row>
    <row r="2548" spans="1:6" x14ac:dyDescent="0.25">
      <c r="A2548" t="s">
        <v>4750</v>
      </c>
      <c r="C2548" s="1">
        <v>44083</v>
      </c>
      <c r="D2548" t="b">
        <v>1</v>
      </c>
      <c r="E2548" t="s">
        <v>10</v>
      </c>
      <c r="F2548">
        <v>2213</v>
      </c>
    </row>
    <row r="2549" spans="1:6" x14ac:dyDescent="0.25">
      <c r="A2549" t="s">
        <v>4751</v>
      </c>
      <c r="C2549" s="1">
        <v>44083</v>
      </c>
      <c r="D2549" t="b">
        <v>1</v>
      </c>
      <c r="E2549" t="s">
        <v>10</v>
      </c>
      <c r="F2549">
        <v>13889</v>
      </c>
    </row>
    <row r="2550" spans="1:6" x14ac:dyDescent="0.25">
      <c r="A2550" t="s">
        <v>4752</v>
      </c>
      <c r="B2550" t="s">
        <v>4753</v>
      </c>
      <c r="C2550" s="1">
        <v>44083</v>
      </c>
      <c r="D2550" t="b">
        <v>1</v>
      </c>
      <c r="E2550" t="s">
        <v>10</v>
      </c>
      <c r="F2550">
        <v>11402</v>
      </c>
    </row>
    <row r="2551" spans="1:6" x14ac:dyDescent="0.25">
      <c r="A2551" t="s">
        <v>4754</v>
      </c>
      <c r="B2551" t="s">
        <v>4755</v>
      </c>
      <c r="C2551" s="1">
        <v>44083</v>
      </c>
      <c r="D2551" t="b">
        <v>1</v>
      </c>
      <c r="E2551" t="s">
        <v>10</v>
      </c>
      <c r="F2551">
        <v>14678</v>
      </c>
    </row>
    <row r="2552" spans="1:6" x14ac:dyDescent="0.25">
      <c r="A2552" t="s">
        <v>4756</v>
      </c>
      <c r="B2552" t="s">
        <v>4757</v>
      </c>
      <c r="C2552" s="1">
        <v>44083</v>
      </c>
      <c r="D2552" t="b">
        <v>1</v>
      </c>
      <c r="E2552" t="s">
        <v>10</v>
      </c>
      <c r="F2552">
        <v>2215</v>
      </c>
    </row>
    <row r="2553" spans="1:6" x14ac:dyDescent="0.25">
      <c r="A2553" t="s">
        <v>4758</v>
      </c>
      <c r="B2553" t="s">
        <v>4759</v>
      </c>
      <c r="C2553" s="1">
        <v>44083</v>
      </c>
      <c r="D2553" t="b">
        <v>1</v>
      </c>
      <c r="E2553" t="s">
        <v>10</v>
      </c>
      <c r="F2553">
        <v>15451</v>
      </c>
    </row>
    <row r="2554" spans="1:6" x14ac:dyDescent="0.25">
      <c r="A2554" t="s">
        <v>4760</v>
      </c>
      <c r="B2554" t="s">
        <v>4761</v>
      </c>
      <c r="C2554" s="1">
        <v>44083</v>
      </c>
      <c r="D2554" t="b">
        <v>1</v>
      </c>
      <c r="E2554" t="s">
        <v>10</v>
      </c>
      <c r="F2554">
        <v>2216</v>
      </c>
    </row>
    <row r="2555" spans="1:6" x14ac:dyDescent="0.25">
      <c r="A2555" t="s">
        <v>4762</v>
      </c>
      <c r="B2555" t="s">
        <v>4763</v>
      </c>
      <c r="C2555" s="1">
        <v>44083</v>
      </c>
      <c r="D2555" t="b">
        <v>1</v>
      </c>
      <c r="E2555" t="s">
        <v>10</v>
      </c>
      <c r="F2555">
        <v>2217</v>
      </c>
    </row>
    <row r="2556" spans="1:6" x14ac:dyDescent="0.25">
      <c r="A2556" t="s">
        <v>4764</v>
      </c>
      <c r="B2556" t="s">
        <v>4765</v>
      </c>
      <c r="C2556" s="1">
        <v>44083</v>
      </c>
      <c r="D2556" t="b">
        <v>1</v>
      </c>
      <c r="E2556" t="s">
        <v>10</v>
      </c>
      <c r="F2556">
        <v>2218</v>
      </c>
    </row>
    <row r="2557" spans="1:6" x14ac:dyDescent="0.25">
      <c r="A2557" t="s">
        <v>4766</v>
      </c>
      <c r="B2557" t="s">
        <v>4767</v>
      </c>
      <c r="C2557" s="1">
        <v>44083</v>
      </c>
      <c r="D2557" t="b">
        <v>1</v>
      </c>
      <c r="E2557" t="s">
        <v>10</v>
      </c>
      <c r="F2557">
        <v>15037</v>
      </c>
    </row>
    <row r="2558" spans="1:6" x14ac:dyDescent="0.25">
      <c r="A2558" t="s">
        <v>4768</v>
      </c>
      <c r="B2558" t="s">
        <v>4769</v>
      </c>
      <c r="C2558" s="1">
        <v>44083</v>
      </c>
      <c r="D2558" t="b">
        <v>1</v>
      </c>
      <c r="E2558" t="s">
        <v>10</v>
      </c>
      <c r="F2558">
        <v>9605</v>
      </c>
    </row>
    <row r="2559" spans="1:6" x14ac:dyDescent="0.25">
      <c r="A2559" t="s">
        <v>4770</v>
      </c>
      <c r="B2559" t="s">
        <v>4771</v>
      </c>
      <c r="C2559" s="1">
        <v>44083</v>
      </c>
      <c r="D2559" t="b">
        <v>1</v>
      </c>
      <c r="E2559" t="s">
        <v>10</v>
      </c>
      <c r="F2559">
        <v>10685</v>
      </c>
    </row>
    <row r="2560" spans="1:6" x14ac:dyDescent="0.25">
      <c r="A2560" t="s">
        <v>4772</v>
      </c>
      <c r="B2560" t="s">
        <v>4773</v>
      </c>
      <c r="C2560" s="1">
        <v>44083</v>
      </c>
      <c r="D2560" t="b">
        <v>1</v>
      </c>
      <c r="E2560" t="s">
        <v>10</v>
      </c>
      <c r="F2560">
        <v>1614</v>
      </c>
    </row>
    <row r="2561" spans="1:6" x14ac:dyDescent="0.25">
      <c r="A2561" t="s">
        <v>4774</v>
      </c>
      <c r="C2561" s="1">
        <v>44083</v>
      </c>
      <c r="D2561" t="b">
        <v>1</v>
      </c>
      <c r="E2561" t="s">
        <v>10</v>
      </c>
      <c r="F2561">
        <v>1615</v>
      </c>
    </row>
    <row r="2562" spans="1:6" x14ac:dyDescent="0.25">
      <c r="A2562" t="s">
        <v>4775</v>
      </c>
      <c r="B2562" t="s">
        <v>4776</v>
      </c>
      <c r="C2562" s="1">
        <v>44083</v>
      </c>
      <c r="D2562" t="b">
        <v>1</v>
      </c>
      <c r="E2562" t="s">
        <v>10</v>
      </c>
      <c r="F2562">
        <v>14451</v>
      </c>
    </row>
    <row r="2563" spans="1:6" x14ac:dyDescent="0.25">
      <c r="A2563" t="s">
        <v>4777</v>
      </c>
      <c r="C2563" s="1">
        <v>44083</v>
      </c>
      <c r="D2563" t="b">
        <v>1</v>
      </c>
      <c r="E2563" t="s">
        <v>10</v>
      </c>
      <c r="F2563">
        <v>16342</v>
      </c>
    </row>
    <row r="2564" spans="1:6" x14ac:dyDescent="0.25">
      <c r="A2564" t="s">
        <v>4778</v>
      </c>
      <c r="B2564" t="s">
        <v>4779</v>
      </c>
      <c r="C2564" s="1">
        <v>44083</v>
      </c>
      <c r="D2564" t="b">
        <v>1</v>
      </c>
      <c r="E2564" t="s">
        <v>10</v>
      </c>
      <c r="F2564">
        <v>2219</v>
      </c>
    </row>
    <row r="2565" spans="1:6" x14ac:dyDescent="0.25">
      <c r="A2565" t="s">
        <v>4780</v>
      </c>
      <c r="B2565" t="s">
        <v>4781</v>
      </c>
      <c r="C2565" s="1">
        <v>44083</v>
      </c>
      <c r="D2565" t="b">
        <v>1</v>
      </c>
      <c r="E2565" t="s">
        <v>10</v>
      </c>
      <c r="F2565">
        <v>2220</v>
      </c>
    </row>
    <row r="2566" spans="1:6" x14ac:dyDescent="0.25">
      <c r="A2566" t="s">
        <v>4782</v>
      </c>
      <c r="B2566" t="s">
        <v>4783</v>
      </c>
      <c r="C2566" s="1">
        <v>44083</v>
      </c>
      <c r="D2566" t="b">
        <v>1</v>
      </c>
      <c r="E2566" t="s">
        <v>10</v>
      </c>
      <c r="F2566">
        <v>6548</v>
      </c>
    </row>
    <row r="2567" spans="1:6" x14ac:dyDescent="0.25">
      <c r="A2567" t="s">
        <v>4784</v>
      </c>
      <c r="B2567" t="s">
        <v>4785</v>
      </c>
      <c r="C2567" s="1">
        <v>44083</v>
      </c>
      <c r="D2567" t="b">
        <v>1</v>
      </c>
      <c r="E2567" t="s">
        <v>10</v>
      </c>
      <c r="F2567">
        <v>2222</v>
      </c>
    </row>
    <row r="2568" spans="1:6" x14ac:dyDescent="0.25">
      <c r="A2568" t="s">
        <v>4786</v>
      </c>
      <c r="B2568" t="s">
        <v>4787</v>
      </c>
      <c r="C2568" s="1">
        <v>44083</v>
      </c>
      <c r="D2568" t="b">
        <v>1</v>
      </c>
      <c r="E2568" t="s">
        <v>10</v>
      </c>
      <c r="F2568">
        <v>13115</v>
      </c>
    </row>
    <row r="2569" spans="1:6" x14ac:dyDescent="0.25">
      <c r="A2569" t="s">
        <v>4788</v>
      </c>
      <c r="B2569" t="s">
        <v>4789</v>
      </c>
      <c r="C2569" s="1">
        <v>44083</v>
      </c>
      <c r="D2569" t="b">
        <v>1</v>
      </c>
      <c r="E2569" t="s">
        <v>10</v>
      </c>
      <c r="F2569">
        <v>2223</v>
      </c>
    </row>
    <row r="2570" spans="1:6" x14ac:dyDescent="0.25">
      <c r="A2570" t="s">
        <v>4790</v>
      </c>
      <c r="B2570" t="s">
        <v>4791</v>
      </c>
      <c r="C2570" s="1">
        <v>44083</v>
      </c>
      <c r="D2570" t="b">
        <v>1</v>
      </c>
      <c r="E2570" t="s">
        <v>10</v>
      </c>
      <c r="F2570">
        <v>2224</v>
      </c>
    </row>
    <row r="2571" spans="1:6" x14ac:dyDescent="0.25">
      <c r="A2571" t="s">
        <v>4792</v>
      </c>
      <c r="B2571" t="s">
        <v>4793</v>
      </c>
      <c r="C2571" s="1">
        <v>44083</v>
      </c>
      <c r="D2571" t="b">
        <v>1</v>
      </c>
      <c r="E2571" t="s">
        <v>10</v>
      </c>
      <c r="F2571">
        <v>5694</v>
      </c>
    </row>
    <row r="2572" spans="1:6" x14ac:dyDescent="0.25">
      <c r="A2572" t="s">
        <v>4794</v>
      </c>
      <c r="B2572" t="s">
        <v>4795</v>
      </c>
      <c r="C2572" s="1">
        <v>44083</v>
      </c>
      <c r="D2572" t="b">
        <v>1</v>
      </c>
      <c r="E2572" t="s">
        <v>10</v>
      </c>
      <c r="F2572">
        <v>16076</v>
      </c>
    </row>
    <row r="2573" spans="1:6" x14ac:dyDescent="0.25">
      <c r="A2573" t="s">
        <v>4796</v>
      </c>
      <c r="B2573" t="s">
        <v>4797</v>
      </c>
      <c r="C2573" s="1">
        <v>44083</v>
      </c>
      <c r="D2573" t="b">
        <v>1</v>
      </c>
      <c r="E2573" t="s">
        <v>10</v>
      </c>
      <c r="F2573">
        <v>2229</v>
      </c>
    </row>
    <row r="2574" spans="1:6" x14ac:dyDescent="0.25">
      <c r="A2574" t="s">
        <v>4798</v>
      </c>
      <c r="B2574" t="s">
        <v>4799</v>
      </c>
      <c r="C2574" s="1">
        <v>44083</v>
      </c>
      <c r="D2574" t="b">
        <v>1</v>
      </c>
      <c r="E2574" t="s">
        <v>10</v>
      </c>
      <c r="F2574">
        <v>16938</v>
      </c>
    </row>
    <row r="2575" spans="1:6" x14ac:dyDescent="0.25">
      <c r="A2575" t="s">
        <v>4800</v>
      </c>
      <c r="B2575" t="s">
        <v>4801</v>
      </c>
      <c r="C2575" s="1">
        <v>44083</v>
      </c>
      <c r="D2575" t="b">
        <v>1</v>
      </c>
      <c r="E2575" t="s">
        <v>10</v>
      </c>
      <c r="F2575">
        <v>2230</v>
      </c>
    </row>
    <row r="2576" spans="1:6" x14ac:dyDescent="0.25">
      <c r="A2576" t="s">
        <v>4802</v>
      </c>
      <c r="B2576" t="s">
        <v>4803</v>
      </c>
      <c r="C2576" s="1">
        <v>44083</v>
      </c>
      <c r="D2576" t="b">
        <v>1</v>
      </c>
      <c r="E2576" t="s">
        <v>10</v>
      </c>
      <c r="F2576">
        <v>2231</v>
      </c>
    </row>
    <row r="2577" spans="1:6" x14ac:dyDescent="0.25">
      <c r="A2577" t="s">
        <v>4804</v>
      </c>
      <c r="B2577" t="s">
        <v>4805</v>
      </c>
      <c r="C2577" s="1">
        <v>44083</v>
      </c>
      <c r="D2577" t="b">
        <v>1</v>
      </c>
      <c r="E2577" t="s">
        <v>10</v>
      </c>
      <c r="F2577">
        <v>2232</v>
      </c>
    </row>
    <row r="2578" spans="1:6" x14ac:dyDescent="0.25">
      <c r="A2578" t="s">
        <v>4806</v>
      </c>
      <c r="B2578" t="s">
        <v>4807</v>
      </c>
      <c r="C2578" s="1">
        <v>44083</v>
      </c>
      <c r="D2578" t="b">
        <v>1</v>
      </c>
      <c r="E2578" t="s">
        <v>10</v>
      </c>
      <c r="F2578">
        <v>2233</v>
      </c>
    </row>
    <row r="2579" spans="1:6" x14ac:dyDescent="0.25">
      <c r="A2579" t="s">
        <v>4808</v>
      </c>
      <c r="B2579" t="s">
        <v>4809</v>
      </c>
      <c r="C2579" s="1">
        <v>44083</v>
      </c>
      <c r="D2579" t="b">
        <v>1</v>
      </c>
      <c r="E2579" t="s">
        <v>10</v>
      </c>
      <c r="F2579">
        <v>2234</v>
      </c>
    </row>
    <row r="2580" spans="1:6" x14ac:dyDescent="0.25">
      <c r="A2580" t="s">
        <v>4810</v>
      </c>
      <c r="B2580" t="s">
        <v>4811</v>
      </c>
      <c r="C2580" s="1">
        <v>44083</v>
      </c>
      <c r="D2580" t="b">
        <v>1</v>
      </c>
      <c r="E2580" t="s">
        <v>10</v>
      </c>
      <c r="F2580">
        <v>2235</v>
      </c>
    </row>
    <row r="2581" spans="1:6" x14ac:dyDescent="0.25">
      <c r="A2581" t="s">
        <v>4812</v>
      </c>
      <c r="B2581" t="s">
        <v>4813</v>
      </c>
      <c r="C2581" s="1">
        <v>44083</v>
      </c>
      <c r="D2581" t="b">
        <v>1</v>
      </c>
      <c r="E2581" t="s">
        <v>10</v>
      </c>
      <c r="F2581">
        <v>12770</v>
      </c>
    </row>
    <row r="2582" spans="1:6" x14ac:dyDescent="0.25">
      <c r="A2582" t="s">
        <v>4814</v>
      </c>
      <c r="B2582" t="s">
        <v>4815</v>
      </c>
      <c r="C2582" s="1">
        <v>44083</v>
      </c>
      <c r="D2582" t="b">
        <v>1</v>
      </c>
      <c r="E2582" t="s">
        <v>10</v>
      </c>
      <c r="F2582">
        <v>8107</v>
      </c>
    </row>
    <row r="2583" spans="1:6" x14ac:dyDescent="0.25">
      <c r="A2583" t="s">
        <v>4816</v>
      </c>
      <c r="B2583" t="s">
        <v>4817</v>
      </c>
      <c r="C2583" s="1">
        <v>44083</v>
      </c>
      <c r="D2583" t="b">
        <v>1</v>
      </c>
      <c r="E2583" t="s">
        <v>10</v>
      </c>
      <c r="F2583">
        <v>15339</v>
      </c>
    </row>
    <row r="2584" spans="1:6" x14ac:dyDescent="0.25">
      <c r="A2584" t="s">
        <v>4818</v>
      </c>
      <c r="B2584" t="s">
        <v>4819</v>
      </c>
      <c r="C2584" s="1">
        <v>44083</v>
      </c>
      <c r="D2584" t="b">
        <v>1</v>
      </c>
      <c r="E2584" t="s">
        <v>10</v>
      </c>
      <c r="F2584">
        <v>2239</v>
      </c>
    </row>
    <row r="2585" spans="1:6" x14ac:dyDescent="0.25">
      <c r="A2585" t="s">
        <v>4820</v>
      </c>
      <c r="B2585" t="s">
        <v>4821</v>
      </c>
      <c r="C2585" s="1">
        <v>44083</v>
      </c>
      <c r="D2585" t="b">
        <v>1</v>
      </c>
      <c r="E2585" t="s">
        <v>10</v>
      </c>
      <c r="F2585">
        <v>2241</v>
      </c>
    </row>
    <row r="2586" spans="1:6" x14ac:dyDescent="0.25">
      <c r="A2586" t="s">
        <v>4822</v>
      </c>
      <c r="B2586" t="s">
        <v>4823</v>
      </c>
      <c r="C2586" s="1">
        <v>44083</v>
      </c>
      <c r="D2586" t="b">
        <v>1</v>
      </c>
      <c r="E2586" t="s">
        <v>10</v>
      </c>
      <c r="F2586">
        <v>2242</v>
      </c>
    </row>
    <row r="2587" spans="1:6" x14ac:dyDescent="0.25">
      <c r="A2587" t="s">
        <v>4824</v>
      </c>
      <c r="B2587" t="s">
        <v>4825</v>
      </c>
      <c r="C2587" s="1">
        <v>44083</v>
      </c>
      <c r="D2587" t="b">
        <v>1</v>
      </c>
      <c r="E2587" t="s">
        <v>10</v>
      </c>
      <c r="F2587">
        <v>13767</v>
      </c>
    </row>
    <row r="2588" spans="1:6" x14ac:dyDescent="0.25">
      <c r="A2588" t="s">
        <v>4826</v>
      </c>
      <c r="B2588" t="s">
        <v>4827</v>
      </c>
      <c r="C2588" s="1">
        <v>44083</v>
      </c>
      <c r="D2588" t="b">
        <v>1</v>
      </c>
      <c r="E2588" t="s">
        <v>10</v>
      </c>
      <c r="F2588">
        <v>4983</v>
      </c>
    </row>
    <row r="2589" spans="1:6" x14ac:dyDescent="0.25">
      <c r="A2589" t="s">
        <v>4828</v>
      </c>
      <c r="B2589" t="s">
        <v>4829</v>
      </c>
      <c r="C2589" s="1">
        <v>44083</v>
      </c>
      <c r="D2589" t="b">
        <v>1</v>
      </c>
      <c r="E2589" t="s">
        <v>10</v>
      </c>
      <c r="F2589">
        <v>7885</v>
      </c>
    </row>
    <row r="2590" spans="1:6" x14ac:dyDescent="0.25">
      <c r="A2590" t="s">
        <v>4830</v>
      </c>
      <c r="B2590" t="s">
        <v>4831</v>
      </c>
      <c r="C2590" s="1">
        <v>44083</v>
      </c>
      <c r="D2590" t="b">
        <v>1</v>
      </c>
      <c r="E2590" t="s">
        <v>10</v>
      </c>
      <c r="F2590">
        <v>2245</v>
      </c>
    </row>
    <row r="2591" spans="1:6" x14ac:dyDescent="0.25">
      <c r="A2591" t="s">
        <v>4832</v>
      </c>
      <c r="B2591" t="s">
        <v>4833</v>
      </c>
      <c r="C2591" s="1">
        <v>44083</v>
      </c>
      <c r="D2591" t="b">
        <v>1</v>
      </c>
      <c r="E2591" t="s">
        <v>10</v>
      </c>
      <c r="F2591">
        <v>2247</v>
      </c>
    </row>
    <row r="2592" spans="1:6" x14ac:dyDescent="0.25">
      <c r="A2592" t="s">
        <v>4834</v>
      </c>
      <c r="B2592" t="s">
        <v>4835</v>
      </c>
      <c r="C2592" s="1">
        <v>44083</v>
      </c>
      <c r="D2592" t="b">
        <v>1</v>
      </c>
      <c r="E2592" t="s">
        <v>10</v>
      </c>
      <c r="F2592">
        <v>9784</v>
      </c>
    </row>
    <row r="2593" spans="1:6" x14ac:dyDescent="0.25">
      <c r="A2593" t="s">
        <v>4836</v>
      </c>
      <c r="B2593" t="s">
        <v>4837</v>
      </c>
      <c r="C2593" s="1">
        <v>44083</v>
      </c>
      <c r="D2593" t="b">
        <v>1</v>
      </c>
      <c r="E2593" t="s">
        <v>10</v>
      </c>
      <c r="F2593">
        <v>2249</v>
      </c>
    </row>
    <row r="2594" spans="1:6" x14ac:dyDescent="0.25">
      <c r="A2594" t="s">
        <v>4838</v>
      </c>
      <c r="B2594" t="s">
        <v>4839</v>
      </c>
      <c r="C2594" s="1">
        <v>44083</v>
      </c>
      <c r="D2594" t="b">
        <v>1</v>
      </c>
      <c r="E2594" t="s">
        <v>10</v>
      </c>
      <c r="F2594">
        <v>2250</v>
      </c>
    </row>
    <row r="2595" spans="1:6" x14ac:dyDescent="0.25">
      <c r="A2595" t="s">
        <v>4840</v>
      </c>
      <c r="B2595" t="s">
        <v>4841</v>
      </c>
      <c r="C2595" s="1">
        <v>44083</v>
      </c>
      <c r="D2595" t="b">
        <v>1</v>
      </c>
      <c r="E2595" t="s">
        <v>10</v>
      </c>
      <c r="F2595">
        <v>9781</v>
      </c>
    </row>
    <row r="2596" spans="1:6" x14ac:dyDescent="0.25">
      <c r="A2596" t="s">
        <v>4842</v>
      </c>
      <c r="B2596" t="s">
        <v>4843</v>
      </c>
      <c r="C2596" s="1">
        <v>44083</v>
      </c>
      <c r="D2596" t="b">
        <v>1</v>
      </c>
      <c r="E2596" t="s">
        <v>10</v>
      </c>
      <c r="F2596">
        <v>11601</v>
      </c>
    </row>
    <row r="2597" spans="1:6" x14ac:dyDescent="0.25">
      <c r="A2597" t="s">
        <v>4844</v>
      </c>
      <c r="B2597" t="s">
        <v>4845</v>
      </c>
      <c r="C2597" s="1">
        <v>44083</v>
      </c>
      <c r="D2597" t="b">
        <v>0</v>
      </c>
      <c r="E2597" t="s">
        <v>10</v>
      </c>
      <c r="F2597">
        <v>16966</v>
      </c>
    </row>
    <row r="2598" spans="1:6" x14ac:dyDescent="0.25">
      <c r="A2598" t="s">
        <v>4846</v>
      </c>
      <c r="B2598" t="s">
        <v>4847</v>
      </c>
      <c r="C2598" s="1">
        <v>44083</v>
      </c>
      <c r="D2598" t="b">
        <v>1</v>
      </c>
      <c r="E2598" t="s">
        <v>10</v>
      </c>
      <c r="F2598">
        <v>11543</v>
      </c>
    </row>
    <row r="2599" spans="1:6" x14ac:dyDescent="0.25">
      <c r="A2599" t="s">
        <v>4848</v>
      </c>
      <c r="B2599" t="s">
        <v>4849</v>
      </c>
      <c r="C2599" s="1">
        <v>44083</v>
      </c>
      <c r="D2599" t="b">
        <v>1</v>
      </c>
      <c r="E2599" t="s">
        <v>10</v>
      </c>
      <c r="F2599">
        <v>11544</v>
      </c>
    </row>
    <row r="2600" spans="1:6" x14ac:dyDescent="0.25">
      <c r="A2600" t="s">
        <v>4850</v>
      </c>
      <c r="B2600" t="s">
        <v>4851</v>
      </c>
      <c r="C2600" s="1">
        <v>44083</v>
      </c>
      <c r="D2600" t="b">
        <v>1</v>
      </c>
      <c r="E2600" t="s">
        <v>10</v>
      </c>
      <c r="F2600">
        <v>11602</v>
      </c>
    </row>
    <row r="2601" spans="1:6" x14ac:dyDescent="0.25">
      <c r="A2601" t="s">
        <v>4852</v>
      </c>
      <c r="B2601" t="s">
        <v>4853</v>
      </c>
      <c r="C2601" s="1">
        <v>44083</v>
      </c>
      <c r="D2601" t="b">
        <v>1</v>
      </c>
      <c r="E2601" t="s">
        <v>10</v>
      </c>
      <c r="F2601">
        <v>11457</v>
      </c>
    </row>
    <row r="2602" spans="1:6" x14ac:dyDescent="0.25">
      <c r="A2602" t="s">
        <v>4854</v>
      </c>
      <c r="B2602" t="s">
        <v>4855</v>
      </c>
      <c r="C2602" s="1">
        <v>44083</v>
      </c>
      <c r="D2602" t="b">
        <v>1</v>
      </c>
      <c r="E2602" t="s">
        <v>10</v>
      </c>
      <c r="F2602">
        <v>2251</v>
      </c>
    </row>
    <row r="2603" spans="1:6" x14ac:dyDescent="0.25">
      <c r="A2603" t="s">
        <v>4856</v>
      </c>
      <c r="C2603" s="1">
        <v>44083</v>
      </c>
      <c r="D2603" t="b">
        <v>1</v>
      </c>
      <c r="E2603" t="s">
        <v>10</v>
      </c>
      <c r="F2603">
        <v>15271</v>
      </c>
    </row>
    <row r="2604" spans="1:6" x14ac:dyDescent="0.25">
      <c r="A2604" t="s">
        <v>4857</v>
      </c>
      <c r="C2604" s="1">
        <v>44083</v>
      </c>
      <c r="D2604" t="b">
        <v>1</v>
      </c>
      <c r="E2604" t="s">
        <v>10</v>
      </c>
      <c r="F2604">
        <v>14823</v>
      </c>
    </row>
    <row r="2605" spans="1:6" x14ac:dyDescent="0.25">
      <c r="A2605" t="s">
        <v>4858</v>
      </c>
      <c r="B2605" t="s">
        <v>4859</v>
      </c>
      <c r="C2605" s="1">
        <v>44083</v>
      </c>
      <c r="D2605" t="b">
        <v>1</v>
      </c>
      <c r="E2605" t="s">
        <v>10</v>
      </c>
      <c r="F2605">
        <v>11458</v>
      </c>
    </row>
    <row r="2606" spans="1:6" x14ac:dyDescent="0.25">
      <c r="A2606" t="s">
        <v>4860</v>
      </c>
      <c r="B2606" t="s">
        <v>4847</v>
      </c>
      <c r="C2606" s="1">
        <v>44083</v>
      </c>
      <c r="D2606" t="b">
        <v>1</v>
      </c>
      <c r="E2606" t="s">
        <v>10</v>
      </c>
      <c r="F2606">
        <v>12135</v>
      </c>
    </row>
    <row r="2607" spans="1:6" x14ac:dyDescent="0.25">
      <c r="A2607" t="s">
        <v>4861</v>
      </c>
      <c r="B2607" t="s">
        <v>4862</v>
      </c>
      <c r="C2607" s="1">
        <v>44083</v>
      </c>
      <c r="D2607" t="b">
        <v>1</v>
      </c>
      <c r="E2607" t="s">
        <v>10</v>
      </c>
      <c r="F2607">
        <v>15038</v>
      </c>
    </row>
    <row r="2608" spans="1:6" x14ac:dyDescent="0.25">
      <c r="A2608" t="s">
        <v>4863</v>
      </c>
      <c r="B2608" t="s">
        <v>4864</v>
      </c>
      <c r="C2608" s="1">
        <v>44083</v>
      </c>
      <c r="D2608" t="b">
        <v>1</v>
      </c>
      <c r="E2608" t="s">
        <v>10</v>
      </c>
      <c r="F2608">
        <v>9783</v>
      </c>
    </row>
    <row r="2609" spans="1:6" x14ac:dyDescent="0.25">
      <c r="A2609" t="s">
        <v>4865</v>
      </c>
      <c r="B2609" t="s">
        <v>4866</v>
      </c>
      <c r="C2609" s="1">
        <v>44083</v>
      </c>
      <c r="D2609" t="b">
        <v>1</v>
      </c>
      <c r="E2609" t="s">
        <v>10</v>
      </c>
      <c r="F2609">
        <v>8231</v>
      </c>
    </row>
    <row r="2610" spans="1:6" x14ac:dyDescent="0.25">
      <c r="A2610" t="s">
        <v>4867</v>
      </c>
      <c r="B2610" t="s">
        <v>4868</v>
      </c>
      <c r="C2610" s="1">
        <v>44083</v>
      </c>
      <c r="D2610" t="b">
        <v>1</v>
      </c>
      <c r="E2610" t="s">
        <v>10</v>
      </c>
      <c r="F2610">
        <v>2255</v>
      </c>
    </row>
    <row r="2611" spans="1:6" x14ac:dyDescent="0.25">
      <c r="A2611" t="s">
        <v>4869</v>
      </c>
      <c r="B2611" t="s">
        <v>4870</v>
      </c>
      <c r="C2611" s="1">
        <v>44083</v>
      </c>
      <c r="D2611" t="b">
        <v>1</v>
      </c>
      <c r="E2611" t="s">
        <v>10</v>
      </c>
      <c r="F2611">
        <v>14428</v>
      </c>
    </row>
    <row r="2612" spans="1:6" x14ac:dyDescent="0.25">
      <c r="A2612" t="s">
        <v>4871</v>
      </c>
      <c r="B2612" t="s">
        <v>4872</v>
      </c>
      <c r="C2612" s="1">
        <v>44083</v>
      </c>
      <c r="D2612" t="b">
        <v>1</v>
      </c>
      <c r="E2612" t="s">
        <v>10</v>
      </c>
      <c r="F2612">
        <v>16502</v>
      </c>
    </row>
    <row r="2613" spans="1:6" x14ac:dyDescent="0.25">
      <c r="A2613" t="s">
        <v>4873</v>
      </c>
      <c r="B2613" t="s">
        <v>4874</v>
      </c>
      <c r="C2613" s="1">
        <v>44083</v>
      </c>
      <c r="D2613" t="b">
        <v>1</v>
      </c>
      <c r="E2613" t="s">
        <v>10</v>
      </c>
      <c r="F2613">
        <v>7886</v>
      </c>
    </row>
    <row r="2614" spans="1:6" x14ac:dyDescent="0.25">
      <c r="A2614" t="s">
        <v>4875</v>
      </c>
      <c r="B2614" t="s">
        <v>4876</v>
      </c>
      <c r="C2614" s="1">
        <v>44083</v>
      </c>
      <c r="D2614" t="b">
        <v>1</v>
      </c>
      <c r="E2614" t="s">
        <v>10</v>
      </c>
      <c r="F2614">
        <v>2257</v>
      </c>
    </row>
    <row r="2615" spans="1:6" x14ac:dyDescent="0.25">
      <c r="A2615" t="s">
        <v>4877</v>
      </c>
      <c r="B2615" t="s">
        <v>4878</v>
      </c>
      <c r="C2615" s="1">
        <v>44083</v>
      </c>
      <c r="D2615" t="b">
        <v>1</v>
      </c>
      <c r="E2615" t="s">
        <v>10</v>
      </c>
      <c r="F2615">
        <v>15142</v>
      </c>
    </row>
    <row r="2616" spans="1:6" x14ac:dyDescent="0.25">
      <c r="A2616" t="s">
        <v>4879</v>
      </c>
      <c r="B2616" t="s">
        <v>4880</v>
      </c>
      <c r="C2616" s="1">
        <v>44083</v>
      </c>
      <c r="D2616" t="b">
        <v>1</v>
      </c>
      <c r="E2616" t="s">
        <v>10</v>
      </c>
      <c r="F2616">
        <v>2258</v>
      </c>
    </row>
    <row r="2617" spans="1:6" x14ac:dyDescent="0.25">
      <c r="A2617" t="s">
        <v>4881</v>
      </c>
      <c r="B2617" t="s">
        <v>4882</v>
      </c>
      <c r="C2617" s="1">
        <v>44083</v>
      </c>
      <c r="D2617" t="b">
        <v>1</v>
      </c>
      <c r="E2617" t="s">
        <v>10</v>
      </c>
      <c r="F2617">
        <v>13043</v>
      </c>
    </row>
    <row r="2618" spans="1:6" x14ac:dyDescent="0.25">
      <c r="A2618" t="s">
        <v>4883</v>
      </c>
      <c r="B2618" t="s">
        <v>4884</v>
      </c>
      <c r="C2618" s="1">
        <v>44083</v>
      </c>
      <c r="D2618" t="b">
        <v>1</v>
      </c>
      <c r="E2618" t="s">
        <v>10</v>
      </c>
      <c r="F2618">
        <v>2243</v>
      </c>
    </row>
    <row r="2619" spans="1:6" x14ac:dyDescent="0.25">
      <c r="A2619" t="s">
        <v>4885</v>
      </c>
      <c r="B2619" t="s">
        <v>4886</v>
      </c>
      <c r="C2619" s="1">
        <v>44083</v>
      </c>
      <c r="D2619" t="b">
        <v>1</v>
      </c>
      <c r="E2619" t="s">
        <v>10</v>
      </c>
      <c r="F2619">
        <v>2261</v>
      </c>
    </row>
    <row r="2620" spans="1:6" x14ac:dyDescent="0.25">
      <c r="A2620" t="s">
        <v>4887</v>
      </c>
      <c r="B2620" t="s">
        <v>4888</v>
      </c>
      <c r="C2620" s="1">
        <v>44083</v>
      </c>
      <c r="D2620" t="b">
        <v>1</v>
      </c>
      <c r="E2620" t="s">
        <v>10</v>
      </c>
      <c r="F2620">
        <v>2263</v>
      </c>
    </row>
    <row r="2621" spans="1:6" x14ac:dyDescent="0.25">
      <c r="A2621" t="s">
        <v>4889</v>
      </c>
      <c r="B2621" t="s">
        <v>4890</v>
      </c>
      <c r="C2621" s="1">
        <v>44083</v>
      </c>
      <c r="D2621" t="b">
        <v>1</v>
      </c>
      <c r="E2621" t="s">
        <v>10</v>
      </c>
      <c r="F2621">
        <v>16621</v>
      </c>
    </row>
    <row r="2622" spans="1:6" x14ac:dyDescent="0.25">
      <c r="A2622" t="s">
        <v>4891</v>
      </c>
      <c r="B2622" t="s">
        <v>4892</v>
      </c>
      <c r="C2622" s="1">
        <v>44083</v>
      </c>
      <c r="D2622" t="b">
        <v>1</v>
      </c>
      <c r="E2622" t="s">
        <v>10</v>
      </c>
      <c r="F2622">
        <v>16622</v>
      </c>
    </row>
    <row r="2623" spans="1:6" x14ac:dyDescent="0.25">
      <c r="A2623" t="s">
        <v>4893</v>
      </c>
      <c r="B2623" t="s">
        <v>4894</v>
      </c>
      <c r="C2623" s="1">
        <v>44083</v>
      </c>
      <c r="D2623" t="b">
        <v>1</v>
      </c>
      <c r="E2623" t="s">
        <v>10</v>
      </c>
      <c r="F2623">
        <v>16472</v>
      </c>
    </row>
    <row r="2624" spans="1:6" x14ac:dyDescent="0.25">
      <c r="A2624" t="s">
        <v>4895</v>
      </c>
      <c r="C2624" s="1">
        <v>44083</v>
      </c>
      <c r="D2624" t="b">
        <v>1</v>
      </c>
      <c r="E2624" t="s">
        <v>10</v>
      </c>
      <c r="F2624">
        <v>16624</v>
      </c>
    </row>
    <row r="2625" spans="1:6" x14ac:dyDescent="0.25">
      <c r="A2625" t="s">
        <v>4896</v>
      </c>
      <c r="B2625" t="s">
        <v>4897</v>
      </c>
      <c r="C2625" s="1">
        <v>44083</v>
      </c>
      <c r="D2625" t="b">
        <v>1</v>
      </c>
      <c r="E2625" t="s">
        <v>10</v>
      </c>
      <c r="F2625">
        <v>14761</v>
      </c>
    </row>
    <row r="2626" spans="1:6" x14ac:dyDescent="0.25">
      <c r="A2626" t="s">
        <v>4898</v>
      </c>
      <c r="B2626" t="s">
        <v>4899</v>
      </c>
      <c r="C2626" s="1">
        <v>44083</v>
      </c>
      <c r="D2626" t="b">
        <v>1</v>
      </c>
      <c r="E2626" t="s">
        <v>10</v>
      </c>
      <c r="F2626">
        <v>14990</v>
      </c>
    </row>
    <row r="2627" spans="1:6" x14ac:dyDescent="0.25">
      <c r="A2627" t="s">
        <v>4900</v>
      </c>
      <c r="B2627" t="s">
        <v>4901</v>
      </c>
      <c r="C2627" s="1">
        <v>44083</v>
      </c>
      <c r="D2627" t="b">
        <v>1</v>
      </c>
      <c r="E2627" t="s">
        <v>10</v>
      </c>
      <c r="F2627">
        <v>2265</v>
      </c>
    </row>
    <row r="2628" spans="1:6" x14ac:dyDescent="0.25">
      <c r="A2628" t="s">
        <v>4902</v>
      </c>
      <c r="B2628" t="s">
        <v>4903</v>
      </c>
      <c r="C2628" s="1">
        <v>44083</v>
      </c>
      <c r="D2628" t="b">
        <v>1</v>
      </c>
      <c r="E2628" t="s">
        <v>10</v>
      </c>
      <c r="F2628">
        <v>2267</v>
      </c>
    </row>
    <row r="2629" spans="1:6" x14ac:dyDescent="0.25">
      <c r="A2629" t="s">
        <v>4904</v>
      </c>
      <c r="B2629" t="s">
        <v>4905</v>
      </c>
      <c r="C2629" s="1">
        <v>44083</v>
      </c>
      <c r="D2629" t="b">
        <v>1</v>
      </c>
      <c r="E2629" t="s">
        <v>10</v>
      </c>
      <c r="F2629">
        <v>2271</v>
      </c>
    </row>
    <row r="2630" spans="1:6" x14ac:dyDescent="0.25">
      <c r="A2630" t="s">
        <v>4906</v>
      </c>
      <c r="B2630" t="s">
        <v>4907</v>
      </c>
      <c r="C2630" s="1">
        <v>44083</v>
      </c>
      <c r="D2630" t="b">
        <v>1</v>
      </c>
      <c r="E2630" t="s">
        <v>10</v>
      </c>
      <c r="F2630">
        <v>16967</v>
      </c>
    </row>
    <row r="2631" spans="1:6" x14ac:dyDescent="0.25">
      <c r="A2631" t="s">
        <v>4908</v>
      </c>
      <c r="B2631" t="s">
        <v>4909</v>
      </c>
      <c r="C2631" s="1">
        <v>44083</v>
      </c>
      <c r="D2631" t="b">
        <v>1</v>
      </c>
      <c r="E2631" t="s">
        <v>10</v>
      </c>
      <c r="F2631">
        <v>2270</v>
      </c>
    </row>
    <row r="2632" spans="1:6" x14ac:dyDescent="0.25">
      <c r="A2632" t="s">
        <v>4910</v>
      </c>
      <c r="B2632" t="s">
        <v>4911</v>
      </c>
      <c r="C2632" s="1">
        <v>44083</v>
      </c>
      <c r="D2632" t="b">
        <v>1</v>
      </c>
      <c r="E2632" t="s">
        <v>10</v>
      </c>
      <c r="F2632">
        <v>2273</v>
      </c>
    </row>
    <row r="2633" spans="1:6" x14ac:dyDescent="0.25">
      <c r="A2633" t="s">
        <v>4912</v>
      </c>
      <c r="B2633" t="s">
        <v>4913</v>
      </c>
      <c r="C2633" s="1">
        <v>44083</v>
      </c>
      <c r="D2633" t="b">
        <v>1</v>
      </c>
      <c r="E2633" t="s">
        <v>10</v>
      </c>
      <c r="F2633">
        <v>2274</v>
      </c>
    </row>
    <row r="2634" spans="1:6" x14ac:dyDescent="0.25">
      <c r="A2634" t="s">
        <v>4914</v>
      </c>
      <c r="B2634" t="s">
        <v>4915</v>
      </c>
      <c r="C2634" s="1">
        <v>44083</v>
      </c>
      <c r="D2634" t="b">
        <v>1</v>
      </c>
      <c r="E2634" t="s">
        <v>10</v>
      </c>
      <c r="F2634">
        <v>2275</v>
      </c>
    </row>
    <row r="2635" spans="1:6" x14ac:dyDescent="0.25">
      <c r="A2635" t="s">
        <v>4916</v>
      </c>
      <c r="B2635" t="s">
        <v>4917</v>
      </c>
      <c r="C2635" s="1">
        <v>44083</v>
      </c>
      <c r="D2635" t="b">
        <v>1</v>
      </c>
      <c r="E2635" t="s">
        <v>10</v>
      </c>
      <c r="F2635">
        <v>10863</v>
      </c>
    </row>
    <row r="2636" spans="1:6" x14ac:dyDescent="0.25">
      <c r="A2636" t="s">
        <v>4918</v>
      </c>
      <c r="C2636" s="1">
        <v>44083</v>
      </c>
      <c r="D2636" t="b">
        <v>1</v>
      </c>
      <c r="E2636" t="s">
        <v>10</v>
      </c>
      <c r="F2636">
        <v>16071</v>
      </c>
    </row>
    <row r="2637" spans="1:6" x14ac:dyDescent="0.25">
      <c r="A2637" t="s">
        <v>4919</v>
      </c>
      <c r="B2637" t="s">
        <v>4920</v>
      </c>
      <c r="C2637" s="1">
        <v>44083</v>
      </c>
      <c r="D2637" t="b">
        <v>1</v>
      </c>
      <c r="E2637" t="s">
        <v>10</v>
      </c>
      <c r="F2637">
        <v>2276</v>
      </c>
    </row>
    <row r="2638" spans="1:6" x14ac:dyDescent="0.25">
      <c r="A2638" t="s">
        <v>4921</v>
      </c>
      <c r="B2638" t="s">
        <v>4922</v>
      </c>
      <c r="C2638" s="1">
        <v>44083</v>
      </c>
      <c r="D2638" t="b">
        <v>1</v>
      </c>
      <c r="E2638" t="s">
        <v>10</v>
      </c>
      <c r="F2638">
        <v>2277</v>
      </c>
    </row>
    <row r="2639" spans="1:6" x14ac:dyDescent="0.25">
      <c r="A2639" t="s">
        <v>4923</v>
      </c>
      <c r="B2639" t="s">
        <v>4924</v>
      </c>
      <c r="C2639" s="1">
        <v>44083</v>
      </c>
      <c r="D2639" t="b">
        <v>1</v>
      </c>
      <c r="E2639" t="s">
        <v>10</v>
      </c>
      <c r="F2639">
        <v>2278</v>
      </c>
    </row>
    <row r="2640" spans="1:6" x14ac:dyDescent="0.25">
      <c r="A2640" t="s">
        <v>4925</v>
      </c>
      <c r="B2640" t="s">
        <v>4926</v>
      </c>
      <c r="C2640" s="1">
        <v>44083</v>
      </c>
      <c r="D2640" t="b">
        <v>1</v>
      </c>
      <c r="E2640" t="s">
        <v>10</v>
      </c>
      <c r="F2640">
        <v>16186</v>
      </c>
    </row>
    <row r="2641" spans="1:6" x14ac:dyDescent="0.25">
      <c r="A2641" t="s">
        <v>4927</v>
      </c>
      <c r="B2641" t="s">
        <v>4928</v>
      </c>
      <c r="C2641" s="1">
        <v>44083</v>
      </c>
      <c r="D2641" t="b">
        <v>1</v>
      </c>
      <c r="E2641" t="s">
        <v>10</v>
      </c>
      <c r="F2641">
        <v>2279</v>
      </c>
    </row>
    <row r="2642" spans="1:6" x14ac:dyDescent="0.25">
      <c r="A2642" t="s">
        <v>4929</v>
      </c>
      <c r="B2642" t="s">
        <v>4930</v>
      </c>
      <c r="C2642" s="1">
        <v>44083</v>
      </c>
      <c r="D2642" t="b">
        <v>1</v>
      </c>
      <c r="E2642" t="s">
        <v>10</v>
      </c>
      <c r="F2642">
        <v>14926</v>
      </c>
    </row>
    <row r="2643" spans="1:6" x14ac:dyDescent="0.25">
      <c r="A2643" t="s">
        <v>4931</v>
      </c>
      <c r="C2643" s="1">
        <v>44083</v>
      </c>
      <c r="D2643" t="b">
        <v>1</v>
      </c>
      <c r="E2643" t="s">
        <v>10</v>
      </c>
      <c r="F2643">
        <v>14511</v>
      </c>
    </row>
    <row r="2644" spans="1:6" x14ac:dyDescent="0.25">
      <c r="A2644" t="s">
        <v>4932</v>
      </c>
      <c r="C2644" s="1">
        <v>44083</v>
      </c>
      <c r="D2644" t="b">
        <v>1</v>
      </c>
      <c r="E2644" t="s">
        <v>10</v>
      </c>
      <c r="F2644">
        <v>14868</v>
      </c>
    </row>
    <row r="2645" spans="1:6" x14ac:dyDescent="0.25">
      <c r="A2645" t="s">
        <v>4933</v>
      </c>
      <c r="C2645" s="1">
        <v>44083</v>
      </c>
      <c r="D2645" t="b">
        <v>1</v>
      </c>
      <c r="E2645" t="s">
        <v>10</v>
      </c>
      <c r="F2645">
        <v>15667</v>
      </c>
    </row>
    <row r="2646" spans="1:6" x14ac:dyDescent="0.25">
      <c r="A2646" t="s">
        <v>4934</v>
      </c>
      <c r="B2646" t="s">
        <v>4935</v>
      </c>
      <c r="C2646" s="1">
        <v>44083</v>
      </c>
      <c r="D2646" t="b">
        <v>1</v>
      </c>
      <c r="E2646" t="s">
        <v>10</v>
      </c>
      <c r="F2646">
        <v>2281</v>
      </c>
    </row>
    <row r="2647" spans="1:6" x14ac:dyDescent="0.25">
      <c r="A2647" t="s">
        <v>4936</v>
      </c>
      <c r="B2647" t="s">
        <v>4937</v>
      </c>
      <c r="C2647" s="1">
        <v>44083</v>
      </c>
      <c r="D2647" t="b">
        <v>1</v>
      </c>
      <c r="E2647" t="s">
        <v>10</v>
      </c>
      <c r="F2647">
        <v>15196</v>
      </c>
    </row>
    <row r="2648" spans="1:6" x14ac:dyDescent="0.25">
      <c r="A2648" t="s">
        <v>4938</v>
      </c>
      <c r="B2648" t="s">
        <v>4939</v>
      </c>
      <c r="C2648" s="1">
        <v>44083</v>
      </c>
      <c r="D2648" t="b">
        <v>1</v>
      </c>
      <c r="E2648" t="s">
        <v>10</v>
      </c>
      <c r="F2648">
        <v>9796</v>
      </c>
    </row>
    <row r="2649" spans="1:6" x14ac:dyDescent="0.25">
      <c r="A2649" t="s">
        <v>4940</v>
      </c>
      <c r="B2649" t="s">
        <v>4941</v>
      </c>
      <c r="C2649" s="1">
        <v>44083</v>
      </c>
      <c r="D2649" t="b">
        <v>1</v>
      </c>
      <c r="E2649" t="s">
        <v>10</v>
      </c>
      <c r="F2649">
        <v>14937</v>
      </c>
    </row>
    <row r="2650" spans="1:6" x14ac:dyDescent="0.25">
      <c r="A2650" t="s">
        <v>4942</v>
      </c>
      <c r="B2650" t="s">
        <v>4943</v>
      </c>
      <c r="C2650" s="1">
        <v>44083</v>
      </c>
      <c r="D2650" t="b">
        <v>1</v>
      </c>
      <c r="E2650" t="s">
        <v>10</v>
      </c>
      <c r="F2650">
        <v>2285</v>
      </c>
    </row>
    <row r="2651" spans="1:6" x14ac:dyDescent="0.25">
      <c r="A2651" t="s">
        <v>4944</v>
      </c>
      <c r="B2651" t="s">
        <v>4945</v>
      </c>
      <c r="C2651" s="1">
        <v>44083</v>
      </c>
      <c r="D2651" t="b">
        <v>1</v>
      </c>
      <c r="E2651" t="s">
        <v>10</v>
      </c>
      <c r="F2651">
        <v>2286</v>
      </c>
    </row>
    <row r="2652" spans="1:6" x14ac:dyDescent="0.25">
      <c r="A2652" t="s">
        <v>4946</v>
      </c>
      <c r="B2652" t="s">
        <v>4947</v>
      </c>
      <c r="C2652" s="1">
        <v>44083</v>
      </c>
      <c r="D2652" t="b">
        <v>1</v>
      </c>
      <c r="E2652" t="s">
        <v>10</v>
      </c>
      <c r="F2652">
        <v>2287</v>
      </c>
    </row>
    <row r="2653" spans="1:6" x14ac:dyDescent="0.25">
      <c r="A2653" t="s">
        <v>4948</v>
      </c>
      <c r="B2653" t="s">
        <v>4949</v>
      </c>
      <c r="C2653" s="1">
        <v>44083</v>
      </c>
      <c r="D2653" t="b">
        <v>1</v>
      </c>
      <c r="E2653" t="s">
        <v>10</v>
      </c>
      <c r="F2653">
        <v>2288</v>
      </c>
    </row>
    <row r="2654" spans="1:6" x14ac:dyDescent="0.25">
      <c r="A2654" t="s">
        <v>4950</v>
      </c>
      <c r="B2654" t="s">
        <v>4951</v>
      </c>
      <c r="C2654" s="1">
        <v>44083</v>
      </c>
      <c r="D2654" t="b">
        <v>1</v>
      </c>
      <c r="E2654" t="s">
        <v>10</v>
      </c>
      <c r="F2654">
        <v>8597</v>
      </c>
    </row>
    <row r="2655" spans="1:6" x14ac:dyDescent="0.25">
      <c r="A2655" t="s">
        <v>4952</v>
      </c>
      <c r="B2655" t="s">
        <v>4953</v>
      </c>
      <c r="C2655" s="1">
        <v>44083</v>
      </c>
      <c r="D2655" t="b">
        <v>1</v>
      </c>
      <c r="E2655" t="s">
        <v>10</v>
      </c>
      <c r="F2655">
        <v>10491</v>
      </c>
    </row>
    <row r="2656" spans="1:6" x14ac:dyDescent="0.25">
      <c r="A2656" t="s">
        <v>4954</v>
      </c>
      <c r="B2656" t="s">
        <v>4955</v>
      </c>
      <c r="C2656" s="1">
        <v>44083</v>
      </c>
      <c r="D2656" t="b">
        <v>1</v>
      </c>
      <c r="E2656" t="s">
        <v>10</v>
      </c>
      <c r="F2656">
        <v>2290</v>
      </c>
    </row>
    <row r="2657" spans="1:6" x14ac:dyDescent="0.25">
      <c r="A2657" t="s">
        <v>4956</v>
      </c>
      <c r="B2657" t="s">
        <v>4957</v>
      </c>
      <c r="C2657" s="1">
        <v>44083</v>
      </c>
      <c r="D2657" t="b">
        <v>1</v>
      </c>
      <c r="E2657" t="s">
        <v>10</v>
      </c>
      <c r="F2657">
        <v>2291</v>
      </c>
    </row>
    <row r="2658" spans="1:6" x14ac:dyDescent="0.25">
      <c r="A2658" t="s">
        <v>4958</v>
      </c>
      <c r="B2658" t="s">
        <v>4959</v>
      </c>
      <c r="C2658" s="1">
        <v>44083</v>
      </c>
      <c r="D2658" t="b">
        <v>1</v>
      </c>
      <c r="E2658" t="s">
        <v>10</v>
      </c>
      <c r="F2658">
        <v>2292</v>
      </c>
    </row>
    <row r="2659" spans="1:6" x14ac:dyDescent="0.25">
      <c r="A2659" t="s">
        <v>4960</v>
      </c>
      <c r="B2659" t="s">
        <v>4961</v>
      </c>
      <c r="C2659" s="1">
        <v>44083</v>
      </c>
      <c r="D2659" t="b">
        <v>1</v>
      </c>
      <c r="E2659" t="s">
        <v>10</v>
      </c>
      <c r="F2659">
        <v>2293</v>
      </c>
    </row>
    <row r="2660" spans="1:6" x14ac:dyDescent="0.25">
      <c r="A2660" t="s">
        <v>4962</v>
      </c>
      <c r="B2660" t="s">
        <v>4963</v>
      </c>
      <c r="C2660" s="1">
        <v>44083</v>
      </c>
      <c r="D2660" t="b">
        <v>1</v>
      </c>
      <c r="E2660" t="s">
        <v>10</v>
      </c>
      <c r="F2660">
        <v>8226</v>
      </c>
    </row>
    <row r="2661" spans="1:6" x14ac:dyDescent="0.25">
      <c r="A2661" t="s">
        <v>4964</v>
      </c>
      <c r="B2661" t="s">
        <v>4965</v>
      </c>
      <c r="C2661" s="1">
        <v>44083</v>
      </c>
      <c r="D2661" t="b">
        <v>1</v>
      </c>
      <c r="E2661" t="s">
        <v>10</v>
      </c>
      <c r="F2661">
        <v>9688</v>
      </c>
    </row>
    <row r="2662" spans="1:6" x14ac:dyDescent="0.25">
      <c r="A2662" t="s">
        <v>4966</v>
      </c>
      <c r="B2662" t="s">
        <v>4967</v>
      </c>
      <c r="C2662" s="1">
        <v>44083</v>
      </c>
      <c r="D2662" t="b">
        <v>1</v>
      </c>
      <c r="E2662" t="s">
        <v>10</v>
      </c>
      <c r="F2662">
        <v>10416</v>
      </c>
    </row>
    <row r="2663" spans="1:6" x14ac:dyDescent="0.25">
      <c r="A2663" t="s">
        <v>4968</v>
      </c>
      <c r="B2663" t="s">
        <v>4969</v>
      </c>
      <c r="C2663" s="1">
        <v>44083</v>
      </c>
      <c r="D2663" t="b">
        <v>1</v>
      </c>
      <c r="E2663" t="s">
        <v>10</v>
      </c>
      <c r="F2663">
        <v>2294</v>
      </c>
    </row>
    <row r="2664" spans="1:6" x14ac:dyDescent="0.25">
      <c r="A2664" t="s">
        <v>4970</v>
      </c>
      <c r="B2664" t="s">
        <v>4971</v>
      </c>
      <c r="C2664" s="1">
        <v>44083</v>
      </c>
      <c r="D2664" t="b">
        <v>0</v>
      </c>
      <c r="E2664" t="s">
        <v>10</v>
      </c>
      <c r="F2664">
        <v>16878</v>
      </c>
    </row>
    <row r="2665" spans="1:6" x14ac:dyDescent="0.25">
      <c r="A2665" t="s">
        <v>4972</v>
      </c>
      <c r="B2665" t="s">
        <v>4973</v>
      </c>
      <c r="C2665" s="1">
        <v>44083</v>
      </c>
      <c r="D2665" t="b">
        <v>1</v>
      </c>
      <c r="E2665" t="s">
        <v>10</v>
      </c>
      <c r="F2665">
        <v>9787</v>
      </c>
    </row>
    <row r="2666" spans="1:6" x14ac:dyDescent="0.25">
      <c r="A2666" t="s">
        <v>4974</v>
      </c>
      <c r="B2666" t="s">
        <v>4975</v>
      </c>
      <c r="C2666" s="1">
        <v>44083</v>
      </c>
      <c r="D2666" t="b">
        <v>1</v>
      </c>
      <c r="E2666" t="s">
        <v>10</v>
      </c>
      <c r="F2666">
        <v>2295</v>
      </c>
    </row>
    <row r="2667" spans="1:6" x14ac:dyDescent="0.25">
      <c r="A2667" t="s">
        <v>4976</v>
      </c>
      <c r="B2667" t="s">
        <v>4977</v>
      </c>
      <c r="C2667" s="1">
        <v>44083</v>
      </c>
      <c r="D2667" t="b">
        <v>1</v>
      </c>
      <c r="E2667" t="s">
        <v>10</v>
      </c>
      <c r="F2667">
        <v>9435</v>
      </c>
    </row>
    <row r="2668" spans="1:6" x14ac:dyDescent="0.25">
      <c r="A2668" t="s">
        <v>4978</v>
      </c>
      <c r="B2668" t="s">
        <v>4979</v>
      </c>
      <c r="C2668" s="1">
        <v>44083</v>
      </c>
      <c r="D2668" t="b">
        <v>1</v>
      </c>
      <c r="E2668" t="s">
        <v>10</v>
      </c>
      <c r="F2668">
        <v>11747</v>
      </c>
    </row>
    <row r="2669" spans="1:6" x14ac:dyDescent="0.25">
      <c r="A2669" t="s">
        <v>4980</v>
      </c>
      <c r="B2669" t="s">
        <v>4981</v>
      </c>
      <c r="C2669" s="1">
        <v>44083</v>
      </c>
      <c r="D2669" t="b">
        <v>1</v>
      </c>
      <c r="E2669" t="s">
        <v>10</v>
      </c>
      <c r="F2669">
        <v>2298</v>
      </c>
    </row>
    <row r="2670" spans="1:6" x14ac:dyDescent="0.25">
      <c r="A2670" t="s">
        <v>4982</v>
      </c>
      <c r="B2670" t="s">
        <v>4983</v>
      </c>
      <c r="C2670" s="1">
        <v>44083</v>
      </c>
      <c r="D2670" t="b">
        <v>1</v>
      </c>
      <c r="E2670" t="s">
        <v>10</v>
      </c>
      <c r="F2670">
        <v>2300</v>
      </c>
    </row>
    <row r="2671" spans="1:6" x14ac:dyDescent="0.25">
      <c r="A2671" t="s">
        <v>4984</v>
      </c>
      <c r="B2671" t="s">
        <v>4985</v>
      </c>
      <c r="C2671" s="1">
        <v>44083</v>
      </c>
      <c r="D2671" t="b">
        <v>1</v>
      </c>
      <c r="E2671" t="s">
        <v>10</v>
      </c>
      <c r="F2671">
        <v>14708</v>
      </c>
    </row>
    <row r="2672" spans="1:6" x14ac:dyDescent="0.25">
      <c r="A2672" t="s">
        <v>4986</v>
      </c>
      <c r="B2672" t="s">
        <v>4987</v>
      </c>
      <c r="C2672" s="1">
        <v>44083</v>
      </c>
      <c r="D2672" t="b">
        <v>1</v>
      </c>
      <c r="E2672" t="s">
        <v>10</v>
      </c>
      <c r="F2672">
        <v>2304</v>
      </c>
    </row>
    <row r="2673" spans="1:6" x14ac:dyDescent="0.25">
      <c r="A2673" t="s">
        <v>4988</v>
      </c>
      <c r="B2673" t="s">
        <v>4989</v>
      </c>
      <c r="C2673" s="1">
        <v>44083</v>
      </c>
      <c r="D2673" t="b">
        <v>1</v>
      </c>
      <c r="E2673" t="s">
        <v>10</v>
      </c>
      <c r="F2673">
        <v>9392</v>
      </c>
    </row>
    <row r="2674" spans="1:6" x14ac:dyDescent="0.25">
      <c r="A2674" t="s">
        <v>4990</v>
      </c>
      <c r="B2674" t="s">
        <v>4991</v>
      </c>
      <c r="C2674" s="1">
        <v>44083</v>
      </c>
      <c r="D2674" t="b">
        <v>1</v>
      </c>
      <c r="E2674" t="s">
        <v>10</v>
      </c>
      <c r="F2674">
        <v>2305</v>
      </c>
    </row>
    <row r="2675" spans="1:6" x14ac:dyDescent="0.25">
      <c r="A2675" t="s">
        <v>4992</v>
      </c>
      <c r="B2675" t="s">
        <v>4993</v>
      </c>
      <c r="C2675" s="1">
        <v>44083</v>
      </c>
      <c r="D2675" t="b">
        <v>0</v>
      </c>
      <c r="E2675" t="s">
        <v>10</v>
      </c>
      <c r="F2675">
        <v>11190</v>
      </c>
    </row>
    <row r="2676" spans="1:6" x14ac:dyDescent="0.25">
      <c r="A2676" t="s">
        <v>4994</v>
      </c>
      <c r="B2676" t="s">
        <v>4995</v>
      </c>
      <c r="C2676" s="1">
        <v>44083</v>
      </c>
      <c r="D2676" t="b">
        <v>1</v>
      </c>
      <c r="E2676" t="s">
        <v>10</v>
      </c>
      <c r="F2676">
        <v>8132</v>
      </c>
    </row>
    <row r="2677" spans="1:6" x14ac:dyDescent="0.25">
      <c r="A2677" t="s">
        <v>4996</v>
      </c>
      <c r="B2677" t="s">
        <v>4997</v>
      </c>
      <c r="C2677" s="1">
        <v>44083</v>
      </c>
      <c r="D2677" t="b">
        <v>1</v>
      </c>
      <c r="E2677" t="s">
        <v>10</v>
      </c>
      <c r="F2677">
        <v>9968</v>
      </c>
    </row>
    <row r="2678" spans="1:6" x14ac:dyDescent="0.25">
      <c r="A2678" t="s">
        <v>4998</v>
      </c>
      <c r="B2678" t="s">
        <v>4999</v>
      </c>
      <c r="C2678" s="1">
        <v>44083</v>
      </c>
      <c r="D2678" t="b">
        <v>1</v>
      </c>
      <c r="E2678" t="s">
        <v>10</v>
      </c>
      <c r="F2678">
        <v>2306</v>
      </c>
    </row>
    <row r="2679" spans="1:6" x14ac:dyDescent="0.25">
      <c r="A2679" t="s">
        <v>5000</v>
      </c>
      <c r="B2679" t="s">
        <v>5001</v>
      </c>
      <c r="C2679" s="1">
        <v>44083</v>
      </c>
      <c r="D2679" t="b">
        <v>1</v>
      </c>
      <c r="E2679" t="s">
        <v>10</v>
      </c>
      <c r="F2679">
        <v>2308</v>
      </c>
    </row>
    <row r="2680" spans="1:6" x14ac:dyDescent="0.25">
      <c r="A2680" t="s">
        <v>5002</v>
      </c>
      <c r="B2680" t="s">
        <v>5003</v>
      </c>
      <c r="C2680" s="1">
        <v>44083</v>
      </c>
      <c r="D2680" t="b">
        <v>0</v>
      </c>
      <c r="E2680" t="s">
        <v>10</v>
      </c>
      <c r="F2680">
        <v>11191</v>
      </c>
    </row>
    <row r="2681" spans="1:6" x14ac:dyDescent="0.25">
      <c r="A2681" t="s">
        <v>5004</v>
      </c>
      <c r="B2681" t="s">
        <v>5005</v>
      </c>
      <c r="C2681" s="1">
        <v>44083</v>
      </c>
      <c r="D2681" t="b">
        <v>1</v>
      </c>
      <c r="E2681" t="s">
        <v>10</v>
      </c>
      <c r="F2681">
        <v>14448</v>
      </c>
    </row>
    <row r="2682" spans="1:6" x14ac:dyDescent="0.25">
      <c r="A2682" t="s">
        <v>5006</v>
      </c>
      <c r="B2682" t="s">
        <v>5007</v>
      </c>
      <c r="C2682" s="1">
        <v>44083</v>
      </c>
      <c r="D2682" t="b">
        <v>1</v>
      </c>
      <c r="E2682" t="s">
        <v>10</v>
      </c>
      <c r="F2682">
        <v>2309</v>
      </c>
    </row>
    <row r="2683" spans="1:6" x14ac:dyDescent="0.25">
      <c r="A2683" t="s">
        <v>5008</v>
      </c>
      <c r="B2683" t="s">
        <v>5009</v>
      </c>
      <c r="C2683" s="1">
        <v>44083</v>
      </c>
      <c r="D2683" t="b">
        <v>1</v>
      </c>
      <c r="E2683" t="s">
        <v>10</v>
      </c>
      <c r="F2683">
        <v>2310</v>
      </c>
    </row>
    <row r="2684" spans="1:6" x14ac:dyDescent="0.25">
      <c r="A2684" t="s">
        <v>5010</v>
      </c>
      <c r="B2684" t="s">
        <v>5011</v>
      </c>
      <c r="C2684" s="1">
        <v>44083</v>
      </c>
      <c r="D2684" t="b">
        <v>1</v>
      </c>
      <c r="E2684" t="s">
        <v>10</v>
      </c>
      <c r="F2684">
        <v>2312</v>
      </c>
    </row>
    <row r="2685" spans="1:6" x14ac:dyDescent="0.25">
      <c r="A2685" t="s">
        <v>5012</v>
      </c>
      <c r="B2685" t="s">
        <v>5013</v>
      </c>
      <c r="C2685" s="1">
        <v>44083</v>
      </c>
      <c r="D2685" t="b">
        <v>1</v>
      </c>
      <c r="E2685" t="s">
        <v>10</v>
      </c>
      <c r="F2685">
        <v>2313</v>
      </c>
    </row>
    <row r="2686" spans="1:6" x14ac:dyDescent="0.25">
      <c r="A2686" t="s">
        <v>5014</v>
      </c>
      <c r="B2686" t="s">
        <v>5015</v>
      </c>
      <c r="C2686" s="1">
        <v>44083</v>
      </c>
      <c r="D2686" t="b">
        <v>1</v>
      </c>
      <c r="E2686" t="s">
        <v>10</v>
      </c>
      <c r="F2686">
        <v>14478</v>
      </c>
    </row>
    <row r="2687" spans="1:6" x14ac:dyDescent="0.25">
      <c r="A2687" t="s">
        <v>5016</v>
      </c>
      <c r="B2687" t="s">
        <v>5017</v>
      </c>
      <c r="C2687" s="1">
        <v>44083</v>
      </c>
      <c r="D2687" t="b">
        <v>1</v>
      </c>
      <c r="E2687" t="s">
        <v>10</v>
      </c>
      <c r="F2687">
        <v>2315</v>
      </c>
    </row>
    <row r="2688" spans="1:6" x14ac:dyDescent="0.25">
      <c r="A2688" t="s">
        <v>5018</v>
      </c>
      <c r="B2688" t="s">
        <v>5019</v>
      </c>
      <c r="C2688" s="1">
        <v>44083</v>
      </c>
      <c r="D2688" t="b">
        <v>1</v>
      </c>
      <c r="E2688" t="s">
        <v>10</v>
      </c>
      <c r="F2688">
        <v>14692</v>
      </c>
    </row>
    <row r="2689" spans="1:6" x14ac:dyDescent="0.25">
      <c r="A2689" t="s">
        <v>5020</v>
      </c>
      <c r="B2689" t="s">
        <v>5021</v>
      </c>
      <c r="C2689" s="1">
        <v>44083</v>
      </c>
      <c r="D2689" t="b">
        <v>1</v>
      </c>
      <c r="E2689" t="s">
        <v>10</v>
      </c>
      <c r="F2689">
        <v>2775</v>
      </c>
    </row>
    <row r="2690" spans="1:6" x14ac:dyDescent="0.25">
      <c r="A2690" t="s">
        <v>5022</v>
      </c>
      <c r="B2690" t="s">
        <v>5023</v>
      </c>
      <c r="C2690" s="1">
        <v>44083</v>
      </c>
      <c r="D2690" t="b">
        <v>1</v>
      </c>
      <c r="E2690" t="s">
        <v>10</v>
      </c>
      <c r="F2690">
        <v>15637</v>
      </c>
    </row>
    <row r="2691" spans="1:6" x14ac:dyDescent="0.25">
      <c r="A2691" t="s">
        <v>5024</v>
      </c>
      <c r="C2691" s="1">
        <v>44083</v>
      </c>
      <c r="D2691" t="b">
        <v>1</v>
      </c>
      <c r="E2691" t="s">
        <v>10</v>
      </c>
      <c r="F2691">
        <v>15642</v>
      </c>
    </row>
    <row r="2692" spans="1:6" x14ac:dyDescent="0.25">
      <c r="A2692" t="s">
        <v>5025</v>
      </c>
      <c r="B2692" t="s">
        <v>5026</v>
      </c>
      <c r="C2692" s="1">
        <v>44083</v>
      </c>
      <c r="D2692" t="b">
        <v>0</v>
      </c>
      <c r="E2692" t="s">
        <v>10</v>
      </c>
      <c r="F2692">
        <v>11098</v>
      </c>
    </row>
    <row r="2693" spans="1:6" x14ac:dyDescent="0.25">
      <c r="A2693" t="s">
        <v>5027</v>
      </c>
      <c r="B2693" t="s">
        <v>5028</v>
      </c>
      <c r="C2693" s="1">
        <v>44083</v>
      </c>
      <c r="D2693" t="b">
        <v>1</v>
      </c>
      <c r="E2693" t="s">
        <v>10</v>
      </c>
      <c r="F2693">
        <v>2317</v>
      </c>
    </row>
    <row r="2694" spans="1:6" x14ac:dyDescent="0.25">
      <c r="A2694" t="s">
        <v>5029</v>
      </c>
      <c r="B2694" t="s">
        <v>5030</v>
      </c>
      <c r="C2694" s="1">
        <v>44083</v>
      </c>
      <c r="D2694" t="b">
        <v>1</v>
      </c>
      <c r="E2694" t="s">
        <v>10</v>
      </c>
      <c r="F2694">
        <v>2318</v>
      </c>
    </row>
    <row r="2695" spans="1:6" x14ac:dyDescent="0.25">
      <c r="A2695" t="s">
        <v>5031</v>
      </c>
      <c r="B2695" t="s">
        <v>5032</v>
      </c>
      <c r="C2695" s="1">
        <v>44083</v>
      </c>
      <c r="D2695" t="b">
        <v>1</v>
      </c>
      <c r="E2695" t="s">
        <v>10</v>
      </c>
      <c r="F2695">
        <v>2319</v>
      </c>
    </row>
    <row r="2696" spans="1:6" x14ac:dyDescent="0.25">
      <c r="A2696" t="s">
        <v>5033</v>
      </c>
      <c r="B2696" t="s">
        <v>5034</v>
      </c>
      <c r="C2696" s="1">
        <v>44083</v>
      </c>
      <c r="D2696" t="b">
        <v>1</v>
      </c>
      <c r="E2696" t="s">
        <v>10</v>
      </c>
      <c r="F2696">
        <v>2320</v>
      </c>
    </row>
    <row r="2697" spans="1:6" x14ac:dyDescent="0.25">
      <c r="A2697" t="s">
        <v>5035</v>
      </c>
      <c r="B2697" t="s">
        <v>5036</v>
      </c>
      <c r="C2697" s="1">
        <v>44083</v>
      </c>
      <c r="D2697" t="b">
        <v>1</v>
      </c>
      <c r="E2697" t="s">
        <v>10</v>
      </c>
      <c r="F2697">
        <v>2321</v>
      </c>
    </row>
    <row r="2698" spans="1:6" x14ac:dyDescent="0.25">
      <c r="A2698" t="s">
        <v>5037</v>
      </c>
      <c r="B2698" t="s">
        <v>5038</v>
      </c>
      <c r="C2698" s="1">
        <v>44083</v>
      </c>
      <c r="D2698" t="b">
        <v>1</v>
      </c>
      <c r="E2698" t="s">
        <v>10</v>
      </c>
      <c r="F2698">
        <v>2322</v>
      </c>
    </row>
    <row r="2699" spans="1:6" x14ac:dyDescent="0.25">
      <c r="A2699" t="s">
        <v>5039</v>
      </c>
      <c r="B2699" t="s">
        <v>5040</v>
      </c>
      <c r="C2699" s="1">
        <v>44083</v>
      </c>
      <c r="D2699" t="b">
        <v>1</v>
      </c>
      <c r="E2699" t="s">
        <v>10</v>
      </c>
      <c r="F2699">
        <v>2323</v>
      </c>
    </row>
    <row r="2700" spans="1:6" x14ac:dyDescent="0.25">
      <c r="A2700" t="s">
        <v>5041</v>
      </c>
      <c r="B2700" t="s">
        <v>5042</v>
      </c>
      <c r="C2700" s="1">
        <v>44083</v>
      </c>
      <c r="D2700" t="b">
        <v>1</v>
      </c>
      <c r="E2700" t="s">
        <v>10</v>
      </c>
      <c r="F2700">
        <v>2325</v>
      </c>
    </row>
    <row r="2701" spans="1:6" x14ac:dyDescent="0.25">
      <c r="A2701" t="s">
        <v>5043</v>
      </c>
      <c r="B2701" t="s">
        <v>5044</v>
      </c>
      <c r="C2701" s="1">
        <v>44083</v>
      </c>
      <c r="D2701" t="b">
        <v>1</v>
      </c>
      <c r="E2701" t="s">
        <v>10</v>
      </c>
      <c r="F2701">
        <v>2326</v>
      </c>
    </row>
    <row r="2702" spans="1:6" x14ac:dyDescent="0.25">
      <c r="A2702" t="s">
        <v>5045</v>
      </c>
      <c r="B2702" t="s">
        <v>5046</v>
      </c>
      <c r="C2702" s="1">
        <v>44083</v>
      </c>
      <c r="D2702" t="b">
        <v>1</v>
      </c>
      <c r="E2702" t="s">
        <v>10</v>
      </c>
      <c r="F2702">
        <v>15210</v>
      </c>
    </row>
    <row r="2703" spans="1:6" x14ac:dyDescent="0.25">
      <c r="A2703" t="s">
        <v>5047</v>
      </c>
      <c r="B2703" t="s">
        <v>5048</v>
      </c>
      <c r="C2703" s="1">
        <v>44083</v>
      </c>
      <c r="D2703" t="b">
        <v>1</v>
      </c>
      <c r="E2703" t="s">
        <v>10</v>
      </c>
      <c r="F2703">
        <v>2328</v>
      </c>
    </row>
    <row r="2704" spans="1:6" x14ac:dyDescent="0.25">
      <c r="A2704" t="s">
        <v>5049</v>
      </c>
      <c r="B2704" t="s">
        <v>5050</v>
      </c>
      <c r="C2704" s="1">
        <v>44083</v>
      </c>
      <c r="D2704" t="b">
        <v>1</v>
      </c>
      <c r="E2704" t="s">
        <v>10</v>
      </c>
      <c r="F2704">
        <v>2330</v>
      </c>
    </row>
    <row r="2705" spans="1:6" x14ac:dyDescent="0.25">
      <c r="A2705" t="s">
        <v>5051</v>
      </c>
      <c r="B2705" t="s">
        <v>5052</v>
      </c>
      <c r="C2705" s="1">
        <v>44083</v>
      </c>
      <c r="D2705" t="b">
        <v>1</v>
      </c>
      <c r="E2705" t="s">
        <v>10</v>
      </c>
      <c r="F2705">
        <v>2331</v>
      </c>
    </row>
    <row r="2706" spans="1:6" x14ac:dyDescent="0.25">
      <c r="A2706" t="s">
        <v>5053</v>
      </c>
      <c r="B2706" t="s">
        <v>5054</v>
      </c>
      <c r="C2706" s="1">
        <v>44083</v>
      </c>
      <c r="D2706" t="b">
        <v>1</v>
      </c>
      <c r="E2706" t="s">
        <v>10</v>
      </c>
      <c r="F2706">
        <v>2332</v>
      </c>
    </row>
    <row r="2707" spans="1:6" x14ac:dyDescent="0.25">
      <c r="A2707" t="s">
        <v>5055</v>
      </c>
      <c r="B2707" t="s">
        <v>5056</v>
      </c>
      <c r="C2707" s="1">
        <v>44083</v>
      </c>
      <c r="D2707" t="b">
        <v>1</v>
      </c>
      <c r="E2707" t="s">
        <v>10</v>
      </c>
      <c r="F2707">
        <v>2334</v>
      </c>
    </row>
    <row r="2708" spans="1:6" x14ac:dyDescent="0.25">
      <c r="A2708" t="s">
        <v>5057</v>
      </c>
      <c r="B2708" t="s">
        <v>5058</v>
      </c>
      <c r="C2708" s="1">
        <v>44083</v>
      </c>
      <c r="D2708" t="b">
        <v>1</v>
      </c>
      <c r="E2708" t="s">
        <v>10</v>
      </c>
      <c r="F2708">
        <v>2335</v>
      </c>
    </row>
    <row r="2709" spans="1:6" x14ac:dyDescent="0.25">
      <c r="A2709" t="s">
        <v>5059</v>
      </c>
      <c r="B2709" t="s">
        <v>5060</v>
      </c>
      <c r="C2709" s="1">
        <v>44083</v>
      </c>
      <c r="D2709" t="b">
        <v>1</v>
      </c>
      <c r="E2709" t="s">
        <v>10</v>
      </c>
      <c r="F2709">
        <v>15491</v>
      </c>
    </row>
    <row r="2710" spans="1:6" x14ac:dyDescent="0.25">
      <c r="A2710" t="s">
        <v>5061</v>
      </c>
      <c r="B2710" t="s">
        <v>5062</v>
      </c>
      <c r="C2710" s="1">
        <v>44083</v>
      </c>
      <c r="D2710" t="b">
        <v>1</v>
      </c>
      <c r="E2710" t="s">
        <v>10</v>
      </c>
      <c r="F2710">
        <v>15492</v>
      </c>
    </row>
    <row r="2711" spans="1:6" x14ac:dyDescent="0.25">
      <c r="A2711" t="s">
        <v>5063</v>
      </c>
      <c r="B2711" t="s">
        <v>5064</v>
      </c>
      <c r="C2711" s="1">
        <v>44083</v>
      </c>
      <c r="D2711" t="b">
        <v>1</v>
      </c>
      <c r="E2711" t="s">
        <v>10</v>
      </c>
      <c r="F2711">
        <v>2336</v>
      </c>
    </row>
    <row r="2712" spans="1:6" x14ac:dyDescent="0.25">
      <c r="A2712" t="s">
        <v>5065</v>
      </c>
      <c r="B2712" t="s">
        <v>5066</v>
      </c>
      <c r="C2712" s="1">
        <v>44083</v>
      </c>
      <c r="D2712" t="b">
        <v>1</v>
      </c>
      <c r="E2712" t="s">
        <v>10</v>
      </c>
      <c r="F2712">
        <v>2337</v>
      </c>
    </row>
    <row r="2713" spans="1:6" x14ac:dyDescent="0.25">
      <c r="A2713" t="s">
        <v>5067</v>
      </c>
      <c r="B2713" t="s">
        <v>5068</v>
      </c>
      <c r="C2713" s="1">
        <v>44083</v>
      </c>
      <c r="D2713" t="b">
        <v>1</v>
      </c>
      <c r="E2713" t="s">
        <v>10</v>
      </c>
      <c r="F2713">
        <v>2338</v>
      </c>
    </row>
    <row r="2714" spans="1:6" x14ac:dyDescent="0.25">
      <c r="A2714" t="s">
        <v>5069</v>
      </c>
      <c r="B2714" t="s">
        <v>5070</v>
      </c>
      <c r="C2714" s="1">
        <v>44083</v>
      </c>
      <c r="D2714" t="b">
        <v>1</v>
      </c>
      <c r="E2714" t="s">
        <v>10</v>
      </c>
      <c r="F2714">
        <v>14386</v>
      </c>
    </row>
    <row r="2715" spans="1:6" x14ac:dyDescent="0.25">
      <c r="A2715" t="s">
        <v>5071</v>
      </c>
      <c r="B2715" t="s">
        <v>5072</v>
      </c>
      <c r="C2715" s="1">
        <v>44083</v>
      </c>
      <c r="D2715" t="b">
        <v>1</v>
      </c>
      <c r="E2715" t="s">
        <v>10</v>
      </c>
      <c r="F2715">
        <v>2339</v>
      </c>
    </row>
    <row r="2716" spans="1:6" x14ac:dyDescent="0.25">
      <c r="A2716" t="s">
        <v>5073</v>
      </c>
      <c r="B2716" t="s">
        <v>5074</v>
      </c>
      <c r="C2716" s="1">
        <v>44083</v>
      </c>
      <c r="D2716" t="b">
        <v>1</v>
      </c>
      <c r="E2716" t="s">
        <v>10</v>
      </c>
      <c r="F2716">
        <v>2340</v>
      </c>
    </row>
    <row r="2717" spans="1:6" x14ac:dyDescent="0.25">
      <c r="A2717" t="s">
        <v>5075</v>
      </c>
      <c r="B2717" t="s">
        <v>5076</v>
      </c>
      <c r="C2717" s="1">
        <v>44083</v>
      </c>
      <c r="D2717" t="b">
        <v>1</v>
      </c>
      <c r="E2717" t="s">
        <v>10</v>
      </c>
      <c r="F2717">
        <v>2341</v>
      </c>
    </row>
    <row r="2718" spans="1:6" x14ac:dyDescent="0.25">
      <c r="A2718" t="s">
        <v>5077</v>
      </c>
      <c r="B2718" t="s">
        <v>5078</v>
      </c>
      <c r="C2718" s="1">
        <v>44083</v>
      </c>
      <c r="D2718" t="b">
        <v>1</v>
      </c>
      <c r="E2718" t="s">
        <v>10</v>
      </c>
      <c r="F2718">
        <v>2342</v>
      </c>
    </row>
    <row r="2719" spans="1:6" x14ac:dyDescent="0.25">
      <c r="A2719" t="s">
        <v>5079</v>
      </c>
      <c r="B2719" t="s">
        <v>5080</v>
      </c>
      <c r="C2719" s="1">
        <v>44083</v>
      </c>
      <c r="D2719" t="b">
        <v>1</v>
      </c>
      <c r="E2719" t="s">
        <v>10</v>
      </c>
      <c r="F2719">
        <v>14387</v>
      </c>
    </row>
    <row r="2720" spans="1:6" x14ac:dyDescent="0.25">
      <c r="A2720" t="s">
        <v>5081</v>
      </c>
      <c r="B2720" t="s">
        <v>5082</v>
      </c>
      <c r="C2720" s="1">
        <v>44083</v>
      </c>
      <c r="D2720" t="b">
        <v>1</v>
      </c>
      <c r="E2720" t="s">
        <v>10</v>
      </c>
      <c r="F2720">
        <v>2346</v>
      </c>
    </row>
    <row r="2721" spans="1:6" x14ac:dyDescent="0.25">
      <c r="A2721" t="s">
        <v>5083</v>
      </c>
      <c r="B2721" t="s">
        <v>5084</v>
      </c>
      <c r="C2721" s="1">
        <v>44083</v>
      </c>
      <c r="D2721" t="b">
        <v>1</v>
      </c>
      <c r="E2721" t="s">
        <v>10</v>
      </c>
      <c r="F2721">
        <v>14388</v>
      </c>
    </row>
    <row r="2722" spans="1:6" x14ac:dyDescent="0.25">
      <c r="A2722" t="s">
        <v>5085</v>
      </c>
      <c r="B2722" t="s">
        <v>5086</v>
      </c>
      <c r="C2722" s="1">
        <v>44083</v>
      </c>
      <c r="D2722" t="b">
        <v>1</v>
      </c>
      <c r="E2722" t="s">
        <v>10</v>
      </c>
      <c r="F2722">
        <v>2348</v>
      </c>
    </row>
    <row r="2723" spans="1:6" x14ac:dyDescent="0.25">
      <c r="A2723" t="s">
        <v>5087</v>
      </c>
      <c r="B2723" t="s">
        <v>5088</v>
      </c>
      <c r="C2723" s="1">
        <v>44083</v>
      </c>
      <c r="D2723" t="b">
        <v>1</v>
      </c>
      <c r="E2723" t="s">
        <v>10</v>
      </c>
      <c r="F2723">
        <v>2349</v>
      </c>
    </row>
    <row r="2724" spans="1:6" x14ac:dyDescent="0.25">
      <c r="A2724" t="s">
        <v>5089</v>
      </c>
      <c r="B2724" t="s">
        <v>5088</v>
      </c>
      <c r="C2724" s="1">
        <v>44083</v>
      </c>
      <c r="D2724" t="b">
        <v>1</v>
      </c>
      <c r="E2724" t="s">
        <v>10</v>
      </c>
      <c r="F2724">
        <v>2350</v>
      </c>
    </row>
    <row r="2725" spans="1:6" x14ac:dyDescent="0.25">
      <c r="A2725" t="s">
        <v>5090</v>
      </c>
      <c r="B2725" t="s">
        <v>5091</v>
      </c>
      <c r="C2725" s="1">
        <v>44083</v>
      </c>
      <c r="D2725" t="b">
        <v>1</v>
      </c>
      <c r="E2725" t="s">
        <v>10</v>
      </c>
      <c r="F2725">
        <v>2351</v>
      </c>
    </row>
    <row r="2726" spans="1:6" x14ac:dyDescent="0.25">
      <c r="A2726" t="s">
        <v>5092</v>
      </c>
      <c r="B2726" t="s">
        <v>5093</v>
      </c>
      <c r="C2726" s="1">
        <v>44083</v>
      </c>
      <c r="D2726" t="b">
        <v>1</v>
      </c>
      <c r="E2726" t="s">
        <v>10</v>
      </c>
      <c r="F2726">
        <v>2352</v>
      </c>
    </row>
    <row r="2727" spans="1:6" x14ac:dyDescent="0.25">
      <c r="A2727" t="s">
        <v>5094</v>
      </c>
      <c r="B2727" t="s">
        <v>5095</v>
      </c>
      <c r="C2727" s="1">
        <v>44083</v>
      </c>
      <c r="D2727" t="b">
        <v>1</v>
      </c>
      <c r="E2727" t="s">
        <v>10</v>
      </c>
      <c r="F2727">
        <v>2353</v>
      </c>
    </row>
    <row r="2728" spans="1:6" x14ac:dyDescent="0.25">
      <c r="A2728" t="s">
        <v>5096</v>
      </c>
      <c r="B2728" t="s">
        <v>5097</v>
      </c>
      <c r="C2728" s="1">
        <v>44083</v>
      </c>
      <c r="D2728" t="b">
        <v>1</v>
      </c>
      <c r="E2728" t="s">
        <v>10</v>
      </c>
      <c r="F2728">
        <v>2354</v>
      </c>
    </row>
    <row r="2729" spans="1:6" x14ac:dyDescent="0.25">
      <c r="A2729" t="s">
        <v>5098</v>
      </c>
      <c r="B2729" t="s">
        <v>5099</v>
      </c>
      <c r="C2729" s="1">
        <v>44083</v>
      </c>
      <c r="D2729" t="b">
        <v>1</v>
      </c>
      <c r="E2729" t="s">
        <v>10</v>
      </c>
      <c r="F2729">
        <v>2355</v>
      </c>
    </row>
    <row r="2730" spans="1:6" x14ac:dyDescent="0.25">
      <c r="A2730" t="s">
        <v>5100</v>
      </c>
      <c r="B2730" t="s">
        <v>5101</v>
      </c>
      <c r="C2730" s="1">
        <v>44083</v>
      </c>
      <c r="D2730" t="b">
        <v>1</v>
      </c>
      <c r="E2730" t="s">
        <v>10</v>
      </c>
      <c r="F2730">
        <v>2356</v>
      </c>
    </row>
    <row r="2731" spans="1:6" x14ac:dyDescent="0.25">
      <c r="A2731" t="s">
        <v>5102</v>
      </c>
      <c r="B2731" t="s">
        <v>5103</v>
      </c>
      <c r="C2731" s="1">
        <v>44083</v>
      </c>
      <c r="D2731" t="b">
        <v>1</v>
      </c>
      <c r="E2731" t="s">
        <v>10</v>
      </c>
      <c r="F2731">
        <v>2361</v>
      </c>
    </row>
    <row r="2732" spans="1:6" x14ac:dyDescent="0.25">
      <c r="A2732" t="s">
        <v>5104</v>
      </c>
      <c r="B2732" t="s">
        <v>5105</v>
      </c>
      <c r="C2732" s="1">
        <v>44083</v>
      </c>
      <c r="D2732" t="b">
        <v>1</v>
      </c>
      <c r="E2732" t="s">
        <v>10</v>
      </c>
      <c r="F2732">
        <v>2362</v>
      </c>
    </row>
    <row r="2733" spans="1:6" x14ac:dyDescent="0.25">
      <c r="A2733" t="s">
        <v>5106</v>
      </c>
      <c r="B2733" t="s">
        <v>5107</v>
      </c>
      <c r="C2733" s="1">
        <v>44083</v>
      </c>
      <c r="D2733" t="b">
        <v>1</v>
      </c>
      <c r="E2733" t="s">
        <v>10</v>
      </c>
      <c r="F2733">
        <v>2363</v>
      </c>
    </row>
    <row r="2734" spans="1:6" x14ac:dyDescent="0.25">
      <c r="A2734" t="s">
        <v>5108</v>
      </c>
      <c r="B2734" t="s">
        <v>5109</v>
      </c>
      <c r="C2734" s="1">
        <v>44083</v>
      </c>
      <c r="D2734" t="b">
        <v>1</v>
      </c>
      <c r="E2734" t="s">
        <v>10</v>
      </c>
      <c r="F2734">
        <v>2365</v>
      </c>
    </row>
    <row r="2735" spans="1:6" x14ac:dyDescent="0.25">
      <c r="A2735" t="s">
        <v>5110</v>
      </c>
      <c r="B2735" t="s">
        <v>5111</v>
      </c>
      <c r="C2735" s="1">
        <v>44083</v>
      </c>
      <c r="D2735" t="b">
        <v>1</v>
      </c>
      <c r="E2735" t="s">
        <v>10</v>
      </c>
      <c r="F2735">
        <v>2366</v>
      </c>
    </row>
    <row r="2736" spans="1:6" x14ac:dyDescent="0.25">
      <c r="A2736" t="s">
        <v>5112</v>
      </c>
      <c r="B2736" t="s">
        <v>5113</v>
      </c>
      <c r="C2736" s="1">
        <v>44083</v>
      </c>
      <c r="D2736" t="b">
        <v>1</v>
      </c>
      <c r="E2736" t="s">
        <v>10</v>
      </c>
      <c r="F2736">
        <v>2367</v>
      </c>
    </row>
    <row r="2737" spans="1:6" x14ac:dyDescent="0.25">
      <c r="A2737" t="s">
        <v>5114</v>
      </c>
      <c r="B2737" t="s">
        <v>5115</v>
      </c>
      <c r="C2737" s="1">
        <v>44083</v>
      </c>
      <c r="D2737" t="b">
        <v>1</v>
      </c>
      <c r="E2737" t="s">
        <v>10</v>
      </c>
      <c r="F2737">
        <v>2369</v>
      </c>
    </row>
    <row r="2738" spans="1:6" x14ac:dyDescent="0.25">
      <c r="A2738" t="s">
        <v>5116</v>
      </c>
      <c r="B2738" t="s">
        <v>5117</v>
      </c>
      <c r="C2738" s="1">
        <v>44083</v>
      </c>
      <c r="D2738" t="b">
        <v>1</v>
      </c>
      <c r="E2738" t="s">
        <v>10</v>
      </c>
      <c r="F2738">
        <v>2370</v>
      </c>
    </row>
    <row r="2739" spans="1:6" x14ac:dyDescent="0.25">
      <c r="A2739" t="s">
        <v>5118</v>
      </c>
      <c r="B2739" t="s">
        <v>5119</v>
      </c>
      <c r="C2739" s="1">
        <v>44083</v>
      </c>
      <c r="D2739" t="b">
        <v>1</v>
      </c>
      <c r="E2739" t="s">
        <v>10</v>
      </c>
      <c r="F2739">
        <v>2374</v>
      </c>
    </row>
    <row r="2740" spans="1:6" x14ac:dyDescent="0.25">
      <c r="A2740" t="s">
        <v>5120</v>
      </c>
      <c r="B2740" t="s">
        <v>5121</v>
      </c>
      <c r="C2740" s="1">
        <v>44083</v>
      </c>
      <c r="D2740" t="b">
        <v>1</v>
      </c>
      <c r="E2740" t="s">
        <v>10</v>
      </c>
      <c r="F2740">
        <v>2375</v>
      </c>
    </row>
    <row r="2741" spans="1:6" x14ac:dyDescent="0.25">
      <c r="A2741" t="s">
        <v>5122</v>
      </c>
      <c r="B2741" t="s">
        <v>5123</v>
      </c>
      <c r="C2741" s="1">
        <v>44083</v>
      </c>
      <c r="D2741" t="b">
        <v>1</v>
      </c>
      <c r="E2741" t="s">
        <v>10</v>
      </c>
      <c r="F2741">
        <v>16028</v>
      </c>
    </row>
    <row r="2742" spans="1:6" x14ac:dyDescent="0.25">
      <c r="A2742" t="s">
        <v>5124</v>
      </c>
      <c r="B2742" t="s">
        <v>5125</v>
      </c>
      <c r="C2742" s="1">
        <v>44083</v>
      </c>
      <c r="D2742" t="b">
        <v>1</v>
      </c>
      <c r="E2742" t="s">
        <v>10</v>
      </c>
      <c r="F2742">
        <v>16025</v>
      </c>
    </row>
    <row r="2743" spans="1:6" x14ac:dyDescent="0.25">
      <c r="A2743" t="s">
        <v>5126</v>
      </c>
      <c r="C2743" s="1">
        <v>44083</v>
      </c>
      <c r="D2743" t="b">
        <v>1</v>
      </c>
      <c r="E2743" t="s">
        <v>10</v>
      </c>
      <c r="F2743">
        <v>16253</v>
      </c>
    </row>
    <row r="2744" spans="1:6" x14ac:dyDescent="0.25">
      <c r="A2744" t="s">
        <v>5127</v>
      </c>
      <c r="B2744" t="s">
        <v>5128</v>
      </c>
      <c r="C2744" s="1">
        <v>44083</v>
      </c>
      <c r="D2744" t="b">
        <v>1</v>
      </c>
      <c r="E2744" t="s">
        <v>10</v>
      </c>
      <c r="F2744">
        <v>2376</v>
      </c>
    </row>
    <row r="2745" spans="1:6" x14ac:dyDescent="0.25">
      <c r="A2745" t="s">
        <v>5129</v>
      </c>
      <c r="B2745" t="s">
        <v>5130</v>
      </c>
      <c r="C2745" s="1">
        <v>44083</v>
      </c>
      <c r="D2745" t="b">
        <v>1</v>
      </c>
      <c r="E2745" t="s">
        <v>10</v>
      </c>
      <c r="F2745">
        <v>2377</v>
      </c>
    </row>
    <row r="2746" spans="1:6" x14ac:dyDescent="0.25">
      <c r="A2746" t="s">
        <v>5131</v>
      </c>
      <c r="B2746" t="s">
        <v>5132</v>
      </c>
      <c r="C2746" s="1">
        <v>44083</v>
      </c>
      <c r="D2746" t="b">
        <v>1</v>
      </c>
      <c r="E2746" t="s">
        <v>10</v>
      </c>
      <c r="F2746">
        <v>14649</v>
      </c>
    </row>
    <row r="2747" spans="1:6" x14ac:dyDescent="0.25">
      <c r="A2747" t="s">
        <v>5133</v>
      </c>
      <c r="B2747" t="s">
        <v>5134</v>
      </c>
      <c r="C2747" s="1">
        <v>44083</v>
      </c>
      <c r="D2747" t="b">
        <v>1</v>
      </c>
      <c r="E2747" t="s">
        <v>10</v>
      </c>
      <c r="F2747">
        <v>2378</v>
      </c>
    </row>
    <row r="2748" spans="1:6" x14ac:dyDescent="0.25">
      <c r="A2748" t="s">
        <v>5135</v>
      </c>
      <c r="B2748" t="s">
        <v>5136</v>
      </c>
      <c r="C2748" s="1">
        <v>44083</v>
      </c>
      <c r="D2748" t="b">
        <v>1</v>
      </c>
      <c r="E2748" t="s">
        <v>10</v>
      </c>
      <c r="F2748">
        <v>2379</v>
      </c>
    </row>
    <row r="2749" spans="1:6" x14ac:dyDescent="0.25">
      <c r="A2749" t="s">
        <v>5137</v>
      </c>
      <c r="B2749" t="s">
        <v>5138</v>
      </c>
      <c r="C2749" s="1">
        <v>44083</v>
      </c>
      <c r="D2749" t="b">
        <v>1</v>
      </c>
      <c r="E2749" t="s">
        <v>10</v>
      </c>
      <c r="F2749">
        <v>2380</v>
      </c>
    </row>
    <row r="2750" spans="1:6" x14ac:dyDescent="0.25">
      <c r="A2750" t="s">
        <v>5139</v>
      </c>
      <c r="B2750" t="s">
        <v>5140</v>
      </c>
      <c r="C2750" s="1">
        <v>44083</v>
      </c>
      <c r="D2750" t="b">
        <v>1</v>
      </c>
      <c r="E2750" t="s">
        <v>10</v>
      </c>
      <c r="F2750">
        <v>10302</v>
      </c>
    </row>
    <row r="2751" spans="1:6" x14ac:dyDescent="0.25">
      <c r="A2751" t="s">
        <v>5141</v>
      </c>
      <c r="B2751" t="s">
        <v>5142</v>
      </c>
      <c r="C2751" s="1">
        <v>44083</v>
      </c>
      <c r="D2751" t="b">
        <v>1</v>
      </c>
      <c r="E2751" t="s">
        <v>10</v>
      </c>
      <c r="F2751">
        <v>2382</v>
      </c>
    </row>
    <row r="2752" spans="1:6" x14ac:dyDescent="0.25">
      <c r="A2752" t="s">
        <v>5143</v>
      </c>
      <c r="B2752" t="s">
        <v>5144</v>
      </c>
      <c r="C2752" s="1">
        <v>44083</v>
      </c>
      <c r="D2752" t="b">
        <v>1</v>
      </c>
      <c r="E2752" t="s">
        <v>10</v>
      </c>
      <c r="F2752">
        <v>13583</v>
      </c>
    </row>
    <row r="2753" spans="1:6" x14ac:dyDescent="0.25">
      <c r="A2753" t="s">
        <v>5145</v>
      </c>
      <c r="B2753" t="s">
        <v>5146</v>
      </c>
      <c r="C2753" s="1">
        <v>44083</v>
      </c>
      <c r="D2753" t="b">
        <v>1</v>
      </c>
      <c r="E2753" t="s">
        <v>10</v>
      </c>
      <c r="F2753">
        <v>10347</v>
      </c>
    </row>
    <row r="2754" spans="1:6" x14ac:dyDescent="0.25">
      <c r="A2754" t="s">
        <v>5147</v>
      </c>
      <c r="B2754" t="s">
        <v>5148</v>
      </c>
      <c r="C2754" s="1">
        <v>44083</v>
      </c>
      <c r="D2754" t="b">
        <v>1</v>
      </c>
      <c r="E2754" t="s">
        <v>10</v>
      </c>
      <c r="F2754">
        <v>13934</v>
      </c>
    </row>
    <row r="2755" spans="1:6" x14ac:dyDescent="0.25">
      <c r="A2755" t="s">
        <v>5149</v>
      </c>
      <c r="B2755" t="s">
        <v>5150</v>
      </c>
      <c r="C2755" s="1">
        <v>44083</v>
      </c>
      <c r="D2755" t="b">
        <v>1</v>
      </c>
      <c r="E2755" t="s">
        <v>10</v>
      </c>
      <c r="F2755">
        <v>9143</v>
      </c>
    </row>
    <row r="2756" spans="1:6" x14ac:dyDescent="0.25">
      <c r="A2756" t="s">
        <v>5151</v>
      </c>
      <c r="C2756" s="1">
        <v>44083</v>
      </c>
      <c r="D2756" t="b">
        <v>1</v>
      </c>
      <c r="E2756" t="s">
        <v>10</v>
      </c>
      <c r="F2756">
        <v>12747</v>
      </c>
    </row>
    <row r="2757" spans="1:6" x14ac:dyDescent="0.25">
      <c r="A2757" t="s">
        <v>5152</v>
      </c>
      <c r="B2757" t="s">
        <v>5153</v>
      </c>
      <c r="C2757" s="1">
        <v>44083</v>
      </c>
      <c r="D2757" t="b">
        <v>1</v>
      </c>
      <c r="E2757" t="s">
        <v>10</v>
      </c>
      <c r="F2757">
        <v>11603</v>
      </c>
    </row>
    <row r="2758" spans="1:6" x14ac:dyDescent="0.25">
      <c r="A2758" t="s">
        <v>5154</v>
      </c>
      <c r="B2758" t="s">
        <v>5155</v>
      </c>
      <c r="C2758" s="1">
        <v>44083</v>
      </c>
      <c r="D2758" t="b">
        <v>1</v>
      </c>
      <c r="E2758" t="s">
        <v>10</v>
      </c>
      <c r="F2758">
        <v>5615</v>
      </c>
    </row>
    <row r="2759" spans="1:6" x14ac:dyDescent="0.25">
      <c r="A2759" t="s">
        <v>5156</v>
      </c>
      <c r="B2759" t="s">
        <v>5157</v>
      </c>
      <c r="C2759" s="1">
        <v>44083</v>
      </c>
      <c r="D2759" t="b">
        <v>1</v>
      </c>
      <c r="E2759" t="s">
        <v>10</v>
      </c>
      <c r="F2759">
        <v>2384</v>
      </c>
    </row>
    <row r="2760" spans="1:6" x14ac:dyDescent="0.25">
      <c r="A2760" t="s">
        <v>5158</v>
      </c>
      <c r="B2760" t="s">
        <v>5159</v>
      </c>
      <c r="C2760" s="1">
        <v>44083</v>
      </c>
      <c r="D2760" t="b">
        <v>1</v>
      </c>
      <c r="E2760" t="s">
        <v>10</v>
      </c>
      <c r="F2760">
        <v>2386</v>
      </c>
    </row>
    <row r="2761" spans="1:6" x14ac:dyDescent="0.25">
      <c r="A2761" t="s">
        <v>5160</v>
      </c>
      <c r="B2761" t="s">
        <v>5161</v>
      </c>
      <c r="C2761" s="1">
        <v>44083</v>
      </c>
      <c r="D2761" t="b">
        <v>1</v>
      </c>
      <c r="E2761" t="s">
        <v>10</v>
      </c>
      <c r="F2761">
        <v>2387</v>
      </c>
    </row>
    <row r="2762" spans="1:6" x14ac:dyDescent="0.25">
      <c r="A2762" t="s">
        <v>5162</v>
      </c>
      <c r="B2762" t="s">
        <v>5163</v>
      </c>
      <c r="C2762" s="1">
        <v>44083</v>
      </c>
      <c r="D2762" t="b">
        <v>1</v>
      </c>
      <c r="E2762" t="s">
        <v>10</v>
      </c>
      <c r="F2762">
        <v>2388</v>
      </c>
    </row>
    <row r="2763" spans="1:6" x14ac:dyDescent="0.25">
      <c r="A2763" t="s">
        <v>5164</v>
      </c>
      <c r="C2763" s="1">
        <v>44083</v>
      </c>
      <c r="D2763" t="b">
        <v>1</v>
      </c>
      <c r="E2763" t="s">
        <v>10</v>
      </c>
      <c r="F2763">
        <v>8625</v>
      </c>
    </row>
    <row r="2764" spans="1:6" x14ac:dyDescent="0.25">
      <c r="A2764" t="s">
        <v>5165</v>
      </c>
      <c r="B2764" t="s">
        <v>5166</v>
      </c>
      <c r="C2764" s="1">
        <v>44083</v>
      </c>
      <c r="D2764" t="b">
        <v>1</v>
      </c>
      <c r="E2764" t="s">
        <v>10</v>
      </c>
      <c r="F2764">
        <v>2389</v>
      </c>
    </row>
    <row r="2765" spans="1:6" x14ac:dyDescent="0.25">
      <c r="A2765" t="s">
        <v>5167</v>
      </c>
      <c r="B2765" t="s">
        <v>5168</v>
      </c>
      <c r="C2765" s="1">
        <v>44083</v>
      </c>
      <c r="D2765" t="b">
        <v>1</v>
      </c>
      <c r="E2765" t="s">
        <v>10</v>
      </c>
      <c r="F2765">
        <v>2391</v>
      </c>
    </row>
    <row r="2766" spans="1:6" x14ac:dyDescent="0.25">
      <c r="A2766" t="s">
        <v>5169</v>
      </c>
      <c r="C2766" s="1">
        <v>44083</v>
      </c>
      <c r="D2766" t="b">
        <v>1</v>
      </c>
      <c r="E2766" t="s">
        <v>10</v>
      </c>
      <c r="F2766">
        <v>15848</v>
      </c>
    </row>
    <row r="2767" spans="1:6" x14ac:dyDescent="0.25">
      <c r="A2767" t="s">
        <v>5170</v>
      </c>
      <c r="C2767" s="1">
        <v>44083</v>
      </c>
      <c r="D2767" t="b">
        <v>1</v>
      </c>
      <c r="E2767" t="s">
        <v>10</v>
      </c>
      <c r="F2767">
        <v>16412</v>
      </c>
    </row>
    <row r="2768" spans="1:6" x14ac:dyDescent="0.25">
      <c r="A2768" t="s">
        <v>5171</v>
      </c>
      <c r="B2768" t="s">
        <v>5172</v>
      </c>
      <c r="C2768" s="1">
        <v>44083</v>
      </c>
      <c r="D2768" t="b">
        <v>1</v>
      </c>
      <c r="E2768" t="s">
        <v>10</v>
      </c>
      <c r="F2768">
        <v>11344</v>
      </c>
    </row>
    <row r="2769" spans="1:6" x14ac:dyDescent="0.25">
      <c r="A2769" t="s">
        <v>5173</v>
      </c>
      <c r="B2769" t="s">
        <v>5174</v>
      </c>
      <c r="C2769" s="1">
        <v>44083</v>
      </c>
      <c r="D2769" t="b">
        <v>1</v>
      </c>
      <c r="E2769" t="s">
        <v>10</v>
      </c>
      <c r="F2769">
        <v>2392</v>
      </c>
    </row>
    <row r="2770" spans="1:6" x14ac:dyDescent="0.25">
      <c r="A2770" t="s">
        <v>5175</v>
      </c>
      <c r="B2770" t="s">
        <v>5176</v>
      </c>
      <c r="C2770" s="1">
        <v>44083</v>
      </c>
      <c r="D2770" t="b">
        <v>1</v>
      </c>
      <c r="E2770" t="s">
        <v>10</v>
      </c>
      <c r="F2770">
        <v>2394</v>
      </c>
    </row>
    <row r="2771" spans="1:6" x14ac:dyDescent="0.25">
      <c r="A2771" t="s">
        <v>5177</v>
      </c>
      <c r="B2771" t="s">
        <v>5178</v>
      </c>
      <c r="C2771" s="1">
        <v>44083</v>
      </c>
      <c r="D2771" t="b">
        <v>1</v>
      </c>
      <c r="E2771" t="s">
        <v>10</v>
      </c>
      <c r="F2771">
        <v>2395</v>
      </c>
    </row>
    <row r="2772" spans="1:6" x14ac:dyDescent="0.25">
      <c r="A2772" t="s">
        <v>5179</v>
      </c>
      <c r="B2772" t="s">
        <v>5180</v>
      </c>
      <c r="C2772" s="1">
        <v>44083</v>
      </c>
      <c r="D2772" t="b">
        <v>1</v>
      </c>
      <c r="E2772" t="s">
        <v>10</v>
      </c>
      <c r="F2772">
        <v>17012</v>
      </c>
    </row>
    <row r="2773" spans="1:6" x14ac:dyDescent="0.25">
      <c r="A2773" t="s">
        <v>5181</v>
      </c>
      <c r="B2773" t="s">
        <v>5182</v>
      </c>
      <c r="C2773" s="1">
        <v>44083</v>
      </c>
      <c r="D2773" t="b">
        <v>1</v>
      </c>
      <c r="E2773" t="s">
        <v>10</v>
      </c>
      <c r="F2773">
        <v>11485</v>
      </c>
    </row>
    <row r="2774" spans="1:6" x14ac:dyDescent="0.25">
      <c r="A2774" t="s">
        <v>5183</v>
      </c>
      <c r="B2774" t="s">
        <v>5184</v>
      </c>
      <c r="C2774" s="1">
        <v>44083</v>
      </c>
      <c r="D2774" t="b">
        <v>1</v>
      </c>
      <c r="E2774" t="s">
        <v>10</v>
      </c>
      <c r="F2774">
        <v>2397</v>
      </c>
    </row>
    <row r="2775" spans="1:6" x14ac:dyDescent="0.25">
      <c r="A2775" t="s">
        <v>5185</v>
      </c>
      <c r="B2775" t="s">
        <v>5186</v>
      </c>
      <c r="C2775" s="1">
        <v>44083</v>
      </c>
      <c r="D2775" t="b">
        <v>1</v>
      </c>
      <c r="E2775" t="s">
        <v>10</v>
      </c>
      <c r="F2775">
        <v>13800</v>
      </c>
    </row>
    <row r="2776" spans="1:6" x14ac:dyDescent="0.25">
      <c r="A2776" t="s">
        <v>5187</v>
      </c>
      <c r="B2776" t="s">
        <v>5188</v>
      </c>
      <c r="C2776" s="1">
        <v>44083</v>
      </c>
      <c r="D2776" t="b">
        <v>1</v>
      </c>
      <c r="E2776" t="s">
        <v>10</v>
      </c>
      <c r="F2776">
        <v>2398</v>
      </c>
    </row>
    <row r="2777" spans="1:6" x14ac:dyDescent="0.25">
      <c r="A2777" t="s">
        <v>5189</v>
      </c>
      <c r="B2777" t="s">
        <v>5190</v>
      </c>
      <c r="C2777" s="1">
        <v>44083</v>
      </c>
      <c r="D2777" t="b">
        <v>1</v>
      </c>
      <c r="E2777" t="s">
        <v>10</v>
      </c>
      <c r="F2777">
        <v>2399</v>
      </c>
    </row>
    <row r="2778" spans="1:6" x14ac:dyDescent="0.25">
      <c r="A2778" t="s">
        <v>5191</v>
      </c>
      <c r="B2778" t="s">
        <v>5192</v>
      </c>
      <c r="C2778" s="1">
        <v>44083</v>
      </c>
      <c r="D2778" t="b">
        <v>1</v>
      </c>
      <c r="E2778" t="s">
        <v>10</v>
      </c>
      <c r="F2778">
        <v>1264</v>
      </c>
    </row>
    <row r="2779" spans="1:6" x14ac:dyDescent="0.25">
      <c r="A2779" t="s">
        <v>5193</v>
      </c>
      <c r="B2779" t="s">
        <v>5194</v>
      </c>
      <c r="C2779" s="1">
        <v>44083</v>
      </c>
      <c r="D2779" t="b">
        <v>1</v>
      </c>
      <c r="E2779" t="s">
        <v>10</v>
      </c>
      <c r="F2779">
        <v>2400</v>
      </c>
    </row>
    <row r="2780" spans="1:6" x14ac:dyDescent="0.25">
      <c r="A2780" t="s">
        <v>5195</v>
      </c>
      <c r="B2780" t="s">
        <v>5196</v>
      </c>
      <c r="C2780" s="1">
        <v>44083</v>
      </c>
      <c r="D2780" t="b">
        <v>1</v>
      </c>
      <c r="E2780" t="s">
        <v>10</v>
      </c>
      <c r="F2780">
        <v>2401</v>
      </c>
    </row>
    <row r="2781" spans="1:6" x14ac:dyDescent="0.25">
      <c r="A2781" t="s">
        <v>5197</v>
      </c>
      <c r="B2781" t="s">
        <v>5198</v>
      </c>
      <c r="C2781" s="1">
        <v>44083</v>
      </c>
      <c r="D2781" t="b">
        <v>1</v>
      </c>
      <c r="E2781" t="s">
        <v>10</v>
      </c>
      <c r="F2781">
        <v>2402</v>
      </c>
    </row>
    <row r="2782" spans="1:6" x14ac:dyDescent="0.25">
      <c r="A2782" t="s">
        <v>5199</v>
      </c>
      <c r="B2782" t="s">
        <v>5200</v>
      </c>
      <c r="C2782" s="1">
        <v>44083</v>
      </c>
      <c r="D2782" t="b">
        <v>1</v>
      </c>
      <c r="E2782" t="s">
        <v>10</v>
      </c>
      <c r="F2782">
        <v>2403</v>
      </c>
    </row>
    <row r="2783" spans="1:6" x14ac:dyDescent="0.25">
      <c r="A2783" t="s">
        <v>5201</v>
      </c>
      <c r="B2783" t="s">
        <v>5202</v>
      </c>
      <c r="C2783" s="1">
        <v>44083</v>
      </c>
      <c r="D2783" t="b">
        <v>1</v>
      </c>
      <c r="E2783" t="s">
        <v>10</v>
      </c>
      <c r="F2783">
        <v>13612</v>
      </c>
    </row>
    <row r="2784" spans="1:6" x14ac:dyDescent="0.25">
      <c r="A2784" t="s">
        <v>5203</v>
      </c>
      <c r="C2784" s="1">
        <v>44083</v>
      </c>
      <c r="D2784" t="b">
        <v>1</v>
      </c>
      <c r="E2784" t="s">
        <v>10</v>
      </c>
      <c r="F2784">
        <v>16975</v>
      </c>
    </row>
    <row r="2785" spans="1:6" x14ac:dyDescent="0.25">
      <c r="A2785" t="s">
        <v>5204</v>
      </c>
      <c r="C2785" s="1">
        <v>44083</v>
      </c>
      <c r="D2785" t="b">
        <v>1</v>
      </c>
      <c r="E2785" t="s">
        <v>10</v>
      </c>
      <c r="F2785">
        <v>16972</v>
      </c>
    </row>
    <row r="2786" spans="1:6" x14ac:dyDescent="0.25">
      <c r="A2786" t="s">
        <v>5205</v>
      </c>
      <c r="B2786" t="s">
        <v>5206</v>
      </c>
      <c r="C2786" s="1">
        <v>44083</v>
      </c>
      <c r="D2786" t="b">
        <v>1</v>
      </c>
      <c r="E2786" t="s">
        <v>10</v>
      </c>
      <c r="F2786">
        <v>7764</v>
      </c>
    </row>
    <row r="2787" spans="1:6" x14ac:dyDescent="0.25">
      <c r="A2787" t="s">
        <v>5207</v>
      </c>
      <c r="B2787" t="s">
        <v>5208</v>
      </c>
      <c r="C2787" s="1">
        <v>44083</v>
      </c>
      <c r="D2787" t="b">
        <v>1</v>
      </c>
      <c r="E2787" t="s">
        <v>10</v>
      </c>
      <c r="F2787">
        <v>16268</v>
      </c>
    </row>
    <row r="2788" spans="1:6" x14ac:dyDescent="0.25">
      <c r="A2788" t="s">
        <v>5209</v>
      </c>
      <c r="B2788" t="s">
        <v>5210</v>
      </c>
      <c r="C2788" s="1">
        <v>44083</v>
      </c>
      <c r="D2788" t="b">
        <v>1</v>
      </c>
      <c r="E2788" t="s">
        <v>10</v>
      </c>
      <c r="F2788">
        <v>2404</v>
      </c>
    </row>
    <row r="2789" spans="1:6" x14ac:dyDescent="0.25">
      <c r="A2789" t="s">
        <v>5211</v>
      </c>
      <c r="B2789" t="s">
        <v>5212</v>
      </c>
      <c r="C2789" s="1">
        <v>44083</v>
      </c>
      <c r="D2789" t="b">
        <v>1</v>
      </c>
      <c r="E2789" t="s">
        <v>10</v>
      </c>
      <c r="F2789">
        <v>2406</v>
      </c>
    </row>
    <row r="2790" spans="1:6" x14ac:dyDescent="0.25">
      <c r="A2790" t="s">
        <v>5213</v>
      </c>
      <c r="B2790" t="s">
        <v>5214</v>
      </c>
      <c r="C2790" s="1">
        <v>44083</v>
      </c>
      <c r="D2790" t="b">
        <v>1</v>
      </c>
      <c r="E2790" t="s">
        <v>10</v>
      </c>
      <c r="F2790">
        <v>2407</v>
      </c>
    </row>
    <row r="2791" spans="1:6" x14ac:dyDescent="0.25">
      <c r="A2791" t="s">
        <v>5215</v>
      </c>
      <c r="B2791" t="s">
        <v>5216</v>
      </c>
      <c r="C2791" s="1">
        <v>44083</v>
      </c>
      <c r="D2791" t="b">
        <v>1</v>
      </c>
      <c r="E2791" t="s">
        <v>10</v>
      </c>
      <c r="F2791">
        <v>2408</v>
      </c>
    </row>
    <row r="2792" spans="1:6" x14ac:dyDescent="0.25">
      <c r="A2792" t="s">
        <v>5217</v>
      </c>
      <c r="B2792" t="s">
        <v>5218</v>
      </c>
      <c r="C2792" s="1">
        <v>44083</v>
      </c>
      <c r="D2792" t="b">
        <v>1</v>
      </c>
      <c r="E2792" t="s">
        <v>10</v>
      </c>
      <c r="F2792">
        <v>2409</v>
      </c>
    </row>
    <row r="2793" spans="1:6" x14ac:dyDescent="0.25">
      <c r="A2793" t="s">
        <v>5219</v>
      </c>
      <c r="B2793" t="s">
        <v>5220</v>
      </c>
      <c r="C2793" s="1">
        <v>44083</v>
      </c>
      <c r="D2793" t="b">
        <v>1</v>
      </c>
      <c r="E2793" t="s">
        <v>10</v>
      </c>
      <c r="F2793">
        <v>16778</v>
      </c>
    </row>
    <row r="2794" spans="1:6" x14ac:dyDescent="0.25">
      <c r="A2794" t="s">
        <v>5221</v>
      </c>
      <c r="B2794" t="s">
        <v>5222</v>
      </c>
      <c r="C2794" s="1">
        <v>44083</v>
      </c>
      <c r="D2794" t="b">
        <v>1</v>
      </c>
      <c r="E2794" t="s">
        <v>10</v>
      </c>
      <c r="F2794">
        <v>16779</v>
      </c>
    </row>
    <row r="2795" spans="1:6" x14ac:dyDescent="0.25">
      <c r="A2795" t="s">
        <v>5223</v>
      </c>
      <c r="B2795" t="s">
        <v>5224</v>
      </c>
      <c r="C2795" s="1">
        <v>44083</v>
      </c>
      <c r="D2795" t="b">
        <v>1</v>
      </c>
      <c r="E2795" t="s">
        <v>10</v>
      </c>
      <c r="F2795">
        <v>8704</v>
      </c>
    </row>
    <row r="2796" spans="1:6" x14ac:dyDescent="0.25">
      <c r="A2796" t="s">
        <v>5225</v>
      </c>
      <c r="B2796" t="s">
        <v>5226</v>
      </c>
      <c r="C2796" s="1">
        <v>44083</v>
      </c>
      <c r="D2796" t="b">
        <v>1</v>
      </c>
      <c r="E2796" t="s">
        <v>10</v>
      </c>
      <c r="F2796">
        <v>2411</v>
      </c>
    </row>
    <row r="2797" spans="1:6" x14ac:dyDescent="0.25">
      <c r="A2797" t="s">
        <v>5227</v>
      </c>
      <c r="B2797" t="s">
        <v>5228</v>
      </c>
      <c r="C2797" s="1">
        <v>44083</v>
      </c>
      <c r="D2797" t="b">
        <v>1</v>
      </c>
      <c r="E2797" t="s">
        <v>10</v>
      </c>
      <c r="F2797">
        <v>1350</v>
      </c>
    </row>
    <row r="2798" spans="1:6" x14ac:dyDescent="0.25">
      <c r="A2798" t="s">
        <v>5229</v>
      </c>
      <c r="C2798" s="1">
        <v>44083</v>
      </c>
      <c r="D2798" t="b">
        <v>1</v>
      </c>
      <c r="E2798" t="s">
        <v>10</v>
      </c>
      <c r="F2798">
        <v>13746</v>
      </c>
    </row>
    <row r="2799" spans="1:6" x14ac:dyDescent="0.25">
      <c r="A2799" t="s">
        <v>5230</v>
      </c>
      <c r="B2799" t="s">
        <v>5231</v>
      </c>
      <c r="C2799" s="1">
        <v>44083</v>
      </c>
      <c r="D2799" t="b">
        <v>1</v>
      </c>
      <c r="E2799" t="s">
        <v>10</v>
      </c>
      <c r="F2799">
        <v>2412</v>
      </c>
    </row>
    <row r="2800" spans="1:6" x14ac:dyDescent="0.25">
      <c r="A2800" t="s">
        <v>5232</v>
      </c>
      <c r="B2800" t="s">
        <v>5233</v>
      </c>
      <c r="C2800" s="1">
        <v>44083</v>
      </c>
      <c r="D2800" t="b">
        <v>1</v>
      </c>
      <c r="E2800" t="s">
        <v>10</v>
      </c>
      <c r="F2800">
        <v>11748</v>
      </c>
    </row>
    <row r="2801" spans="1:6" x14ac:dyDescent="0.25">
      <c r="A2801" t="s">
        <v>5234</v>
      </c>
      <c r="B2801" t="s">
        <v>5235</v>
      </c>
      <c r="C2801" s="1">
        <v>44083</v>
      </c>
      <c r="D2801" t="b">
        <v>1</v>
      </c>
      <c r="E2801" t="s">
        <v>10</v>
      </c>
      <c r="F2801">
        <v>12363</v>
      </c>
    </row>
    <row r="2802" spans="1:6" x14ac:dyDescent="0.25">
      <c r="A2802" t="s">
        <v>5236</v>
      </c>
      <c r="B2802" t="s">
        <v>5237</v>
      </c>
      <c r="C2802" s="1">
        <v>44083</v>
      </c>
      <c r="D2802" t="b">
        <v>1</v>
      </c>
      <c r="E2802" t="s">
        <v>10</v>
      </c>
      <c r="F2802">
        <v>2414</v>
      </c>
    </row>
    <row r="2803" spans="1:6" x14ac:dyDescent="0.25">
      <c r="A2803" t="s">
        <v>5238</v>
      </c>
      <c r="B2803" t="s">
        <v>5239</v>
      </c>
      <c r="C2803" s="1">
        <v>44083</v>
      </c>
      <c r="D2803" t="b">
        <v>1</v>
      </c>
      <c r="E2803" t="s">
        <v>10</v>
      </c>
      <c r="F2803">
        <v>2416</v>
      </c>
    </row>
    <row r="2804" spans="1:6" x14ac:dyDescent="0.25">
      <c r="A2804" t="s">
        <v>5240</v>
      </c>
      <c r="B2804" t="s">
        <v>5241</v>
      </c>
      <c r="C2804" s="1">
        <v>44083</v>
      </c>
      <c r="D2804" t="b">
        <v>1</v>
      </c>
      <c r="E2804" t="s">
        <v>10</v>
      </c>
      <c r="F2804">
        <v>9354</v>
      </c>
    </row>
    <row r="2805" spans="1:6" x14ac:dyDescent="0.25">
      <c r="A2805" t="s">
        <v>5242</v>
      </c>
      <c r="B2805" t="s">
        <v>5243</v>
      </c>
      <c r="C2805" s="1">
        <v>44083</v>
      </c>
      <c r="D2805" t="b">
        <v>1</v>
      </c>
      <c r="E2805" t="s">
        <v>10</v>
      </c>
      <c r="F2805">
        <v>2418</v>
      </c>
    </row>
    <row r="2806" spans="1:6" x14ac:dyDescent="0.25">
      <c r="A2806" t="s">
        <v>5244</v>
      </c>
      <c r="B2806" t="s">
        <v>5245</v>
      </c>
      <c r="C2806" s="1">
        <v>44083</v>
      </c>
      <c r="D2806" t="b">
        <v>1</v>
      </c>
      <c r="E2806" t="s">
        <v>10</v>
      </c>
      <c r="F2806">
        <v>12758</v>
      </c>
    </row>
    <row r="2807" spans="1:6" x14ac:dyDescent="0.25">
      <c r="A2807" t="s">
        <v>5246</v>
      </c>
      <c r="B2807" t="s">
        <v>5247</v>
      </c>
      <c r="C2807" s="1">
        <v>44083</v>
      </c>
      <c r="D2807" t="b">
        <v>1</v>
      </c>
      <c r="E2807" t="s">
        <v>10</v>
      </c>
      <c r="F2807">
        <v>2422</v>
      </c>
    </row>
    <row r="2808" spans="1:6" x14ac:dyDescent="0.25">
      <c r="A2808" t="s">
        <v>5248</v>
      </c>
      <c r="B2808" t="s">
        <v>5249</v>
      </c>
      <c r="C2808" s="1">
        <v>44083</v>
      </c>
      <c r="D2808" t="b">
        <v>1</v>
      </c>
      <c r="E2808" t="s">
        <v>10</v>
      </c>
      <c r="F2808">
        <v>2423</v>
      </c>
    </row>
    <row r="2809" spans="1:6" x14ac:dyDescent="0.25">
      <c r="A2809" t="s">
        <v>5250</v>
      </c>
      <c r="B2809" t="s">
        <v>5251</v>
      </c>
      <c r="C2809" s="1">
        <v>44083</v>
      </c>
      <c r="D2809" t="b">
        <v>1</v>
      </c>
      <c r="E2809" t="s">
        <v>10</v>
      </c>
      <c r="F2809">
        <v>2424</v>
      </c>
    </row>
    <row r="2810" spans="1:6" x14ac:dyDescent="0.25">
      <c r="A2810" t="s">
        <v>5252</v>
      </c>
      <c r="B2810" t="s">
        <v>5253</v>
      </c>
      <c r="C2810" s="1">
        <v>44083</v>
      </c>
      <c r="D2810" t="b">
        <v>1</v>
      </c>
      <c r="E2810" t="s">
        <v>10</v>
      </c>
      <c r="F2810">
        <v>2425</v>
      </c>
    </row>
    <row r="2811" spans="1:6" x14ac:dyDescent="0.25">
      <c r="A2811" t="s">
        <v>5254</v>
      </c>
      <c r="B2811" t="s">
        <v>5255</v>
      </c>
      <c r="C2811" s="1">
        <v>44083</v>
      </c>
      <c r="D2811" t="b">
        <v>1</v>
      </c>
      <c r="E2811" t="s">
        <v>10</v>
      </c>
      <c r="F2811">
        <v>2426</v>
      </c>
    </row>
    <row r="2812" spans="1:6" x14ac:dyDescent="0.25">
      <c r="A2812" t="s">
        <v>5256</v>
      </c>
      <c r="B2812" t="s">
        <v>5257</v>
      </c>
      <c r="C2812" s="1">
        <v>44083</v>
      </c>
      <c r="D2812" t="b">
        <v>1</v>
      </c>
      <c r="E2812" t="s">
        <v>10</v>
      </c>
      <c r="F2812">
        <v>13031</v>
      </c>
    </row>
    <row r="2813" spans="1:6" x14ac:dyDescent="0.25">
      <c r="A2813" t="s">
        <v>5258</v>
      </c>
      <c r="B2813" t="s">
        <v>5259</v>
      </c>
      <c r="C2813" s="1">
        <v>44083</v>
      </c>
      <c r="D2813" t="b">
        <v>1</v>
      </c>
      <c r="E2813" t="s">
        <v>10</v>
      </c>
      <c r="F2813">
        <v>2427</v>
      </c>
    </row>
    <row r="2814" spans="1:6" x14ac:dyDescent="0.25">
      <c r="A2814" t="s">
        <v>5260</v>
      </c>
      <c r="B2814" t="s">
        <v>5261</v>
      </c>
      <c r="C2814" s="1">
        <v>44083</v>
      </c>
      <c r="D2814" t="b">
        <v>1</v>
      </c>
      <c r="E2814" t="s">
        <v>10</v>
      </c>
      <c r="F2814">
        <v>2428</v>
      </c>
    </row>
    <row r="2815" spans="1:6" x14ac:dyDescent="0.25">
      <c r="A2815" t="s">
        <v>5262</v>
      </c>
      <c r="B2815" t="s">
        <v>5263</v>
      </c>
      <c r="C2815" s="1">
        <v>44083</v>
      </c>
      <c r="D2815" t="b">
        <v>1</v>
      </c>
      <c r="E2815" t="s">
        <v>10</v>
      </c>
      <c r="F2815">
        <v>9355</v>
      </c>
    </row>
    <row r="2816" spans="1:6" x14ac:dyDescent="0.25">
      <c r="A2816" t="s">
        <v>5264</v>
      </c>
      <c r="B2816" t="s">
        <v>5265</v>
      </c>
      <c r="C2816" s="1">
        <v>44083</v>
      </c>
      <c r="D2816" t="b">
        <v>1</v>
      </c>
      <c r="E2816" t="s">
        <v>10</v>
      </c>
      <c r="F2816">
        <v>2429</v>
      </c>
    </row>
    <row r="2817" spans="1:6" x14ac:dyDescent="0.25">
      <c r="A2817" t="s">
        <v>5266</v>
      </c>
      <c r="B2817" t="s">
        <v>5267</v>
      </c>
      <c r="C2817" s="1">
        <v>44083</v>
      </c>
      <c r="D2817" t="b">
        <v>1</v>
      </c>
      <c r="E2817" t="s">
        <v>10</v>
      </c>
      <c r="F2817">
        <v>14505</v>
      </c>
    </row>
    <row r="2818" spans="1:6" x14ac:dyDescent="0.25">
      <c r="A2818" t="s">
        <v>5268</v>
      </c>
      <c r="B2818" t="s">
        <v>5269</v>
      </c>
      <c r="C2818" s="1">
        <v>44083</v>
      </c>
      <c r="D2818" t="b">
        <v>1</v>
      </c>
      <c r="E2818" t="s">
        <v>10</v>
      </c>
      <c r="F2818">
        <v>2430</v>
      </c>
    </row>
    <row r="2819" spans="1:6" x14ac:dyDescent="0.25">
      <c r="A2819" t="s">
        <v>5270</v>
      </c>
      <c r="B2819" t="s">
        <v>5271</v>
      </c>
      <c r="C2819" s="1">
        <v>44083</v>
      </c>
      <c r="D2819" t="b">
        <v>1</v>
      </c>
      <c r="E2819" t="s">
        <v>10</v>
      </c>
      <c r="F2819">
        <v>2431</v>
      </c>
    </row>
    <row r="2820" spans="1:6" x14ac:dyDescent="0.25">
      <c r="A2820" t="s">
        <v>5272</v>
      </c>
      <c r="B2820" t="s">
        <v>5273</v>
      </c>
      <c r="C2820" s="1">
        <v>44083</v>
      </c>
      <c r="D2820" t="b">
        <v>1</v>
      </c>
      <c r="E2820" t="s">
        <v>10</v>
      </c>
      <c r="F2820">
        <v>11891</v>
      </c>
    </row>
    <row r="2821" spans="1:6" x14ac:dyDescent="0.25">
      <c r="A2821" t="s">
        <v>5274</v>
      </c>
      <c r="B2821" t="s">
        <v>5275</v>
      </c>
      <c r="C2821" s="1">
        <v>44083</v>
      </c>
      <c r="D2821" t="b">
        <v>1</v>
      </c>
      <c r="E2821" t="s">
        <v>10</v>
      </c>
      <c r="F2821">
        <v>2434</v>
      </c>
    </row>
    <row r="2822" spans="1:6" x14ac:dyDescent="0.25">
      <c r="A2822" t="s">
        <v>5276</v>
      </c>
      <c r="B2822" t="s">
        <v>5277</v>
      </c>
      <c r="C2822" s="1">
        <v>44083</v>
      </c>
      <c r="D2822" t="b">
        <v>1</v>
      </c>
      <c r="E2822" t="s">
        <v>10</v>
      </c>
      <c r="F2822">
        <v>2435</v>
      </c>
    </row>
    <row r="2823" spans="1:6" x14ac:dyDescent="0.25">
      <c r="A2823" t="s">
        <v>5278</v>
      </c>
      <c r="B2823" t="s">
        <v>5279</v>
      </c>
      <c r="C2823" s="1">
        <v>44083</v>
      </c>
      <c r="D2823" t="b">
        <v>1</v>
      </c>
      <c r="E2823" t="s">
        <v>10</v>
      </c>
      <c r="F2823">
        <v>2436</v>
      </c>
    </row>
    <row r="2824" spans="1:6" x14ac:dyDescent="0.25">
      <c r="A2824" t="s">
        <v>5280</v>
      </c>
      <c r="B2824" t="s">
        <v>5281</v>
      </c>
      <c r="C2824" s="1">
        <v>44083</v>
      </c>
      <c r="D2824" t="b">
        <v>1</v>
      </c>
      <c r="E2824" t="s">
        <v>10</v>
      </c>
      <c r="F2824">
        <v>2437</v>
      </c>
    </row>
    <row r="2825" spans="1:6" x14ac:dyDescent="0.25">
      <c r="A2825" t="s">
        <v>5282</v>
      </c>
      <c r="B2825" t="s">
        <v>5283</v>
      </c>
      <c r="C2825" s="1">
        <v>44083</v>
      </c>
      <c r="D2825" t="b">
        <v>1</v>
      </c>
      <c r="E2825" t="s">
        <v>10</v>
      </c>
      <c r="F2825">
        <v>2443</v>
      </c>
    </row>
    <row r="2826" spans="1:6" x14ac:dyDescent="0.25">
      <c r="A2826" t="s">
        <v>5284</v>
      </c>
      <c r="B2826" t="s">
        <v>5285</v>
      </c>
      <c r="C2826" s="1">
        <v>44083</v>
      </c>
      <c r="D2826" t="b">
        <v>1</v>
      </c>
      <c r="E2826" t="s">
        <v>10</v>
      </c>
      <c r="F2826">
        <v>2444</v>
      </c>
    </row>
    <row r="2827" spans="1:6" x14ac:dyDescent="0.25">
      <c r="A2827" t="s">
        <v>5286</v>
      </c>
      <c r="C2827" s="1">
        <v>44083</v>
      </c>
      <c r="D2827" t="b">
        <v>1</v>
      </c>
      <c r="E2827" t="s">
        <v>10</v>
      </c>
      <c r="F2827">
        <v>16616</v>
      </c>
    </row>
    <row r="2828" spans="1:6" x14ac:dyDescent="0.25">
      <c r="A2828" t="s">
        <v>5287</v>
      </c>
      <c r="B2828" t="s">
        <v>5288</v>
      </c>
      <c r="C2828" s="1">
        <v>44083</v>
      </c>
      <c r="D2828" t="b">
        <v>1</v>
      </c>
      <c r="E2828" t="s">
        <v>10</v>
      </c>
      <c r="F2828">
        <v>2445</v>
      </c>
    </row>
    <row r="2829" spans="1:6" x14ac:dyDescent="0.25">
      <c r="A2829" t="s">
        <v>5289</v>
      </c>
      <c r="B2829" t="s">
        <v>5290</v>
      </c>
      <c r="C2829" s="1">
        <v>44083</v>
      </c>
      <c r="D2829" t="b">
        <v>1</v>
      </c>
      <c r="E2829" t="s">
        <v>10</v>
      </c>
      <c r="F2829">
        <v>8043</v>
      </c>
    </row>
    <row r="2830" spans="1:6" x14ac:dyDescent="0.25">
      <c r="A2830" t="s">
        <v>5291</v>
      </c>
      <c r="B2830" t="s">
        <v>5292</v>
      </c>
      <c r="C2830" s="1">
        <v>44083</v>
      </c>
      <c r="D2830" t="b">
        <v>1</v>
      </c>
      <c r="E2830" t="s">
        <v>10</v>
      </c>
      <c r="F2830">
        <v>9356</v>
      </c>
    </row>
    <row r="2831" spans="1:6" x14ac:dyDescent="0.25">
      <c r="A2831" t="s">
        <v>5293</v>
      </c>
      <c r="B2831" t="s">
        <v>5294</v>
      </c>
      <c r="C2831" s="1">
        <v>44083</v>
      </c>
      <c r="D2831" t="b">
        <v>1</v>
      </c>
      <c r="E2831" t="s">
        <v>10</v>
      </c>
      <c r="F2831">
        <v>16269</v>
      </c>
    </row>
    <row r="2832" spans="1:6" x14ac:dyDescent="0.25">
      <c r="A2832" t="s">
        <v>5295</v>
      </c>
      <c r="B2832" t="s">
        <v>5296</v>
      </c>
      <c r="C2832" s="1">
        <v>44083</v>
      </c>
      <c r="D2832" t="b">
        <v>1</v>
      </c>
      <c r="E2832" t="s">
        <v>10</v>
      </c>
      <c r="F2832">
        <v>10771</v>
      </c>
    </row>
    <row r="2833" spans="1:6" x14ac:dyDescent="0.25">
      <c r="A2833" t="s">
        <v>5297</v>
      </c>
      <c r="B2833" t="s">
        <v>5298</v>
      </c>
      <c r="C2833" s="1">
        <v>44083</v>
      </c>
      <c r="D2833" t="b">
        <v>1</v>
      </c>
      <c r="E2833" t="s">
        <v>10</v>
      </c>
      <c r="F2833">
        <v>6708</v>
      </c>
    </row>
    <row r="2834" spans="1:6" x14ac:dyDescent="0.25">
      <c r="A2834" t="s">
        <v>5299</v>
      </c>
      <c r="C2834" s="1">
        <v>44083</v>
      </c>
      <c r="D2834" t="b">
        <v>1</v>
      </c>
      <c r="E2834" t="s">
        <v>10</v>
      </c>
      <c r="F2834">
        <v>15130</v>
      </c>
    </row>
    <row r="2835" spans="1:6" x14ac:dyDescent="0.25">
      <c r="A2835" t="s">
        <v>5300</v>
      </c>
      <c r="C2835" s="1">
        <v>44083</v>
      </c>
      <c r="D2835" t="b">
        <v>1</v>
      </c>
      <c r="E2835" t="s">
        <v>10</v>
      </c>
      <c r="F2835">
        <v>10932</v>
      </c>
    </row>
    <row r="2836" spans="1:6" x14ac:dyDescent="0.25">
      <c r="A2836" t="s">
        <v>5301</v>
      </c>
      <c r="B2836" t="s">
        <v>5302</v>
      </c>
      <c r="C2836" s="1">
        <v>44083</v>
      </c>
      <c r="D2836" t="b">
        <v>1</v>
      </c>
      <c r="E2836" t="s">
        <v>10</v>
      </c>
      <c r="F2836">
        <v>2448</v>
      </c>
    </row>
    <row r="2837" spans="1:6" x14ac:dyDescent="0.25">
      <c r="A2837" t="s">
        <v>5303</v>
      </c>
      <c r="B2837" t="s">
        <v>5304</v>
      </c>
      <c r="C2837" s="1">
        <v>44083</v>
      </c>
      <c r="D2837" t="b">
        <v>1</v>
      </c>
      <c r="E2837" t="s">
        <v>10</v>
      </c>
      <c r="F2837">
        <v>14846</v>
      </c>
    </row>
    <row r="2838" spans="1:6" x14ac:dyDescent="0.25">
      <c r="A2838" t="s">
        <v>5305</v>
      </c>
      <c r="B2838" t="s">
        <v>5306</v>
      </c>
      <c r="C2838" s="1">
        <v>44083</v>
      </c>
      <c r="D2838" t="b">
        <v>1</v>
      </c>
      <c r="E2838" t="s">
        <v>10</v>
      </c>
      <c r="F2838">
        <v>10792</v>
      </c>
    </row>
    <row r="2839" spans="1:6" x14ac:dyDescent="0.25">
      <c r="A2839" t="s">
        <v>5307</v>
      </c>
      <c r="B2839" t="s">
        <v>5308</v>
      </c>
      <c r="C2839" s="1">
        <v>44083</v>
      </c>
      <c r="D2839" t="b">
        <v>1</v>
      </c>
      <c r="E2839" t="s">
        <v>10</v>
      </c>
      <c r="F2839">
        <v>2451</v>
      </c>
    </row>
    <row r="2840" spans="1:6" x14ac:dyDescent="0.25">
      <c r="A2840" t="s">
        <v>5309</v>
      </c>
      <c r="B2840" t="s">
        <v>5310</v>
      </c>
      <c r="C2840" s="1">
        <v>44083</v>
      </c>
      <c r="D2840" t="b">
        <v>1</v>
      </c>
      <c r="E2840" t="s">
        <v>10</v>
      </c>
      <c r="F2840">
        <v>13511</v>
      </c>
    </row>
    <row r="2841" spans="1:6" x14ac:dyDescent="0.25">
      <c r="A2841" t="s">
        <v>5311</v>
      </c>
      <c r="B2841" t="s">
        <v>5312</v>
      </c>
      <c r="C2841" s="1">
        <v>44083</v>
      </c>
      <c r="D2841" t="b">
        <v>1</v>
      </c>
      <c r="E2841" t="s">
        <v>10</v>
      </c>
      <c r="F2841">
        <v>2454</v>
      </c>
    </row>
    <row r="2842" spans="1:6" x14ac:dyDescent="0.25">
      <c r="A2842" t="s">
        <v>5313</v>
      </c>
      <c r="B2842" t="s">
        <v>5314</v>
      </c>
      <c r="C2842" s="1">
        <v>44083</v>
      </c>
      <c r="D2842" t="b">
        <v>1</v>
      </c>
      <c r="E2842" t="s">
        <v>10</v>
      </c>
      <c r="F2842">
        <v>15465</v>
      </c>
    </row>
    <row r="2843" spans="1:6" x14ac:dyDescent="0.25">
      <c r="A2843" t="s">
        <v>5315</v>
      </c>
      <c r="B2843" t="s">
        <v>5316</v>
      </c>
      <c r="C2843" s="1">
        <v>44083</v>
      </c>
      <c r="D2843" t="b">
        <v>1</v>
      </c>
      <c r="E2843" t="s">
        <v>10</v>
      </c>
      <c r="F2843">
        <v>10428</v>
      </c>
    </row>
    <row r="2844" spans="1:6" x14ac:dyDescent="0.25">
      <c r="A2844" t="s">
        <v>5317</v>
      </c>
      <c r="B2844" t="s">
        <v>5318</v>
      </c>
      <c r="C2844" s="1">
        <v>44083</v>
      </c>
      <c r="D2844" t="b">
        <v>1</v>
      </c>
      <c r="E2844" t="s">
        <v>10</v>
      </c>
      <c r="F2844">
        <v>15466</v>
      </c>
    </row>
    <row r="2845" spans="1:6" x14ac:dyDescent="0.25">
      <c r="A2845" t="s">
        <v>5319</v>
      </c>
      <c r="B2845" t="s">
        <v>5320</v>
      </c>
      <c r="C2845" s="1">
        <v>44083</v>
      </c>
      <c r="D2845" t="b">
        <v>1</v>
      </c>
      <c r="E2845" t="s">
        <v>10</v>
      </c>
      <c r="F2845">
        <v>16646</v>
      </c>
    </row>
    <row r="2846" spans="1:6" x14ac:dyDescent="0.25">
      <c r="A2846" t="s">
        <v>5321</v>
      </c>
      <c r="B2846" t="s">
        <v>5322</v>
      </c>
      <c r="C2846" s="1">
        <v>44083</v>
      </c>
      <c r="D2846" t="b">
        <v>1</v>
      </c>
      <c r="E2846" t="s">
        <v>10</v>
      </c>
      <c r="F2846">
        <v>14728</v>
      </c>
    </row>
    <row r="2847" spans="1:6" x14ac:dyDescent="0.25">
      <c r="A2847" t="s">
        <v>5323</v>
      </c>
      <c r="B2847" t="s">
        <v>5324</v>
      </c>
      <c r="C2847" s="1">
        <v>44083</v>
      </c>
      <c r="D2847" t="b">
        <v>1</v>
      </c>
      <c r="E2847" t="s">
        <v>10</v>
      </c>
      <c r="F2847">
        <v>8027</v>
      </c>
    </row>
    <row r="2848" spans="1:6" x14ac:dyDescent="0.25">
      <c r="A2848" t="s">
        <v>5325</v>
      </c>
      <c r="B2848" t="s">
        <v>5326</v>
      </c>
      <c r="C2848" s="1">
        <v>44083</v>
      </c>
      <c r="D2848" t="b">
        <v>1</v>
      </c>
      <c r="E2848" t="s">
        <v>10</v>
      </c>
      <c r="F2848">
        <v>9144</v>
      </c>
    </row>
    <row r="2849" spans="1:6" x14ac:dyDescent="0.25">
      <c r="A2849" t="s">
        <v>5327</v>
      </c>
      <c r="B2849" t="s">
        <v>5328</v>
      </c>
      <c r="C2849" s="1">
        <v>44083</v>
      </c>
      <c r="D2849" t="b">
        <v>1</v>
      </c>
      <c r="E2849" t="s">
        <v>10</v>
      </c>
      <c r="F2849">
        <v>2457</v>
      </c>
    </row>
    <row r="2850" spans="1:6" x14ac:dyDescent="0.25">
      <c r="A2850" t="s">
        <v>5329</v>
      </c>
      <c r="B2850" t="s">
        <v>5330</v>
      </c>
      <c r="C2850" s="1">
        <v>44083</v>
      </c>
      <c r="D2850" t="b">
        <v>1</v>
      </c>
      <c r="E2850" t="s">
        <v>10</v>
      </c>
      <c r="F2850">
        <v>11819</v>
      </c>
    </row>
    <row r="2851" spans="1:6" x14ac:dyDescent="0.25">
      <c r="A2851" t="s">
        <v>5331</v>
      </c>
      <c r="B2851" t="s">
        <v>5332</v>
      </c>
      <c r="C2851" s="1">
        <v>44083</v>
      </c>
      <c r="D2851" t="b">
        <v>1</v>
      </c>
      <c r="E2851" t="s">
        <v>10</v>
      </c>
      <c r="F2851">
        <v>2458</v>
      </c>
    </row>
    <row r="2852" spans="1:6" x14ac:dyDescent="0.25">
      <c r="A2852" t="s">
        <v>5333</v>
      </c>
      <c r="B2852" t="s">
        <v>5334</v>
      </c>
      <c r="C2852" s="1">
        <v>44083</v>
      </c>
      <c r="D2852" t="b">
        <v>1</v>
      </c>
      <c r="E2852" t="s">
        <v>10</v>
      </c>
      <c r="F2852">
        <v>11820</v>
      </c>
    </row>
    <row r="2853" spans="1:6" x14ac:dyDescent="0.25">
      <c r="A2853" t="s">
        <v>5335</v>
      </c>
      <c r="B2853" t="s">
        <v>5336</v>
      </c>
      <c r="C2853" s="1">
        <v>44083</v>
      </c>
      <c r="D2853" t="b">
        <v>1</v>
      </c>
      <c r="E2853" t="s">
        <v>10</v>
      </c>
      <c r="F2853">
        <v>2460</v>
      </c>
    </row>
    <row r="2854" spans="1:6" x14ac:dyDescent="0.25">
      <c r="A2854" t="s">
        <v>5337</v>
      </c>
      <c r="B2854" t="s">
        <v>5338</v>
      </c>
      <c r="C2854" s="1">
        <v>44083</v>
      </c>
      <c r="D2854" t="b">
        <v>1</v>
      </c>
      <c r="E2854" t="s">
        <v>10</v>
      </c>
      <c r="F2854">
        <v>15205</v>
      </c>
    </row>
    <row r="2855" spans="1:6" x14ac:dyDescent="0.25">
      <c r="A2855" t="s">
        <v>5339</v>
      </c>
      <c r="B2855" t="s">
        <v>5340</v>
      </c>
      <c r="C2855" s="1">
        <v>44083</v>
      </c>
      <c r="D2855" t="b">
        <v>1</v>
      </c>
      <c r="E2855" t="s">
        <v>10</v>
      </c>
      <c r="F2855">
        <v>2462</v>
      </c>
    </row>
    <row r="2856" spans="1:6" x14ac:dyDescent="0.25">
      <c r="A2856" t="s">
        <v>5341</v>
      </c>
      <c r="B2856" t="s">
        <v>5342</v>
      </c>
      <c r="C2856" s="1">
        <v>44083</v>
      </c>
      <c r="D2856" t="b">
        <v>1</v>
      </c>
      <c r="E2856" t="s">
        <v>10</v>
      </c>
      <c r="F2856">
        <v>11821</v>
      </c>
    </row>
    <row r="2857" spans="1:6" x14ac:dyDescent="0.25">
      <c r="A2857" t="s">
        <v>5343</v>
      </c>
      <c r="B2857" t="s">
        <v>5344</v>
      </c>
      <c r="C2857" s="1">
        <v>44083</v>
      </c>
      <c r="D2857" t="b">
        <v>1</v>
      </c>
      <c r="E2857" t="s">
        <v>10</v>
      </c>
      <c r="F2857">
        <v>2463</v>
      </c>
    </row>
    <row r="2858" spans="1:6" x14ac:dyDescent="0.25">
      <c r="A2858" t="s">
        <v>5345</v>
      </c>
      <c r="B2858" t="s">
        <v>5346</v>
      </c>
      <c r="C2858" s="1">
        <v>44083</v>
      </c>
      <c r="D2858" t="b">
        <v>1</v>
      </c>
      <c r="E2858" t="s">
        <v>10</v>
      </c>
      <c r="F2858">
        <v>2464</v>
      </c>
    </row>
    <row r="2859" spans="1:6" x14ac:dyDescent="0.25">
      <c r="A2859" t="s">
        <v>5347</v>
      </c>
      <c r="B2859" t="s">
        <v>5348</v>
      </c>
      <c r="C2859" s="1">
        <v>44083</v>
      </c>
      <c r="D2859" t="b">
        <v>1</v>
      </c>
      <c r="E2859" t="s">
        <v>10</v>
      </c>
      <c r="F2859">
        <v>2465</v>
      </c>
    </row>
    <row r="2860" spans="1:6" x14ac:dyDescent="0.25">
      <c r="A2860" t="s">
        <v>5349</v>
      </c>
      <c r="B2860" t="s">
        <v>5350</v>
      </c>
      <c r="C2860" s="1">
        <v>44083</v>
      </c>
      <c r="D2860" t="b">
        <v>1</v>
      </c>
      <c r="E2860" t="s">
        <v>10</v>
      </c>
      <c r="F2860">
        <v>2466</v>
      </c>
    </row>
    <row r="2861" spans="1:6" x14ac:dyDescent="0.25">
      <c r="A2861" t="s">
        <v>5351</v>
      </c>
      <c r="C2861" s="1">
        <v>44083</v>
      </c>
      <c r="D2861" t="b">
        <v>1</v>
      </c>
      <c r="E2861" t="s">
        <v>10</v>
      </c>
      <c r="F2861">
        <v>16199</v>
      </c>
    </row>
    <row r="2862" spans="1:6" x14ac:dyDescent="0.25">
      <c r="A2862" t="s">
        <v>5352</v>
      </c>
      <c r="C2862" s="1">
        <v>44083</v>
      </c>
      <c r="D2862" t="b">
        <v>1</v>
      </c>
      <c r="E2862" t="s">
        <v>10</v>
      </c>
      <c r="F2862">
        <v>14119</v>
      </c>
    </row>
    <row r="2863" spans="1:6" x14ac:dyDescent="0.25">
      <c r="A2863" t="s">
        <v>5353</v>
      </c>
      <c r="C2863" s="1">
        <v>44083</v>
      </c>
      <c r="D2863" t="b">
        <v>1</v>
      </c>
      <c r="E2863" t="s">
        <v>10</v>
      </c>
      <c r="F2863">
        <v>15437</v>
      </c>
    </row>
    <row r="2864" spans="1:6" x14ac:dyDescent="0.25">
      <c r="A2864" t="s">
        <v>5354</v>
      </c>
      <c r="B2864" t="s">
        <v>5355</v>
      </c>
      <c r="C2864" s="1">
        <v>44083</v>
      </c>
      <c r="D2864" t="b">
        <v>1</v>
      </c>
      <c r="E2864" t="s">
        <v>10</v>
      </c>
      <c r="F2864">
        <v>11822</v>
      </c>
    </row>
    <row r="2865" spans="1:6" x14ac:dyDescent="0.25">
      <c r="A2865" t="s">
        <v>5356</v>
      </c>
      <c r="B2865" t="s">
        <v>5357</v>
      </c>
      <c r="C2865" s="1">
        <v>44083</v>
      </c>
      <c r="D2865" t="b">
        <v>1</v>
      </c>
      <c r="E2865" t="s">
        <v>10</v>
      </c>
      <c r="F2865">
        <v>2467</v>
      </c>
    </row>
    <row r="2866" spans="1:6" x14ac:dyDescent="0.25">
      <c r="A2866" t="s">
        <v>5358</v>
      </c>
      <c r="B2866" t="s">
        <v>5359</v>
      </c>
      <c r="C2866" s="1">
        <v>44083</v>
      </c>
      <c r="D2866" t="b">
        <v>1</v>
      </c>
      <c r="E2866" t="s">
        <v>10</v>
      </c>
      <c r="F2866">
        <v>2468</v>
      </c>
    </row>
    <row r="2867" spans="1:6" x14ac:dyDescent="0.25">
      <c r="A2867" t="s">
        <v>5360</v>
      </c>
      <c r="B2867" t="s">
        <v>5361</v>
      </c>
      <c r="C2867" s="1">
        <v>44083</v>
      </c>
      <c r="D2867" t="b">
        <v>1</v>
      </c>
      <c r="E2867" t="s">
        <v>10</v>
      </c>
      <c r="F2867">
        <v>16682</v>
      </c>
    </row>
    <row r="2868" spans="1:6" x14ac:dyDescent="0.25">
      <c r="A2868" t="s">
        <v>5362</v>
      </c>
      <c r="C2868" s="1">
        <v>44083</v>
      </c>
      <c r="D2868" t="b">
        <v>1</v>
      </c>
      <c r="E2868" t="s">
        <v>10</v>
      </c>
      <c r="F2868">
        <v>16693</v>
      </c>
    </row>
    <row r="2869" spans="1:6" x14ac:dyDescent="0.25">
      <c r="A2869" t="s">
        <v>5363</v>
      </c>
      <c r="B2869" t="s">
        <v>5364</v>
      </c>
      <c r="C2869" s="1">
        <v>44083</v>
      </c>
      <c r="D2869" t="b">
        <v>1</v>
      </c>
      <c r="E2869" t="s">
        <v>10</v>
      </c>
      <c r="F2869">
        <v>16600</v>
      </c>
    </row>
    <row r="2870" spans="1:6" x14ac:dyDescent="0.25">
      <c r="A2870" t="s">
        <v>5365</v>
      </c>
      <c r="B2870" t="s">
        <v>5366</v>
      </c>
      <c r="C2870" s="1">
        <v>44083</v>
      </c>
      <c r="D2870" t="b">
        <v>1</v>
      </c>
      <c r="E2870" t="s">
        <v>10</v>
      </c>
      <c r="F2870">
        <v>13674</v>
      </c>
    </row>
    <row r="2871" spans="1:6" x14ac:dyDescent="0.25">
      <c r="A2871" t="s">
        <v>5367</v>
      </c>
      <c r="B2871" t="s">
        <v>5368</v>
      </c>
      <c r="C2871" s="1">
        <v>44083</v>
      </c>
      <c r="D2871" t="b">
        <v>1</v>
      </c>
      <c r="E2871" t="s">
        <v>10</v>
      </c>
      <c r="F2871">
        <v>2471</v>
      </c>
    </row>
    <row r="2872" spans="1:6" x14ac:dyDescent="0.25">
      <c r="A2872" t="s">
        <v>5369</v>
      </c>
      <c r="B2872" t="s">
        <v>5370</v>
      </c>
      <c r="C2872" s="1">
        <v>44083</v>
      </c>
      <c r="D2872" t="b">
        <v>1</v>
      </c>
      <c r="E2872" t="s">
        <v>10</v>
      </c>
      <c r="F2872">
        <v>2473</v>
      </c>
    </row>
    <row r="2873" spans="1:6" x14ac:dyDescent="0.25">
      <c r="A2873" t="s">
        <v>5371</v>
      </c>
      <c r="B2873" t="s">
        <v>5372</v>
      </c>
      <c r="C2873" s="1">
        <v>44083</v>
      </c>
      <c r="D2873" t="b">
        <v>1</v>
      </c>
      <c r="E2873" t="s">
        <v>10</v>
      </c>
      <c r="F2873">
        <v>2474</v>
      </c>
    </row>
    <row r="2874" spans="1:6" x14ac:dyDescent="0.25">
      <c r="A2874" t="s">
        <v>5373</v>
      </c>
      <c r="B2874" t="s">
        <v>5374</v>
      </c>
      <c r="C2874" s="1">
        <v>44083</v>
      </c>
      <c r="D2874" t="b">
        <v>1</v>
      </c>
      <c r="E2874" t="s">
        <v>10</v>
      </c>
      <c r="F2874">
        <v>2475</v>
      </c>
    </row>
    <row r="2875" spans="1:6" x14ac:dyDescent="0.25">
      <c r="A2875" t="s">
        <v>5375</v>
      </c>
      <c r="B2875" t="s">
        <v>5374</v>
      </c>
      <c r="C2875" s="1">
        <v>44083</v>
      </c>
      <c r="D2875" t="b">
        <v>1</v>
      </c>
      <c r="E2875" t="s">
        <v>10</v>
      </c>
      <c r="F2875">
        <v>9464</v>
      </c>
    </row>
    <row r="2876" spans="1:6" x14ac:dyDescent="0.25">
      <c r="A2876" t="s">
        <v>5376</v>
      </c>
      <c r="B2876" t="s">
        <v>5374</v>
      </c>
      <c r="C2876" s="1">
        <v>44083</v>
      </c>
      <c r="D2876" t="b">
        <v>1</v>
      </c>
      <c r="E2876" t="s">
        <v>10</v>
      </c>
      <c r="F2876">
        <v>2476</v>
      </c>
    </row>
    <row r="2877" spans="1:6" x14ac:dyDescent="0.25">
      <c r="A2877" t="s">
        <v>5377</v>
      </c>
      <c r="B2877" t="s">
        <v>5378</v>
      </c>
      <c r="C2877" s="1">
        <v>44083</v>
      </c>
      <c r="D2877" t="b">
        <v>1</v>
      </c>
      <c r="E2877" t="s">
        <v>10</v>
      </c>
      <c r="F2877">
        <v>2477</v>
      </c>
    </row>
    <row r="2878" spans="1:6" x14ac:dyDescent="0.25">
      <c r="A2878" t="s">
        <v>5379</v>
      </c>
      <c r="B2878" t="s">
        <v>5380</v>
      </c>
      <c r="C2878" s="1">
        <v>44083</v>
      </c>
      <c r="D2878" t="b">
        <v>1</v>
      </c>
      <c r="E2878" t="s">
        <v>10</v>
      </c>
      <c r="F2878">
        <v>13382</v>
      </c>
    </row>
    <row r="2879" spans="1:6" x14ac:dyDescent="0.25">
      <c r="A2879" t="s">
        <v>5381</v>
      </c>
      <c r="B2879" t="s">
        <v>5382</v>
      </c>
      <c r="C2879" s="1">
        <v>44083</v>
      </c>
      <c r="D2879" t="b">
        <v>1</v>
      </c>
      <c r="E2879" t="s">
        <v>10</v>
      </c>
      <c r="F2879">
        <v>2478</v>
      </c>
    </row>
    <row r="2880" spans="1:6" x14ac:dyDescent="0.25">
      <c r="A2880" t="s">
        <v>5383</v>
      </c>
      <c r="B2880" t="s">
        <v>5384</v>
      </c>
      <c r="C2880" s="1">
        <v>44083</v>
      </c>
      <c r="D2880" t="b">
        <v>1</v>
      </c>
      <c r="E2880" t="s">
        <v>10</v>
      </c>
      <c r="F2880">
        <v>8028</v>
      </c>
    </row>
    <row r="2881" spans="1:6" x14ac:dyDescent="0.25">
      <c r="A2881" t="s">
        <v>5385</v>
      </c>
      <c r="B2881" t="s">
        <v>5386</v>
      </c>
      <c r="C2881" s="1">
        <v>44083</v>
      </c>
      <c r="D2881" t="b">
        <v>1</v>
      </c>
      <c r="E2881" t="s">
        <v>10</v>
      </c>
      <c r="F2881">
        <v>2479</v>
      </c>
    </row>
    <row r="2882" spans="1:6" x14ac:dyDescent="0.25">
      <c r="A2882" t="s">
        <v>5387</v>
      </c>
      <c r="B2882" t="s">
        <v>5388</v>
      </c>
      <c r="C2882" s="1">
        <v>44083</v>
      </c>
      <c r="D2882" t="b">
        <v>1</v>
      </c>
      <c r="E2882" t="s">
        <v>10</v>
      </c>
      <c r="F2882">
        <v>2480</v>
      </c>
    </row>
    <row r="2883" spans="1:6" x14ac:dyDescent="0.25">
      <c r="A2883" t="s">
        <v>5389</v>
      </c>
      <c r="B2883" t="s">
        <v>5390</v>
      </c>
      <c r="C2883" s="1">
        <v>44083</v>
      </c>
      <c r="D2883" t="b">
        <v>1</v>
      </c>
      <c r="E2883" t="s">
        <v>10</v>
      </c>
      <c r="F2883">
        <v>2482</v>
      </c>
    </row>
    <row r="2884" spans="1:6" x14ac:dyDescent="0.25">
      <c r="A2884" t="s">
        <v>5391</v>
      </c>
      <c r="B2884" t="s">
        <v>5392</v>
      </c>
      <c r="C2884" s="1">
        <v>44083</v>
      </c>
      <c r="D2884" t="b">
        <v>1</v>
      </c>
      <c r="E2884" t="s">
        <v>10</v>
      </c>
      <c r="F2884">
        <v>14536</v>
      </c>
    </row>
    <row r="2885" spans="1:6" x14ac:dyDescent="0.25">
      <c r="A2885" t="s">
        <v>5393</v>
      </c>
      <c r="B2885" t="s">
        <v>5394</v>
      </c>
      <c r="C2885" s="1">
        <v>44083</v>
      </c>
      <c r="D2885" t="b">
        <v>1</v>
      </c>
      <c r="E2885" t="s">
        <v>10</v>
      </c>
      <c r="F2885">
        <v>9397</v>
      </c>
    </row>
    <row r="2886" spans="1:6" x14ac:dyDescent="0.25">
      <c r="A2886" t="s">
        <v>5395</v>
      </c>
      <c r="B2886" t="s">
        <v>5396</v>
      </c>
      <c r="C2886" s="1">
        <v>44083</v>
      </c>
      <c r="D2886" t="b">
        <v>1</v>
      </c>
      <c r="E2886" t="s">
        <v>10</v>
      </c>
      <c r="F2886">
        <v>2484</v>
      </c>
    </row>
    <row r="2887" spans="1:6" x14ac:dyDescent="0.25">
      <c r="A2887" t="s">
        <v>5397</v>
      </c>
      <c r="B2887" t="s">
        <v>5398</v>
      </c>
      <c r="C2887" s="1">
        <v>44083</v>
      </c>
      <c r="D2887" t="b">
        <v>1</v>
      </c>
      <c r="E2887" t="s">
        <v>10</v>
      </c>
      <c r="F2887">
        <v>7772</v>
      </c>
    </row>
    <row r="2888" spans="1:6" x14ac:dyDescent="0.25">
      <c r="A2888" t="s">
        <v>5399</v>
      </c>
      <c r="B2888" t="s">
        <v>5400</v>
      </c>
      <c r="C2888" s="1">
        <v>44083</v>
      </c>
      <c r="D2888" t="b">
        <v>1</v>
      </c>
      <c r="E2888" t="s">
        <v>10</v>
      </c>
      <c r="F2888">
        <v>2485</v>
      </c>
    </row>
    <row r="2889" spans="1:6" x14ac:dyDescent="0.25">
      <c r="A2889" t="s">
        <v>5401</v>
      </c>
      <c r="B2889" t="s">
        <v>5402</v>
      </c>
      <c r="C2889" s="1">
        <v>44083</v>
      </c>
      <c r="D2889" t="b">
        <v>1</v>
      </c>
      <c r="E2889" t="s">
        <v>10</v>
      </c>
      <c r="F2889">
        <v>2486</v>
      </c>
    </row>
    <row r="2890" spans="1:6" x14ac:dyDescent="0.25">
      <c r="A2890" t="s">
        <v>5403</v>
      </c>
      <c r="B2890" t="s">
        <v>5404</v>
      </c>
      <c r="C2890" s="1">
        <v>44083</v>
      </c>
      <c r="D2890" t="b">
        <v>1</v>
      </c>
      <c r="E2890" t="s">
        <v>10</v>
      </c>
      <c r="F2890">
        <v>2487</v>
      </c>
    </row>
    <row r="2891" spans="1:6" x14ac:dyDescent="0.25">
      <c r="A2891" t="s">
        <v>5405</v>
      </c>
      <c r="B2891" t="s">
        <v>5406</v>
      </c>
      <c r="C2891" s="1">
        <v>44083</v>
      </c>
      <c r="D2891" t="b">
        <v>1</v>
      </c>
      <c r="E2891" t="s">
        <v>10</v>
      </c>
      <c r="F2891">
        <v>2488</v>
      </c>
    </row>
    <row r="2892" spans="1:6" x14ac:dyDescent="0.25">
      <c r="A2892" t="s">
        <v>5407</v>
      </c>
      <c r="B2892" t="s">
        <v>5408</v>
      </c>
      <c r="C2892" s="1">
        <v>44083</v>
      </c>
      <c r="D2892" t="b">
        <v>1</v>
      </c>
      <c r="E2892" t="s">
        <v>10</v>
      </c>
      <c r="F2892">
        <v>16473</v>
      </c>
    </row>
    <row r="2893" spans="1:6" x14ac:dyDescent="0.25">
      <c r="A2893" t="s">
        <v>5409</v>
      </c>
      <c r="B2893" t="s">
        <v>5410</v>
      </c>
      <c r="C2893" s="1">
        <v>44083</v>
      </c>
      <c r="D2893" t="b">
        <v>1</v>
      </c>
      <c r="E2893" t="s">
        <v>10</v>
      </c>
      <c r="F2893">
        <v>2490</v>
      </c>
    </row>
    <row r="2894" spans="1:6" x14ac:dyDescent="0.25">
      <c r="A2894" t="s">
        <v>5411</v>
      </c>
      <c r="B2894" t="s">
        <v>5412</v>
      </c>
      <c r="C2894" s="1">
        <v>44083</v>
      </c>
      <c r="D2894" t="b">
        <v>1</v>
      </c>
      <c r="E2894" t="s">
        <v>10</v>
      </c>
      <c r="F2894">
        <v>16542</v>
      </c>
    </row>
    <row r="2895" spans="1:6" x14ac:dyDescent="0.25">
      <c r="A2895" t="s">
        <v>5413</v>
      </c>
      <c r="B2895" t="s">
        <v>5414</v>
      </c>
      <c r="C2895" s="1">
        <v>44083</v>
      </c>
      <c r="D2895" t="b">
        <v>1</v>
      </c>
      <c r="E2895" t="s">
        <v>10</v>
      </c>
      <c r="F2895">
        <v>14251</v>
      </c>
    </row>
    <row r="2896" spans="1:6" x14ac:dyDescent="0.25">
      <c r="A2896" t="s">
        <v>5415</v>
      </c>
      <c r="B2896" t="s">
        <v>5416</v>
      </c>
      <c r="C2896" s="1">
        <v>44083</v>
      </c>
      <c r="D2896" t="b">
        <v>1</v>
      </c>
      <c r="E2896" t="s">
        <v>10</v>
      </c>
      <c r="F2896">
        <v>2493</v>
      </c>
    </row>
    <row r="2897" spans="1:6" x14ac:dyDescent="0.25">
      <c r="A2897" t="s">
        <v>5417</v>
      </c>
      <c r="B2897" t="s">
        <v>5418</v>
      </c>
      <c r="C2897" s="1">
        <v>44083</v>
      </c>
      <c r="D2897" t="b">
        <v>1</v>
      </c>
      <c r="E2897" t="s">
        <v>10</v>
      </c>
      <c r="F2897">
        <v>12991</v>
      </c>
    </row>
    <row r="2898" spans="1:6" x14ac:dyDescent="0.25">
      <c r="A2898" t="s">
        <v>5419</v>
      </c>
      <c r="B2898" t="s">
        <v>5420</v>
      </c>
      <c r="C2898" s="1">
        <v>44083</v>
      </c>
      <c r="D2898" t="b">
        <v>1</v>
      </c>
      <c r="E2898" t="s">
        <v>10</v>
      </c>
      <c r="F2898">
        <v>2494</v>
      </c>
    </row>
    <row r="2899" spans="1:6" x14ac:dyDescent="0.25">
      <c r="A2899" t="s">
        <v>5421</v>
      </c>
      <c r="B2899" t="s">
        <v>5422</v>
      </c>
      <c r="C2899" s="1">
        <v>44083</v>
      </c>
      <c r="D2899" t="b">
        <v>1</v>
      </c>
      <c r="E2899" t="s">
        <v>10</v>
      </c>
      <c r="F2899">
        <v>2495</v>
      </c>
    </row>
    <row r="2900" spans="1:6" x14ac:dyDescent="0.25">
      <c r="A2900" t="s">
        <v>5423</v>
      </c>
      <c r="B2900" t="s">
        <v>5424</v>
      </c>
      <c r="C2900" s="1">
        <v>44083</v>
      </c>
      <c r="D2900" t="b">
        <v>1</v>
      </c>
      <c r="E2900" t="s">
        <v>10</v>
      </c>
      <c r="F2900">
        <v>2496</v>
      </c>
    </row>
    <row r="2901" spans="1:6" x14ac:dyDescent="0.25">
      <c r="A2901" t="s">
        <v>5425</v>
      </c>
      <c r="B2901" t="s">
        <v>5426</v>
      </c>
      <c r="C2901" s="1">
        <v>44083</v>
      </c>
      <c r="D2901" t="b">
        <v>1</v>
      </c>
      <c r="E2901" t="s">
        <v>10</v>
      </c>
      <c r="F2901">
        <v>13289</v>
      </c>
    </row>
    <row r="2902" spans="1:6" x14ac:dyDescent="0.25">
      <c r="A2902" t="s">
        <v>5427</v>
      </c>
      <c r="B2902" t="s">
        <v>5428</v>
      </c>
      <c r="C2902" s="1">
        <v>44083</v>
      </c>
      <c r="D2902" t="b">
        <v>1</v>
      </c>
      <c r="E2902" t="s">
        <v>10</v>
      </c>
      <c r="F2902">
        <v>2497</v>
      </c>
    </row>
    <row r="2903" spans="1:6" x14ac:dyDescent="0.25">
      <c r="A2903" t="s">
        <v>5429</v>
      </c>
      <c r="B2903" t="s">
        <v>5430</v>
      </c>
      <c r="C2903" s="1">
        <v>44083</v>
      </c>
      <c r="D2903" t="b">
        <v>1</v>
      </c>
      <c r="E2903" t="s">
        <v>10</v>
      </c>
      <c r="F2903">
        <v>2502</v>
      </c>
    </row>
    <row r="2904" spans="1:6" x14ac:dyDescent="0.25">
      <c r="A2904" t="s">
        <v>5431</v>
      </c>
      <c r="B2904" t="s">
        <v>5432</v>
      </c>
      <c r="C2904" s="1">
        <v>44083</v>
      </c>
      <c r="D2904" t="b">
        <v>1</v>
      </c>
      <c r="E2904" t="s">
        <v>10</v>
      </c>
      <c r="F2904">
        <v>2503</v>
      </c>
    </row>
    <row r="2905" spans="1:6" x14ac:dyDescent="0.25">
      <c r="A2905" t="s">
        <v>5433</v>
      </c>
      <c r="B2905" t="s">
        <v>5434</v>
      </c>
      <c r="C2905" s="1">
        <v>44083</v>
      </c>
      <c r="D2905" t="b">
        <v>1</v>
      </c>
      <c r="E2905" t="s">
        <v>10</v>
      </c>
      <c r="F2905">
        <v>13675</v>
      </c>
    </row>
    <row r="2906" spans="1:6" x14ac:dyDescent="0.25">
      <c r="A2906" t="s">
        <v>5435</v>
      </c>
      <c r="B2906" t="s">
        <v>5436</v>
      </c>
      <c r="C2906" s="1">
        <v>44083</v>
      </c>
      <c r="D2906" t="b">
        <v>1</v>
      </c>
      <c r="E2906" t="s">
        <v>10</v>
      </c>
      <c r="F2906">
        <v>13676</v>
      </c>
    </row>
    <row r="2907" spans="1:6" x14ac:dyDescent="0.25">
      <c r="A2907" t="s">
        <v>5437</v>
      </c>
      <c r="B2907" t="s">
        <v>5438</v>
      </c>
      <c r="C2907" s="1">
        <v>44083</v>
      </c>
      <c r="D2907" t="b">
        <v>1</v>
      </c>
      <c r="E2907" t="s">
        <v>10</v>
      </c>
      <c r="F2907">
        <v>12992</v>
      </c>
    </row>
    <row r="2908" spans="1:6" x14ac:dyDescent="0.25">
      <c r="A2908" t="s">
        <v>5439</v>
      </c>
      <c r="B2908" t="s">
        <v>5440</v>
      </c>
      <c r="C2908" s="1">
        <v>44083</v>
      </c>
      <c r="D2908" t="b">
        <v>1</v>
      </c>
      <c r="E2908" t="s">
        <v>10</v>
      </c>
      <c r="F2908">
        <v>9902</v>
      </c>
    </row>
    <row r="2909" spans="1:6" x14ac:dyDescent="0.25">
      <c r="A2909" t="s">
        <v>5441</v>
      </c>
      <c r="B2909" t="s">
        <v>5442</v>
      </c>
      <c r="C2909" s="1">
        <v>44083</v>
      </c>
      <c r="D2909" t="b">
        <v>1</v>
      </c>
      <c r="E2909" t="s">
        <v>10</v>
      </c>
      <c r="F2909">
        <v>8565</v>
      </c>
    </row>
    <row r="2910" spans="1:6" x14ac:dyDescent="0.25">
      <c r="A2910" t="s">
        <v>5443</v>
      </c>
      <c r="B2910" t="s">
        <v>5444</v>
      </c>
      <c r="C2910" s="1">
        <v>44083</v>
      </c>
      <c r="D2910" t="b">
        <v>1</v>
      </c>
      <c r="E2910" t="s">
        <v>10</v>
      </c>
      <c r="F2910">
        <v>2504</v>
      </c>
    </row>
    <row r="2911" spans="1:6" x14ac:dyDescent="0.25">
      <c r="A2911" t="s">
        <v>5445</v>
      </c>
      <c r="B2911" t="s">
        <v>5446</v>
      </c>
      <c r="C2911" s="1">
        <v>44083</v>
      </c>
      <c r="D2911" t="b">
        <v>1</v>
      </c>
      <c r="E2911" t="s">
        <v>10</v>
      </c>
      <c r="F2911">
        <v>9598</v>
      </c>
    </row>
    <row r="2912" spans="1:6" x14ac:dyDescent="0.25">
      <c r="A2912" t="s">
        <v>5447</v>
      </c>
      <c r="B2912" t="s">
        <v>5448</v>
      </c>
      <c r="C2912" s="1">
        <v>44083</v>
      </c>
      <c r="D2912" t="b">
        <v>1</v>
      </c>
      <c r="E2912" t="s">
        <v>10</v>
      </c>
      <c r="F2912">
        <v>2505</v>
      </c>
    </row>
    <row r="2913" spans="1:6" x14ac:dyDescent="0.25">
      <c r="A2913" t="s">
        <v>5449</v>
      </c>
      <c r="B2913" t="s">
        <v>5450</v>
      </c>
      <c r="C2913" s="1">
        <v>44083</v>
      </c>
      <c r="D2913" t="b">
        <v>1</v>
      </c>
      <c r="E2913" t="s">
        <v>10</v>
      </c>
      <c r="F2913">
        <v>9453</v>
      </c>
    </row>
    <row r="2914" spans="1:6" x14ac:dyDescent="0.25">
      <c r="A2914" t="s">
        <v>5451</v>
      </c>
      <c r="B2914" t="s">
        <v>5452</v>
      </c>
      <c r="C2914" s="1">
        <v>44083</v>
      </c>
      <c r="D2914" t="b">
        <v>1</v>
      </c>
      <c r="E2914" t="s">
        <v>10</v>
      </c>
      <c r="F2914">
        <v>2507</v>
      </c>
    </row>
    <row r="2915" spans="1:6" x14ac:dyDescent="0.25">
      <c r="A2915" t="s">
        <v>5453</v>
      </c>
      <c r="B2915" t="s">
        <v>5454</v>
      </c>
      <c r="C2915" s="1">
        <v>44083</v>
      </c>
      <c r="D2915" t="b">
        <v>1</v>
      </c>
      <c r="E2915" t="s">
        <v>10</v>
      </c>
      <c r="F2915">
        <v>11664</v>
      </c>
    </row>
    <row r="2916" spans="1:6" x14ac:dyDescent="0.25">
      <c r="A2916" t="s">
        <v>5455</v>
      </c>
      <c r="B2916" t="s">
        <v>5456</v>
      </c>
      <c r="C2916" s="1">
        <v>44083</v>
      </c>
      <c r="D2916" t="b">
        <v>1</v>
      </c>
      <c r="E2916" t="s">
        <v>10</v>
      </c>
      <c r="F2916">
        <v>2519</v>
      </c>
    </row>
    <row r="2917" spans="1:6" x14ac:dyDescent="0.25">
      <c r="A2917" t="s">
        <v>5457</v>
      </c>
      <c r="B2917" t="s">
        <v>5458</v>
      </c>
      <c r="C2917" s="1">
        <v>44083</v>
      </c>
      <c r="D2917" t="b">
        <v>1</v>
      </c>
      <c r="E2917" t="s">
        <v>10</v>
      </c>
      <c r="F2917">
        <v>2510</v>
      </c>
    </row>
    <row r="2918" spans="1:6" x14ac:dyDescent="0.25">
      <c r="A2918" t="s">
        <v>5459</v>
      </c>
      <c r="B2918" t="s">
        <v>5460</v>
      </c>
      <c r="C2918" s="1">
        <v>44083</v>
      </c>
      <c r="D2918" t="b">
        <v>1</v>
      </c>
      <c r="E2918" t="s">
        <v>10</v>
      </c>
      <c r="F2918">
        <v>8029</v>
      </c>
    </row>
    <row r="2919" spans="1:6" x14ac:dyDescent="0.25">
      <c r="A2919" t="s">
        <v>5461</v>
      </c>
      <c r="B2919" t="s">
        <v>5462</v>
      </c>
      <c r="C2919" s="1">
        <v>44083</v>
      </c>
      <c r="D2919" t="b">
        <v>1</v>
      </c>
      <c r="E2919" t="s">
        <v>10</v>
      </c>
      <c r="F2919">
        <v>2511</v>
      </c>
    </row>
    <row r="2920" spans="1:6" x14ac:dyDescent="0.25">
      <c r="A2920" t="s">
        <v>5463</v>
      </c>
      <c r="C2920" s="1">
        <v>44083</v>
      </c>
      <c r="D2920" t="b">
        <v>1</v>
      </c>
      <c r="E2920" t="s">
        <v>10</v>
      </c>
      <c r="F2920">
        <v>2512</v>
      </c>
    </row>
    <row r="2921" spans="1:6" x14ac:dyDescent="0.25">
      <c r="A2921" t="s">
        <v>5464</v>
      </c>
      <c r="C2921" s="1">
        <v>44083</v>
      </c>
      <c r="D2921" t="b">
        <v>1</v>
      </c>
      <c r="E2921" t="s">
        <v>10</v>
      </c>
      <c r="F2921">
        <v>16928</v>
      </c>
    </row>
    <row r="2922" spans="1:6" x14ac:dyDescent="0.25">
      <c r="A2922" t="s">
        <v>5465</v>
      </c>
      <c r="C2922" s="1">
        <v>44083</v>
      </c>
      <c r="D2922" t="b">
        <v>1</v>
      </c>
      <c r="E2922" t="s">
        <v>10</v>
      </c>
      <c r="F2922">
        <v>16929</v>
      </c>
    </row>
    <row r="2923" spans="1:6" x14ac:dyDescent="0.25">
      <c r="A2923" t="s">
        <v>5466</v>
      </c>
      <c r="C2923" s="1">
        <v>44083</v>
      </c>
      <c r="D2923" t="b">
        <v>1</v>
      </c>
      <c r="E2923" t="s">
        <v>10</v>
      </c>
      <c r="F2923">
        <v>16930</v>
      </c>
    </row>
    <row r="2924" spans="1:6" x14ac:dyDescent="0.25">
      <c r="A2924" t="s">
        <v>5467</v>
      </c>
      <c r="C2924" s="1">
        <v>44083</v>
      </c>
      <c r="D2924" t="b">
        <v>1</v>
      </c>
      <c r="E2924" t="s">
        <v>10</v>
      </c>
      <c r="F2924">
        <v>16831</v>
      </c>
    </row>
    <row r="2925" spans="1:6" x14ac:dyDescent="0.25">
      <c r="A2925" t="s">
        <v>5468</v>
      </c>
      <c r="B2925" t="s">
        <v>5469</v>
      </c>
      <c r="C2925" s="1">
        <v>44083</v>
      </c>
      <c r="D2925" t="b">
        <v>1</v>
      </c>
      <c r="E2925" t="s">
        <v>10</v>
      </c>
      <c r="F2925">
        <v>7717</v>
      </c>
    </row>
    <row r="2926" spans="1:6" x14ac:dyDescent="0.25">
      <c r="A2926" t="s">
        <v>5470</v>
      </c>
      <c r="B2926" t="s">
        <v>5471</v>
      </c>
      <c r="C2926" s="1">
        <v>44083</v>
      </c>
      <c r="D2926" t="b">
        <v>1</v>
      </c>
      <c r="E2926" t="s">
        <v>10</v>
      </c>
      <c r="F2926">
        <v>2514</v>
      </c>
    </row>
    <row r="2927" spans="1:6" x14ac:dyDescent="0.25">
      <c r="A2927" t="s">
        <v>5472</v>
      </c>
      <c r="B2927" t="s">
        <v>5473</v>
      </c>
      <c r="C2927" s="1">
        <v>44083</v>
      </c>
      <c r="D2927" t="b">
        <v>1</v>
      </c>
      <c r="E2927" t="s">
        <v>10</v>
      </c>
      <c r="F2927">
        <v>9767</v>
      </c>
    </row>
    <row r="2928" spans="1:6" x14ac:dyDescent="0.25">
      <c r="A2928" t="s">
        <v>5474</v>
      </c>
      <c r="B2928" t="s">
        <v>5475</v>
      </c>
      <c r="C2928" s="1">
        <v>44083</v>
      </c>
      <c r="D2928" t="b">
        <v>1</v>
      </c>
      <c r="E2928" t="s">
        <v>10</v>
      </c>
      <c r="F2928">
        <v>2515</v>
      </c>
    </row>
    <row r="2929" spans="1:6" x14ac:dyDescent="0.25">
      <c r="A2929" t="s">
        <v>5476</v>
      </c>
      <c r="B2929" t="s">
        <v>5477</v>
      </c>
      <c r="C2929" s="1">
        <v>44083</v>
      </c>
      <c r="D2929" t="b">
        <v>1</v>
      </c>
      <c r="E2929" t="s">
        <v>10</v>
      </c>
      <c r="F2929">
        <v>7744</v>
      </c>
    </row>
    <row r="2930" spans="1:6" x14ac:dyDescent="0.25">
      <c r="A2930" t="s">
        <v>5478</v>
      </c>
      <c r="B2930" t="s">
        <v>5479</v>
      </c>
      <c r="C2930" s="1">
        <v>44083</v>
      </c>
      <c r="D2930" t="b">
        <v>1</v>
      </c>
      <c r="E2930" t="s">
        <v>10</v>
      </c>
      <c r="F2930">
        <v>14028</v>
      </c>
    </row>
    <row r="2931" spans="1:6" x14ac:dyDescent="0.25">
      <c r="A2931" t="s">
        <v>5480</v>
      </c>
      <c r="B2931" t="s">
        <v>5481</v>
      </c>
      <c r="C2931" s="1">
        <v>44083</v>
      </c>
      <c r="D2931" t="b">
        <v>1</v>
      </c>
      <c r="E2931" t="s">
        <v>10</v>
      </c>
      <c r="F2931">
        <v>8030</v>
      </c>
    </row>
    <row r="2932" spans="1:6" x14ac:dyDescent="0.25">
      <c r="A2932" t="s">
        <v>5482</v>
      </c>
      <c r="B2932" t="s">
        <v>5483</v>
      </c>
      <c r="C2932" s="1">
        <v>44083</v>
      </c>
      <c r="D2932" t="b">
        <v>1</v>
      </c>
      <c r="E2932" t="s">
        <v>10</v>
      </c>
      <c r="F2932">
        <v>11070</v>
      </c>
    </row>
    <row r="2933" spans="1:6" x14ac:dyDescent="0.25">
      <c r="A2933" t="s">
        <v>5484</v>
      </c>
      <c r="B2933" t="s">
        <v>5485</v>
      </c>
      <c r="C2933" s="1">
        <v>44083</v>
      </c>
      <c r="D2933" t="b">
        <v>1</v>
      </c>
      <c r="E2933" t="s">
        <v>10</v>
      </c>
      <c r="F2933">
        <v>2516</v>
      </c>
    </row>
    <row r="2934" spans="1:6" x14ac:dyDescent="0.25">
      <c r="A2934" t="s">
        <v>5486</v>
      </c>
      <c r="B2934" t="s">
        <v>5487</v>
      </c>
      <c r="C2934" s="1">
        <v>44083</v>
      </c>
      <c r="D2934" t="b">
        <v>1</v>
      </c>
      <c r="E2934" t="s">
        <v>10</v>
      </c>
      <c r="F2934">
        <v>11079</v>
      </c>
    </row>
    <row r="2935" spans="1:6" x14ac:dyDescent="0.25">
      <c r="A2935" t="s">
        <v>5488</v>
      </c>
      <c r="B2935" t="s">
        <v>5489</v>
      </c>
      <c r="C2935" s="1">
        <v>44083</v>
      </c>
      <c r="D2935" t="b">
        <v>1</v>
      </c>
      <c r="E2935" t="s">
        <v>10</v>
      </c>
      <c r="F2935">
        <v>17026</v>
      </c>
    </row>
    <row r="2936" spans="1:6" x14ac:dyDescent="0.25">
      <c r="A2936" t="s">
        <v>5490</v>
      </c>
      <c r="B2936" t="s">
        <v>5491</v>
      </c>
      <c r="C2936" s="1">
        <v>44083</v>
      </c>
      <c r="D2936" t="b">
        <v>1</v>
      </c>
      <c r="E2936" t="s">
        <v>10</v>
      </c>
      <c r="F2936">
        <v>2520</v>
      </c>
    </row>
    <row r="2937" spans="1:6" x14ac:dyDescent="0.25">
      <c r="A2937" t="s">
        <v>5492</v>
      </c>
      <c r="B2937" t="s">
        <v>5493</v>
      </c>
      <c r="C2937" s="1">
        <v>44083</v>
      </c>
      <c r="D2937" t="b">
        <v>1</v>
      </c>
      <c r="E2937" t="s">
        <v>10</v>
      </c>
      <c r="F2937">
        <v>15790</v>
      </c>
    </row>
    <row r="2938" spans="1:6" x14ac:dyDescent="0.25">
      <c r="A2938" t="s">
        <v>5494</v>
      </c>
      <c r="B2938" t="s">
        <v>5495</v>
      </c>
      <c r="C2938" s="1">
        <v>44083</v>
      </c>
      <c r="D2938" t="b">
        <v>1</v>
      </c>
      <c r="E2938" t="s">
        <v>10</v>
      </c>
      <c r="F2938">
        <v>13564</v>
      </c>
    </row>
    <row r="2939" spans="1:6" x14ac:dyDescent="0.25">
      <c r="A2939" t="s">
        <v>5496</v>
      </c>
      <c r="B2939" t="s">
        <v>5497</v>
      </c>
      <c r="C2939" s="1">
        <v>44083</v>
      </c>
      <c r="D2939" t="b">
        <v>1</v>
      </c>
      <c r="E2939" t="s">
        <v>10</v>
      </c>
      <c r="F2939">
        <v>11809</v>
      </c>
    </row>
    <row r="2940" spans="1:6" x14ac:dyDescent="0.25">
      <c r="A2940" t="s">
        <v>5498</v>
      </c>
      <c r="B2940" t="s">
        <v>5499</v>
      </c>
      <c r="C2940" s="1">
        <v>44083</v>
      </c>
      <c r="D2940" t="b">
        <v>1</v>
      </c>
      <c r="E2940" t="s">
        <v>10</v>
      </c>
      <c r="F2940">
        <v>2527</v>
      </c>
    </row>
    <row r="2941" spans="1:6" x14ac:dyDescent="0.25">
      <c r="A2941" t="s">
        <v>5500</v>
      </c>
      <c r="B2941" t="s">
        <v>5501</v>
      </c>
      <c r="C2941" s="1">
        <v>44083</v>
      </c>
      <c r="D2941" t="b">
        <v>1</v>
      </c>
      <c r="E2941" t="s">
        <v>10</v>
      </c>
      <c r="F2941">
        <v>2529</v>
      </c>
    </row>
    <row r="2942" spans="1:6" x14ac:dyDescent="0.25">
      <c r="A2942" t="s">
        <v>5502</v>
      </c>
      <c r="B2942" t="s">
        <v>5503</v>
      </c>
      <c r="C2942" s="1">
        <v>44083</v>
      </c>
      <c r="D2942" t="b">
        <v>1</v>
      </c>
      <c r="E2942" t="s">
        <v>10</v>
      </c>
      <c r="F2942">
        <v>7996</v>
      </c>
    </row>
    <row r="2943" spans="1:6" x14ac:dyDescent="0.25">
      <c r="A2943" t="s">
        <v>5504</v>
      </c>
      <c r="B2943" t="s">
        <v>5505</v>
      </c>
      <c r="C2943" s="1">
        <v>44083</v>
      </c>
      <c r="D2943" t="b">
        <v>1</v>
      </c>
      <c r="E2943" t="s">
        <v>10</v>
      </c>
      <c r="F2943">
        <v>15585</v>
      </c>
    </row>
    <row r="2944" spans="1:6" x14ac:dyDescent="0.25">
      <c r="A2944" t="s">
        <v>5506</v>
      </c>
      <c r="B2944" t="s">
        <v>5507</v>
      </c>
      <c r="C2944" s="1">
        <v>44083</v>
      </c>
      <c r="D2944" t="b">
        <v>1</v>
      </c>
      <c r="E2944" t="s">
        <v>10</v>
      </c>
      <c r="F2944">
        <v>2530</v>
      </c>
    </row>
    <row r="2945" spans="1:6" x14ac:dyDescent="0.25">
      <c r="A2945" t="s">
        <v>5508</v>
      </c>
      <c r="B2945" t="s">
        <v>5509</v>
      </c>
      <c r="C2945" s="1">
        <v>44083</v>
      </c>
      <c r="D2945" t="b">
        <v>1</v>
      </c>
      <c r="E2945" t="s">
        <v>10</v>
      </c>
      <c r="F2945">
        <v>9972</v>
      </c>
    </row>
    <row r="2946" spans="1:6" x14ac:dyDescent="0.25">
      <c r="A2946" t="s">
        <v>5510</v>
      </c>
      <c r="B2946" t="s">
        <v>5511</v>
      </c>
      <c r="C2946" s="1">
        <v>44083</v>
      </c>
      <c r="D2946" t="b">
        <v>1</v>
      </c>
      <c r="E2946" t="s">
        <v>10</v>
      </c>
      <c r="F2946">
        <v>2531</v>
      </c>
    </row>
    <row r="2947" spans="1:6" x14ac:dyDescent="0.25">
      <c r="A2947" t="s">
        <v>5512</v>
      </c>
      <c r="C2947" s="1">
        <v>44083</v>
      </c>
      <c r="D2947" t="b">
        <v>1</v>
      </c>
      <c r="E2947" t="s">
        <v>10</v>
      </c>
      <c r="F2947">
        <v>8167</v>
      </c>
    </row>
    <row r="2948" spans="1:6" x14ac:dyDescent="0.25">
      <c r="A2948" t="s">
        <v>5513</v>
      </c>
      <c r="C2948" s="1">
        <v>44083</v>
      </c>
      <c r="D2948" t="b">
        <v>1</v>
      </c>
      <c r="E2948" t="s">
        <v>10</v>
      </c>
      <c r="F2948">
        <v>16152</v>
      </c>
    </row>
    <row r="2949" spans="1:6" x14ac:dyDescent="0.25">
      <c r="A2949" t="s">
        <v>5514</v>
      </c>
      <c r="C2949" s="1">
        <v>44083</v>
      </c>
      <c r="D2949" t="b">
        <v>1</v>
      </c>
      <c r="E2949" t="s">
        <v>10</v>
      </c>
      <c r="F2949">
        <v>16032</v>
      </c>
    </row>
    <row r="2950" spans="1:6" x14ac:dyDescent="0.25">
      <c r="A2950" t="s">
        <v>5515</v>
      </c>
      <c r="B2950" t="s">
        <v>5516</v>
      </c>
      <c r="C2950" s="1">
        <v>44083</v>
      </c>
      <c r="D2950" t="b">
        <v>1</v>
      </c>
      <c r="E2950" t="s">
        <v>10</v>
      </c>
      <c r="F2950">
        <v>13957</v>
      </c>
    </row>
    <row r="2951" spans="1:6" x14ac:dyDescent="0.25">
      <c r="A2951" t="s">
        <v>5517</v>
      </c>
      <c r="B2951" t="s">
        <v>5302</v>
      </c>
      <c r="C2951" s="1">
        <v>44083</v>
      </c>
      <c r="D2951" t="b">
        <v>1</v>
      </c>
      <c r="E2951" t="s">
        <v>10</v>
      </c>
      <c r="F2951">
        <v>12211</v>
      </c>
    </row>
    <row r="2952" spans="1:6" x14ac:dyDescent="0.25">
      <c r="A2952" t="s">
        <v>5518</v>
      </c>
      <c r="B2952" t="s">
        <v>5519</v>
      </c>
      <c r="C2952" s="1">
        <v>44083</v>
      </c>
      <c r="D2952" t="b">
        <v>1</v>
      </c>
      <c r="E2952" t="s">
        <v>10</v>
      </c>
      <c r="F2952">
        <v>14029</v>
      </c>
    </row>
    <row r="2953" spans="1:6" x14ac:dyDescent="0.25">
      <c r="A2953" t="s">
        <v>5520</v>
      </c>
      <c r="B2953" t="s">
        <v>5521</v>
      </c>
      <c r="C2953" s="1">
        <v>44083</v>
      </c>
      <c r="D2953" t="b">
        <v>1</v>
      </c>
      <c r="E2953" t="s">
        <v>10</v>
      </c>
      <c r="F2953">
        <v>2532</v>
      </c>
    </row>
    <row r="2954" spans="1:6" x14ac:dyDescent="0.25">
      <c r="A2954" t="s">
        <v>5522</v>
      </c>
      <c r="B2954" t="s">
        <v>5523</v>
      </c>
      <c r="C2954" s="1">
        <v>44083</v>
      </c>
      <c r="D2954" t="b">
        <v>1</v>
      </c>
      <c r="E2954" t="s">
        <v>10</v>
      </c>
      <c r="F2954">
        <v>15479</v>
      </c>
    </row>
    <row r="2955" spans="1:6" x14ac:dyDescent="0.25">
      <c r="A2955" t="s">
        <v>5524</v>
      </c>
      <c r="B2955" t="s">
        <v>5525</v>
      </c>
      <c r="C2955" s="1">
        <v>44083</v>
      </c>
      <c r="D2955" t="b">
        <v>1</v>
      </c>
      <c r="E2955" t="s">
        <v>10</v>
      </c>
      <c r="F2955">
        <v>8518</v>
      </c>
    </row>
    <row r="2956" spans="1:6" x14ac:dyDescent="0.25">
      <c r="A2956" t="s">
        <v>5526</v>
      </c>
      <c r="B2956" t="s">
        <v>5527</v>
      </c>
      <c r="C2956" s="1">
        <v>44083</v>
      </c>
      <c r="D2956" t="b">
        <v>1</v>
      </c>
      <c r="E2956" t="s">
        <v>10</v>
      </c>
      <c r="F2956">
        <v>2534</v>
      </c>
    </row>
    <row r="2957" spans="1:6" x14ac:dyDescent="0.25">
      <c r="A2957" t="s">
        <v>5528</v>
      </c>
      <c r="B2957" t="s">
        <v>5529</v>
      </c>
      <c r="C2957" s="1">
        <v>44083</v>
      </c>
      <c r="D2957" t="b">
        <v>1</v>
      </c>
      <c r="E2957" t="s">
        <v>10</v>
      </c>
      <c r="F2957">
        <v>2535</v>
      </c>
    </row>
    <row r="2958" spans="1:6" x14ac:dyDescent="0.25">
      <c r="A2958" t="s">
        <v>5530</v>
      </c>
      <c r="B2958" t="s">
        <v>5531</v>
      </c>
      <c r="C2958" s="1">
        <v>44083</v>
      </c>
      <c r="D2958" t="b">
        <v>1</v>
      </c>
      <c r="E2958" t="s">
        <v>10</v>
      </c>
      <c r="F2958">
        <v>12389</v>
      </c>
    </row>
    <row r="2959" spans="1:6" x14ac:dyDescent="0.25">
      <c r="A2959" t="s">
        <v>5532</v>
      </c>
      <c r="B2959" t="s">
        <v>5533</v>
      </c>
      <c r="C2959" s="1">
        <v>44083</v>
      </c>
      <c r="D2959" t="b">
        <v>1</v>
      </c>
      <c r="E2959" t="s">
        <v>10</v>
      </c>
      <c r="F2959">
        <v>14221</v>
      </c>
    </row>
    <row r="2960" spans="1:6" x14ac:dyDescent="0.25">
      <c r="A2960" t="s">
        <v>5534</v>
      </c>
      <c r="B2960" t="s">
        <v>5535</v>
      </c>
      <c r="C2960" s="1">
        <v>44083</v>
      </c>
      <c r="D2960" t="b">
        <v>1</v>
      </c>
      <c r="E2960" t="s">
        <v>10</v>
      </c>
      <c r="F2960">
        <v>14252</v>
      </c>
    </row>
    <row r="2961" spans="1:6" x14ac:dyDescent="0.25">
      <c r="A2961" t="s">
        <v>5536</v>
      </c>
      <c r="B2961" t="s">
        <v>5537</v>
      </c>
      <c r="C2961" s="1">
        <v>44083</v>
      </c>
      <c r="D2961" t="b">
        <v>1</v>
      </c>
      <c r="E2961" t="s">
        <v>10</v>
      </c>
      <c r="F2961">
        <v>2536</v>
      </c>
    </row>
    <row r="2962" spans="1:6" x14ac:dyDescent="0.25">
      <c r="A2962" t="s">
        <v>5538</v>
      </c>
      <c r="B2962" t="s">
        <v>5539</v>
      </c>
      <c r="C2962" s="1">
        <v>44083</v>
      </c>
      <c r="D2962" t="b">
        <v>1</v>
      </c>
      <c r="E2962" t="s">
        <v>10</v>
      </c>
      <c r="F2962">
        <v>16215</v>
      </c>
    </row>
    <row r="2963" spans="1:6" x14ac:dyDescent="0.25">
      <c r="A2963" t="s">
        <v>5540</v>
      </c>
      <c r="B2963" t="s">
        <v>5541</v>
      </c>
      <c r="C2963" s="1">
        <v>44083</v>
      </c>
      <c r="D2963" t="b">
        <v>1</v>
      </c>
      <c r="E2963" t="s">
        <v>10</v>
      </c>
      <c r="F2963">
        <v>2537</v>
      </c>
    </row>
    <row r="2964" spans="1:6" x14ac:dyDescent="0.25">
      <c r="A2964" t="s">
        <v>5542</v>
      </c>
      <c r="B2964" t="s">
        <v>5543</v>
      </c>
      <c r="C2964" s="1">
        <v>44083</v>
      </c>
      <c r="D2964" t="b">
        <v>0</v>
      </c>
      <c r="E2964" t="s">
        <v>10</v>
      </c>
      <c r="F2964">
        <v>16984</v>
      </c>
    </row>
    <row r="2965" spans="1:6" x14ac:dyDescent="0.25">
      <c r="A2965" t="s">
        <v>5544</v>
      </c>
      <c r="B2965" t="s">
        <v>5545</v>
      </c>
      <c r="C2965" s="1">
        <v>44083</v>
      </c>
      <c r="D2965" t="b">
        <v>1</v>
      </c>
      <c r="E2965" t="s">
        <v>10</v>
      </c>
      <c r="F2965">
        <v>16856</v>
      </c>
    </row>
    <row r="2966" spans="1:6" x14ac:dyDescent="0.25">
      <c r="A2966" t="s">
        <v>5546</v>
      </c>
      <c r="B2966" t="s">
        <v>5547</v>
      </c>
      <c r="C2966" s="1">
        <v>44083</v>
      </c>
      <c r="D2966" t="b">
        <v>1</v>
      </c>
      <c r="E2966" t="s">
        <v>10</v>
      </c>
      <c r="F2966">
        <v>2538</v>
      </c>
    </row>
    <row r="2967" spans="1:6" x14ac:dyDescent="0.25">
      <c r="A2967" t="s">
        <v>5548</v>
      </c>
      <c r="B2967" t="s">
        <v>5549</v>
      </c>
      <c r="C2967" s="1">
        <v>44083</v>
      </c>
      <c r="D2967" t="b">
        <v>1</v>
      </c>
      <c r="E2967" t="s">
        <v>10</v>
      </c>
      <c r="F2967">
        <v>2539</v>
      </c>
    </row>
    <row r="2968" spans="1:6" x14ac:dyDescent="0.25">
      <c r="A2968" t="s">
        <v>5550</v>
      </c>
      <c r="B2968" t="s">
        <v>5551</v>
      </c>
      <c r="C2968" s="1">
        <v>44083</v>
      </c>
      <c r="D2968" t="b">
        <v>1</v>
      </c>
      <c r="E2968" t="s">
        <v>10</v>
      </c>
      <c r="F2968">
        <v>2540</v>
      </c>
    </row>
    <row r="2969" spans="1:6" x14ac:dyDescent="0.25">
      <c r="A2969" t="s">
        <v>5552</v>
      </c>
      <c r="B2969" t="s">
        <v>5553</v>
      </c>
      <c r="C2969" s="1">
        <v>44083</v>
      </c>
      <c r="D2969" t="b">
        <v>1</v>
      </c>
      <c r="E2969" t="s">
        <v>10</v>
      </c>
      <c r="F2969">
        <v>13704</v>
      </c>
    </row>
    <row r="2970" spans="1:6" x14ac:dyDescent="0.25">
      <c r="A2970" t="s">
        <v>5554</v>
      </c>
      <c r="B2970" t="s">
        <v>5555</v>
      </c>
      <c r="C2970" s="1">
        <v>44083</v>
      </c>
      <c r="D2970" t="b">
        <v>1</v>
      </c>
      <c r="E2970" t="s">
        <v>10</v>
      </c>
      <c r="F2970">
        <v>14127</v>
      </c>
    </row>
    <row r="2971" spans="1:6" x14ac:dyDescent="0.25">
      <c r="A2971" t="s">
        <v>5556</v>
      </c>
      <c r="B2971" t="s">
        <v>5557</v>
      </c>
      <c r="C2971" s="1">
        <v>44083</v>
      </c>
      <c r="D2971" t="b">
        <v>1</v>
      </c>
      <c r="E2971" t="s">
        <v>10</v>
      </c>
      <c r="F2971">
        <v>14693</v>
      </c>
    </row>
    <row r="2972" spans="1:6" x14ac:dyDescent="0.25">
      <c r="A2972" t="s">
        <v>5558</v>
      </c>
      <c r="B2972" t="s">
        <v>5559</v>
      </c>
      <c r="C2972" s="1">
        <v>44083</v>
      </c>
      <c r="D2972" t="b">
        <v>1</v>
      </c>
      <c r="E2972" t="s">
        <v>10</v>
      </c>
      <c r="F2972">
        <v>13705</v>
      </c>
    </row>
    <row r="2973" spans="1:6" x14ac:dyDescent="0.25">
      <c r="A2973" t="s">
        <v>5560</v>
      </c>
      <c r="B2973" t="s">
        <v>5561</v>
      </c>
      <c r="C2973" s="1">
        <v>44083</v>
      </c>
      <c r="D2973" t="b">
        <v>1</v>
      </c>
      <c r="E2973" t="s">
        <v>10</v>
      </c>
      <c r="F2973">
        <v>2543</v>
      </c>
    </row>
    <row r="2974" spans="1:6" x14ac:dyDescent="0.25">
      <c r="A2974" t="s">
        <v>5562</v>
      </c>
      <c r="B2974" t="s">
        <v>5563</v>
      </c>
      <c r="C2974" s="1">
        <v>44083</v>
      </c>
      <c r="D2974" t="b">
        <v>1</v>
      </c>
      <c r="E2974" t="s">
        <v>10</v>
      </c>
      <c r="F2974">
        <v>13706</v>
      </c>
    </row>
    <row r="2975" spans="1:6" x14ac:dyDescent="0.25">
      <c r="A2975" t="s">
        <v>5564</v>
      </c>
      <c r="B2975" t="s">
        <v>5565</v>
      </c>
      <c r="C2975" s="1">
        <v>44083</v>
      </c>
      <c r="D2975" t="b">
        <v>1</v>
      </c>
      <c r="E2975" t="s">
        <v>10</v>
      </c>
      <c r="F2975">
        <v>16051</v>
      </c>
    </row>
    <row r="2976" spans="1:6" x14ac:dyDescent="0.25">
      <c r="A2976" t="s">
        <v>5566</v>
      </c>
      <c r="B2976" t="s">
        <v>5567</v>
      </c>
      <c r="C2976" s="1">
        <v>44083</v>
      </c>
      <c r="D2976" t="b">
        <v>1</v>
      </c>
      <c r="E2976" t="s">
        <v>10</v>
      </c>
      <c r="F2976">
        <v>13707</v>
      </c>
    </row>
    <row r="2977" spans="1:6" x14ac:dyDescent="0.25">
      <c r="A2977" t="s">
        <v>5568</v>
      </c>
      <c r="B2977" t="s">
        <v>5569</v>
      </c>
      <c r="C2977" s="1">
        <v>44083</v>
      </c>
      <c r="D2977" t="b">
        <v>1</v>
      </c>
      <c r="E2977" t="s">
        <v>10</v>
      </c>
      <c r="F2977">
        <v>11921</v>
      </c>
    </row>
    <row r="2978" spans="1:6" x14ac:dyDescent="0.25">
      <c r="A2978" t="s">
        <v>5570</v>
      </c>
      <c r="B2978" t="s">
        <v>5571</v>
      </c>
      <c r="C2978" s="1">
        <v>44083</v>
      </c>
      <c r="D2978" t="b">
        <v>1</v>
      </c>
      <c r="E2978" t="s">
        <v>10</v>
      </c>
      <c r="F2978">
        <v>2544</v>
      </c>
    </row>
    <row r="2979" spans="1:6" x14ac:dyDescent="0.25">
      <c r="A2979" t="s">
        <v>5572</v>
      </c>
      <c r="B2979" t="s">
        <v>5573</v>
      </c>
      <c r="C2979" s="1">
        <v>44083</v>
      </c>
      <c r="D2979" t="b">
        <v>1</v>
      </c>
      <c r="E2979" t="s">
        <v>10</v>
      </c>
      <c r="F2979">
        <v>14729</v>
      </c>
    </row>
    <row r="2980" spans="1:6" x14ac:dyDescent="0.25">
      <c r="A2980" t="s">
        <v>5574</v>
      </c>
      <c r="B2980" t="s">
        <v>5575</v>
      </c>
      <c r="C2980" s="1">
        <v>44083</v>
      </c>
      <c r="D2980" t="b">
        <v>1</v>
      </c>
      <c r="E2980" t="s">
        <v>10</v>
      </c>
      <c r="F2980">
        <v>13708</v>
      </c>
    </row>
    <row r="2981" spans="1:6" x14ac:dyDescent="0.25">
      <c r="A2981" t="s">
        <v>5576</v>
      </c>
      <c r="B2981" t="s">
        <v>5577</v>
      </c>
      <c r="C2981" s="1">
        <v>44083</v>
      </c>
      <c r="D2981" t="b">
        <v>1</v>
      </c>
      <c r="E2981" t="s">
        <v>10</v>
      </c>
      <c r="F2981">
        <v>13709</v>
      </c>
    </row>
    <row r="2982" spans="1:6" x14ac:dyDescent="0.25">
      <c r="A2982" t="s">
        <v>5578</v>
      </c>
      <c r="B2982" t="s">
        <v>5579</v>
      </c>
      <c r="C2982" s="1">
        <v>44083</v>
      </c>
      <c r="D2982" t="b">
        <v>1</v>
      </c>
      <c r="E2982" t="s">
        <v>10</v>
      </c>
      <c r="F2982">
        <v>12048</v>
      </c>
    </row>
    <row r="2983" spans="1:6" x14ac:dyDescent="0.25">
      <c r="A2983" t="s">
        <v>5580</v>
      </c>
      <c r="B2983" t="s">
        <v>5581</v>
      </c>
      <c r="C2983" s="1">
        <v>44083</v>
      </c>
      <c r="D2983" t="b">
        <v>1</v>
      </c>
      <c r="E2983" t="s">
        <v>10</v>
      </c>
      <c r="F2983">
        <v>2545</v>
      </c>
    </row>
    <row r="2984" spans="1:6" x14ac:dyDescent="0.25">
      <c r="A2984" t="s">
        <v>5582</v>
      </c>
      <c r="B2984" t="s">
        <v>5583</v>
      </c>
      <c r="C2984" s="1">
        <v>44083</v>
      </c>
      <c r="D2984" t="b">
        <v>1</v>
      </c>
      <c r="E2984" t="s">
        <v>10</v>
      </c>
      <c r="F2984">
        <v>13710</v>
      </c>
    </row>
    <row r="2985" spans="1:6" x14ac:dyDescent="0.25">
      <c r="A2985" t="s">
        <v>5584</v>
      </c>
      <c r="B2985" t="s">
        <v>5585</v>
      </c>
      <c r="C2985" s="1">
        <v>44083</v>
      </c>
      <c r="D2985" t="b">
        <v>1</v>
      </c>
      <c r="E2985" t="s">
        <v>10</v>
      </c>
      <c r="F2985">
        <v>13711</v>
      </c>
    </row>
    <row r="2986" spans="1:6" x14ac:dyDescent="0.25">
      <c r="A2986" t="s">
        <v>5586</v>
      </c>
      <c r="B2986" t="s">
        <v>5587</v>
      </c>
      <c r="C2986" s="1">
        <v>44083</v>
      </c>
      <c r="D2986" t="b">
        <v>1</v>
      </c>
      <c r="E2986" t="s">
        <v>10</v>
      </c>
      <c r="F2986">
        <v>8705</v>
      </c>
    </row>
    <row r="2987" spans="1:6" x14ac:dyDescent="0.25">
      <c r="A2987" t="s">
        <v>5588</v>
      </c>
      <c r="B2987" t="s">
        <v>5589</v>
      </c>
      <c r="C2987" s="1">
        <v>44083</v>
      </c>
      <c r="D2987" t="b">
        <v>1</v>
      </c>
      <c r="E2987" t="s">
        <v>10</v>
      </c>
      <c r="F2987">
        <v>13712</v>
      </c>
    </row>
    <row r="2988" spans="1:6" x14ac:dyDescent="0.25">
      <c r="A2988" t="s">
        <v>5590</v>
      </c>
      <c r="B2988" t="s">
        <v>5591</v>
      </c>
      <c r="C2988" s="1">
        <v>44083</v>
      </c>
      <c r="D2988" t="b">
        <v>1</v>
      </c>
      <c r="E2988" t="s">
        <v>10</v>
      </c>
      <c r="F2988">
        <v>11787</v>
      </c>
    </row>
    <row r="2989" spans="1:6" x14ac:dyDescent="0.25">
      <c r="A2989" t="s">
        <v>5592</v>
      </c>
      <c r="B2989" t="s">
        <v>5593</v>
      </c>
      <c r="C2989" s="1">
        <v>44083</v>
      </c>
      <c r="D2989" t="b">
        <v>1</v>
      </c>
      <c r="E2989" t="s">
        <v>10</v>
      </c>
      <c r="F2989">
        <v>16804</v>
      </c>
    </row>
    <row r="2990" spans="1:6" x14ac:dyDescent="0.25">
      <c r="A2990" t="s">
        <v>5594</v>
      </c>
      <c r="B2990" t="s">
        <v>5595</v>
      </c>
      <c r="C2990" s="1">
        <v>44083</v>
      </c>
      <c r="D2990" t="b">
        <v>1</v>
      </c>
      <c r="E2990" t="s">
        <v>10</v>
      </c>
      <c r="F2990">
        <v>13713</v>
      </c>
    </row>
    <row r="2991" spans="1:6" x14ac:dyDescent="0.25">
      <c r="A2991" t="s">
        <v>5596</v>
      </c>
      <c r="B2991" t="s">
        <v>5597</v>
      </c>
      <c r="C2991" s="1">
        <v>44083</v>
      </c>
      <c r="D2991" t="b">
        <v>1</v>
      </c>
      <c r="E2991" t="s">
        <v>10</v>
      </c>
      <c r="F2991">
        <v>14694</v>
      </c>
    </row>
    <row r="2992" spans="1:6" x14ac:dyDescent="0.25">
      <c r="A2992" t="s">
        <v>5598</v>
      </c>
      <c r="B2992" t="s">
        <v>5599</v>
      </c>
      <c r="C2992" s="1">
        <v>44083</v>
      </c>
      <c r="D2992" t="b">
        <v>1</v>
      </c>
      <c r="E2992" t="s">
        <v>10</v>
      </c>
      <c r="F2992">
        <v>14695</v>
      </c>
    </row>
    <row r="2993" spans="1:6" x14ac:dyDescent="0.25">
      <c r="A2993" t="s">
        <v>5600</v>
      </c>
      <c r="B2993" t="s">
        <v>5601</v>
      </c>
      <c r="C2993" s="1">
        <v>44083</v>
      </c>
      <c r="D2993" t="b">
        <v>1</v>
      </c>
      <c r="E2993" t="s">
        <v>10</v>
      </c>
      <c r="F2993">
        <v>2546</v>
      </c>
    </row>
    <row r="2994" spans="1:6" x14ac:dyDescent="0.25">
      <c r="A2994" t="s">
        <v>5602</v>
      </c>
      <c r="B2994" t="s">
        <v>5603</v>
      </c>
      <c r="C2994" s="1">
        <v>44083</v>
      </c>
      <c r="D2994" t="b">
        <v>1</v>
      </c>
      <c r="E2994" t="s">
        <v>10</v>
      </c>
      <c r="F2994">
        <v>14128</v>
      </c>
    </row>
    <row r="2995" spans="1:6" x14ac:dyDescent="0.25">
      <c r="A2995" t="s">
        <v>5604</v>
      </c>
      <c r="B2995" t="s">
        <v>5605</v>
      </c>
      <c r="C2995" s="1">
        <v>44083</v>
      </c>
      <c r="D2995" t="b">
        <v>1</v>
      </c>
      <c r="E2995" t="s">
        <v>10</v>
      </c>
      <c r="F2995">
        <v>2547</v>
      </c>
    </row>
    <row r="2996" spans="1:6" x14ac:dyDescent="0.25">
      <c r="A2996" t="s">
        <v>5606</v>
      </c>
      <c r="B2996" t="s">
        <v>5607</v>
      </c>
      <c r="C2996" s="1">
        <v>44083</v>
      </c>
      <c r="D2996" t="b">
        <v>1</v>
      </c>
      <c r="E2996" t="s">
        <v>10</v>
      </c>
      <c r="F2996">
        <v>13714</v>
      </c>
    </row>
    <row r="2997" spans="1:6" x14ac:dyDescent="0.25">
      <c r="A2997" t="s">
        <v>5608</v>
      </c>
      <c r="B2997" t="s">
        <v>5609</v>
      </c>
      <c r="C2997" s="1">
        <v>44083</v>
      </c>
      <c r="D2997" t="b">
        <v>1</v>
      </c>
      <c r="E2997" t="s">
        <v>10</v>
      </c>
      <c r="F2997">
        <v>13715</v>
      </c>
    </row>
    <row r="2998" spans="1:6" x14ac:dyDescent="0.25">
      <c r="A2998" t="s">
        <v>5610</v>
      </c>
      <c r="B2998" t="s">
        <v>5611</v>
      </c>
      <c r="C2998" s="1">
        <v>44083</v>
      </c>
      <c r="D2998" t="b">
        <v>1</v>
      </c>
      <c r="E2998" t="s">
        <v>10</v>
      </c>
      <c r="F2998">
        <v>13716</v>
      </c>
    </row>
    <row r="2999" spans="1:6" x14ac:dyDescent="0.25">
      <c r="A2999" t="s">
        <v>5612</v>
      </c>
      <c r="B2999" t="s">
        <v>5613</v>
      </c>
      <c r="C2999" s="1">
        <v>44083</v>
      </c>
      <c r="D2999" t="b">
        <v>1</v>
      </c>
      <c r="E2999" t="s">
        <v>10</v>
      </c>
      <c r="F2999">
        <v>13717</v>
      </c>
    </row>
    <row r="3000" spans="1:6" x14ac:dyDescent="0.25">
      <c r="A3000" t="s">
        <v>5614</v>
      </c>
      <c r="B3000" t="s">
        <v>5615</v>
      </c>
      <c r="C3000" s="1">
        <v>44083</v>
      </c>
      <c r="D3000" t="b">
        <v>1</v>
      </c>
      <c r="E3000" t="s">
        <v>10</v>
      </c>
      <c r="F3000">
        <v>2548</v>
      </c>
    </row>
    <row r="3001" spans="1:6" x14ac:dyDescent="0.25">
      <c r="A3001" t="s">
        <v>5616</v>
      </c>
      <c r="B3001" t="s">
        <v>5617</v>
      </c>
      <c r="C3001" s="1">
        <v>44083</v>
      </c>
      <c r="D3001" t="b">
        <v>1</v>
      </c>
      <c r="E3001" t="s">
        <v>10</v>
      </c>
      <c r="F3001">
        <v>15131</v>
      </c>
    </row>
    <row r="3002" spans="1:6" x14ac:dyDescent="0.25">
      <c r="A3002" t="s">
        <v>5618</v>
      </c>
      <c r="B3002" t="s">
        <v>5619</v>
      </c>
      <c r="C3002" s="1">
        <v>44083</v>
      </c>
      <c r="D3002" t="b">
        <v>1</v>
      </c>
      <c r="E3002" t="s">
        <v>10</v>
      </c>
      <c r="F3002">
        <v>11865</v>
      </c>
    </row>
    <row r="3003" spans="1:6" x14ac:dyDescent="0.25">
      <c r="A3003" t="s">
        <v>5620</v>
      </c>
      <c r="B3003" t="s">
        <v>5621</v>
      </c>
      <c r="C3003" s="1">
        <v>44083</v>
      </c>
      <c r="D3003" t="b">
        <v>1</v>
      </c>
      <c r="E3003" t="s">
        <v>10</v>
      </c>
      <c r="F3003">
        <v>2549</v>
      </c>
    </row>
    <row r="3004" spans="1:6" x14ac:dyDescent="0.25">
      <c r="A3004" t="s">
        <v>5622</v>
      </c>
      <c r="B3004" t="s">
        <v>5623</v>
      </c>
      <c r="C3004" s="1">
        <v>44083</v>
      </c>
      <c r="D3004" t="b">
        <v>1</v>
      </c>
      <c r="E3004" t="s">
        <v>10</v>
      </c>
      <c r="F3004">
        <v>13340</v>
      </c>
    </row>
    <row r="3005" spans="1:6" x14ac:dyDescent="0.25">
      <c r="A3005" t="s">
        <v>5624</v>
      </c>
      <c r="B3005" t="s">
        <v>5625</v>
      </c>
      <c r="C3005" s="1">
        <v>44083</v>
      </c>
      <c r="D3005" t="b">
        <v>1</v>
      </c>
      <c r="E3005" t="s">
        <v>10</v>
      </c>
      <c r="F3005">
        <v>13341</v>
      </c>
    </row>
    <row r="3006" spans="1:6" x14ac:dyDescent="0.25">
      <c r="A3006" t="s">
        <v>5626</v>
      </c>
      <c r="B3006" t="s">
        <v>5627</v>
      </c>
      <c r="C3006" s="1">
        <v>44083</v>
      </c>
      <c r="D3006" t="b">
        <v>1</v>
      </c>
      <c r="E3006" t="s">
        <v>10</v>
      </c>
      <c r="F3006">
        <v>13257</v>
      </c>
    </row>
    <row r="3007" spans="1:6" x14ac:dyDescent="0.25">
      <c r="A3007" t="s">
        <v>5628</v>
      </c>
      <c r="C3007" s="1">
        <v>44083</v>
      </c>
      <c r="D3007" t="b">
        <v>1</v>
      </c>
      <c r="E3007" t="s">
        <v>10</v>
      </c>
      <c r="F3007">
        <v>13268</v>
      </c>
    </row>
    <row r="3008" spans="1:6" x14ac:dyDescent="0.25">
      <c r="A3008" t="s">
        <v>5629</v>
      </c>
      <c r="B3008" t="s">
        <v>5630</v>
      </c>
      <c r="C3008" s="1">
        <v>44083</v>
      </c>
      <c r="D3008" t="b">
        <v>1</v>
      </c>
      <c r="E3008" t="s">
        <v>10</v>
      </c>
      <c r="F3008">
        <v>13718</v>
      </c>
    </row>
    <row r="3009" spans="1:6" x14ac:dyDescent="0.25">
      <c r="A3009" t="s">
        <v>5631</v>
      </c>
      <c r="B3009" t="s">
        <v>5632</v>
      </c>
      <c r="C3009" s="1">
        <v>44083</v>
      </c>
      <c r="D3009" t="b">
        <v>1</v>
      </c>
      <c r="E3009" t="s">
        <v>10</v>
      </c>
      <c r="F3009">
        <v>2551</v>
      </c>
    </row>
    <row r="3010" spans="1:6" x14ac:dyDescent="0.25">
      <c r="A3010" t="s">
        <v>5633</v>
      </c>
      <c r="B3010" t="s">
        <v>5634</v>
      </c>
      <c r="C3010" s="1">
        <v>44083</v>
      </c>
      <c r="D3010" t="b">
        <v>1</v>
      </c>
      <c r="E3010" t="s">
        <v>10</v>
      </c>
      <c r="F3010">
        <v>15839</v>
      </c>
    </row>
    <row r="3011" spans="1:6" x14ac:dyDescent="0.25">
      <c r="A3011" t="s">
        <v>5635</v>
      </c>
      <c r="B3011" t="s">
        <v>5636</v>
      </c>
      <c r="C3011" s="1">
        <v>44083</v>
      </c>
      <c r="D3011" t="b">
        <v>1</v>
      </c>
      <c r="E3011" t="s">
        <v>10</v>
      </c>
      <c r="F3011">
        <v>3415</v>
      </c>
    </row>
    <row r="3012" spans="1:6" x14ac:dyDescent="0.25">
      <c r="A3012" t="s">
        <v>5637</v>
      </c>
      <c r="B3012" t="s">
        <v>5638</v>
      </c>
      <c r="C3012" s="1">
        <v>44083</v>
      </c>
      <c r="D3012" t="b">
        <v>1</v>
      </c>
      <c r="E3012" t="s">
        <v>10</v>
      </c>
      <c r="F3012">
        <v>2552</v>
      </c>
    </row>
    <row r="3013" spans="1:6" x14ac:dyDescent="0.25">
      <c r="A3013" t="s">
        <v>5639</v>
      </c>
      <c r="B3013" t="s">
        <v>5640</v>
      </c>
      <c r="C3013" s="1">
        <v>44083</v>
      </c>
      <c r="D3013" t="b">
        <v>1</v>
      </c>
      <c r="E3013" t="s">
        <v>10</v>
      </c>
      <c r="F3013">
        <v>2553</v>
      </c>
    </row>
    <row r="3014" spans="1:6" x14ac:dyDescent="0.25">
      <c r="A3014" t="s">
        <v>5641</v>
      </c>
      <c r="B3014" t="s">
        <v>5642</v>
      </c>
      <c r="C3014" s="1">
        <v>44083</v>
      </c>
      <c r="D3014" t="b">
        <v>1</v>
      </c>
      <c r="E3014" t="s">
        <v>10</v>
      </c>
      <c r="F3014">
        <v>10517</v>
      </c>
    </row>
    <row r="3015" spans="1:6" x14ac:dyDescent="0.25">
      <c r="A3015" t="s">
        <v>5643</v>
      </c>
      <c r="B3015" t="s">
        <v>5644</v>
      </c>
      <c r="C3015" s="1">
        <v>44083</v>
      </c>
      <c r="D3015" t="b">
        <v>1</v>
      </c>
      <c r="E3015" t="s">
        <v>10</v>
      </c>
      <c r="F3015">
        <v>11431</v>
      </c>
    </row>
    <row r="3016" spans="1:6" x14ac:dyDescent="0.25">
      <c r="A3016" t="s">
        <v>5645</v>
      </c>
      <c r="B3016" t="s">
        <v>5646</v>
      </c>
      <c r="C3016" s="1">
        <v>44083</v>
      </c>
      <c r="D3016" t="b">
        <v>1</v>
      </c>
      <c r="E3016" t="s">
        <v>10</v>
      </c>
      <c r="F3016">
        <v>11432</v>
      </c>
    </row>
    <row r="3017" spans="1:6" x14ac:dyDescent="0.25">
      <c r="A3017" t="s">
        <v>5647</v>
      </c>
      <c r="B3017" t="s">
        <v>5648</v>
      </c>
      <c r="C3017" s="1">
        <v>44083</v>
      </c>
      <c r="D3017" t="b">
        <v>1</v>
      </c>
      <c r="E3017" t="s">
        <v>10</v>
      </c>
      <c r="F3017">
        <v>11433</v>
      </c>
    </row>
    <row r="3018" spans="1:6" x14ac:dyDescent="0.25">
      <c r="A3018" t="s">
        <v>5649</v>
      </c>
      <c r="B3018" t="s">
        <v>5650</v>
      </c>
      <c r="C3018" s="1">
        <v>44083</v>
      </c>
      <c r="D3018" t="b">
        <v>1</v>
      </c>
      <c r="E3018" t="s">
        <v>10</v>
      </c>
      <c r="F3018">
        <v>11434</v>
      </c>
    </row>
    <row r="3019" spans="1:6" x14ac:dyDescent="0.25">
      <c r="A3019" t="s">
        <v>5651</v>
      </c>
      <c r="B3019" t="s">
        <v>5652</v>
      </c>
      <c r="C3019" s="1">
        <v>44083</v>
      </c>
      <c r="D3019" t="b">
        <v>1</v>
      </c>
      <c r="E3019" t="s">
        <v>10</v>
      </c>
      <c r="F3019">
        <v>12820</v>
      </c>
    </row>
    <row r="3020" spans="1:6" x14ac:dyDescent="0.25">
      <c r="A3020" t="s">
        <v>5653</v>
      </c>
      <c r="B3020" t="s">
        <v>5654</v>
      </c>
      <c r="C3020" s="1">
        <v>44083</v>
      </c>
      <c r="D3020" t="b">
        <v>1</v>
      </c>
      <c r="E3020" t="s">
        <v>10</v>
      </c>
      <c r="F3020">
        <v>12821</v>
      </c>
    </row>
    <row r="3021" spans="1:6" x14ac:dyDescent="0.25">
      <c r="A3021" t="s">
        <v>5655</v>
      </c>
      <c r="B3021" t="s">
        <v>5656</v>
      </c>
      <c r="C3021" s="1">
        <v>44083</v>
      </c>
      <c r="D3021" t="b">
        <v>1</v>
      </c>
      <c r="E3021" t="s">
        <v>10</v>
      </c>
      <c r="F3021">
        <v>12822</v>
      </c>
    </row>
    <row r="3022" spans="1:6" x14ac:dyDescent="0.25">
      <c r="A3022" t="s">
        <v>5657</v>
      </c>
      <c r="B3022" t="s">
        <v>5658</v>
      </c>
      <c r="C3022" s="1">
        <v>44083</v>
      </c>
      <c r="D3022" t="b">
        <v>1</v>
      </c>
      <c r="E3022" t="s">
        <v>10</v>
      </c>
      <c r="F3022">
        <v>2555</v>
      </c>
    </row>
    <row r="3023" spans="1:6" x14ac:dyDescent="0.25">
      <c r="A3023" t="s">
        <v>5659</v>
      </c>
      <c r="B3023" t="s">
        <v>5660</v>
      </c>
      <c r="C3023" s="1">
        <v>44083</v>
      </c>
      <c r="D3023" t="b">
        <v>1</v>
      </c>
      <c r="E3023" t="s">
        <v>10</v>
      </c>
      <c r="F3023">
        <v>2556</v>
      </c>
    </row>
    <row r="3024" spans="1:6" x14ac:dyDescent="0.25">
      <c r="A3024" t="s">
        <v>5661</v>
      </c>
      <c r="B3024" t="s">
        <v>5662</v>
      </c>
      <c r="C3024" s="1">
        <v>44083</v>
      </c>
      <c r="D3024" t="b">
        <v>1</v>
      </c>
      <c r="E3024" t="s">
        <v>10</v>
      </c>
      <c r="F3024">
        <v>9754</v>
      </c>
    </row>
    <row r="3025" spans="1:6" x14ac:dyDescent="0.25">
      <c r="A3025" t="s">
        <v>5663</v>
      </c>
      <c r="B3025" t="s">
        <v>5664</v>
      </c>
      <c r="C3025" s="1">
        <v>44083</v>
      </c>
      <c r="D3025" t="b">
        <v>1</v>
      </c>
      <c r="E3025" t="s">
        <v>10</v>
      </c>
      <c r="F3025">
        <v>14129</v>
      </c>
    </row>
    <row r="3026" spans="1:6" x14ac:dyDescent="0.25">
      <c r="A3026" t="s">
        <v>5665</v>
      </c>
      <c r="B3026" t="s">
        <v>5666</v>
      </c>
      <c r="C3026" s="1">
        <v>44083</v>
      </c>
      <c r="D3026" t="b">
        <v>1</v>
      </c>
      <c r="E3026" t="s">
        <v>10</v>
      </c>
      <c r="F3026">
        <v>2557</v>
      </c>
    </row>
    <row r="3027" spans="1:6" x14ac:dyDescent="0.25">
      <c r="A3027" t="s">
        <v>5667</v>
      </c>
      <c r="B3027" t="s">
        <v>5668</v>
      </c>
      <c r="C3027" s="1">
        <v>44083</v>
      </c>
      <c r="D3027" t="b">
        <v>1</v>
      </c>
      <c r="E3027" t="s">
        <v>10</v>
      </c>
      <c r="F3027">
        <v>15132</v>
      </c>
    </row>
    <row r="3028" spans="1:6" x14ac:dyDescent="0.25">
      <c r="A3028" t="s">
        <v>5669</v>
      </c>
      <c r="B3028" t="s">
        <v>5670</v>
      </c>
      <c r="C3028" s="1">
        <v>44083</v>
      </c>
      <c r="D3028" t="b">
        <v>1</v>
      </c>
      <c r="E3028" t="s">
        <v>10</v>
      </c>
      <c r="F3028">
        <v>16398</v>
      </c>
    </row>
    <row r="3029" spans="1:6" x14ac:dyDescent="0.25">
      <c r="A3029" t="s">
        <v>5671</v>
      </c>
      <c r="B3029" t="s">
        <v>5672</v>
      </c>
      <c r="C3029" s="1">
        <v>44083</v>
      </c>
      <c r="D3029" t="b">
        <v>1</v>
      </c>
      <c r="E3029" t="s">
        <v>10</v>
      </c>
      <c r="F3029">
        <v>14130</v>
      </c>
    </row>
    <row r="3030" spans="1:6" x14ac:dyDescent="0.25">
      <c r="A3030" t="s">
        <v>5673</v>
      </c>
      <c r="B3030" t="s">
        <v>5674</v>
      </c>
      <c r="C3030" s="1">
        <v>44083</v>
      </c>
      <c r="D3030" t="b">
        <v>1</v>
      </c>
      <c r="E3030" t="s">
        <v>10</v>
      </c>
      <c r="F3030">
        <v>2558</v>
      </c>
    </row>
    <row r="3031" spans="1:6" x14ac:dyDescent="0.25">
      <c r="A3031" t="s">
        <v>5675</v>
      </c>
      <c r="B3031" t="s">
        <v>5676</v>
      </c>
      <c r="C3031" s="1">
        <v>44083</v>
      </c>
      <c r="D3031" t="b">
        <v>1</v>
      </c>
      <c r="E3031" t="s">
        <v>10</v>
      </c>
      <c r="F3031">
        <v>9357</v>
      </c>
    </row>
    <row r="3032" spans="1:6" x14ac:dyDescent="0.25">
      <c r="A3032" t="s">
        <v>5677</v>
      </c>
      <c r="B3032" t="s">
        <v>5678</v>
      </c>
      <c r="C3032" s="1">
        <v>44083</v>
      </c>
      <c r="D3032" t="b">
        <v>1</v>
      </c>
      <c r="E3032" t="s">
        <v>10</v>
      </c>
      <c r="F3032">
        <v>2559</v>
      </c>
    </row>
    <row r="3033" spans="1:6" x14ac:dyDescent="0.25">
      <c r="A3033" t="s">
        <v>5679</v>
      </c>
      <c r="B3033" t="s">
        <v>5680</v>
      </c>
      <c r="C3033" s="1">
        <v>44083</v>
      </c>
      <c r="D3033" t="b">
        <v>1</v>
      </c>
      <c r="E3033" t="s">
        <v>10</v>
      </c>
      <c r="F3033">
        <v>13719</v>
      </c>
    </row>
    <row r="3034" spans="1:6" x14ac:dyDescent="0.25">
      <c r="A3034" t="s">
        <v>5681</v>
      </c>
      <c r="B3034" t="s">
        <v>5682</v>
      </c>
      <c r="C3034" s="1">
        <v>44083</v>
      </c>
      <c r="D3034" t="b">
        <v>0</v>
      </c>
      <c r="E3034" t="s">
        <v>10</v>
      </c>
      <c r="F3034">
        <v>16976</v>
      </c>
    </row>
    <row r="3035" spans="1:6" x14ac:dyDescent="0.25">
      <c r="A3035" t="s">
        <v>5683</v>
      </c>
      <c r="B3035" t="s">
        <v>5684</v>
      </c>
      <c r="C3035" s="1">
        <v>44083</v>
      </c>
      <c r="D3035" t="b">
        <v>1</v>
      </c>
      <c r="E3035" t="s">
        <v>10</v>
      </c>
      <c r="F3035">
        <v>17089</v>
      </c>
    </row>
    <row r="3036" spans="1:6" x14ac:dyDescent="0.25">
      <c r="A3036" t="s">
        <v>5685</v>
      </c>
      <c r="B3036" t="s">
        <v>5686</v>
      </c>
      <c r="C3036" s="1">
        <v>44083</v>
      </c>
      <c r="D3036" t="b">
        <v>1</v>
      </c>
      <c r="E3036" t="s">
        <v>10</v>
      </c>
      <c r="F3036">
        <v>16647</v>
      </c>
    </row>
    <row r="3037" spans="1:6" x14ac:dyDescent="0.25">
      <c r="A3037" t="s">
        <v>5687</v>
      </c>
      <c r="B3037" t="s">
        <v>5688</v>
      </c>
      <c r="C3037" s="1">
        <v>44083</v>
      </c>
      <c r="D3037" t="b">
        <v>1</v>
      </c>
      <c r="E3037" t="s">
        <v>10</v>
      </c>
      <c r="F3037">
        <v>2561</v>
      </c>
    </row>
    <row r="3038" spans="1:6" x14ac:dyDescent="0.25">
      <c r="A3038" t="s">
        <v>5689</v>
      </c>
      <c r="B3038" t="s">
        <v>5690</v>
      </c>
      <c r="C3038" s="1">
        <v>44083</v>
      </c>
      <c r="D3038" t="b">
        <v>1</v>
      </c>
      <c r="E3038" t="s">
        <v>10</v>
      </c>
      <c r="F3038">
        <v>8255</v>
      </c>
    </row>
    <row r="3039" spans="1:6" x14ac:dyDescent="0.25">
      <c r="A3039" t="s">
        <v>5691</v>
      </c>
      <c r="B3039" t="s">
        <v>5692</v>
      </c>
      <c r="C3039" s="1">
        <v>44083</v>
      </c>
      <c r="D3039" t="b">
        <v>1</v>
      </c>
      <c r="E3039" t="s">
        <v>10</v>
      </c>
      <c r="F3039">
        <v>2562</v>
      </c>
    </row>
    <row r="3040" spans="1:6" x14ac:dyDescent="0.25">
      <c r="A3040" t="s">
        <v>5693</v>
      </c>
      <c r="B3040" t="s">
        <v>5694</v>
      </c>
      <c r="C3040" s="1">
        <v>44083</v>
      </c>
      <c r="D3040" t="b">
        <v>1</v>
      </c>
      <c r="E3040" t="s">
        <v>10</v>
      </c>
      <c r="F3040">
        <v>2563</v>
      </c>
    </row>
    <row r="3041" spans="1:6" x14ac:dyDescent="0.25">
      <c r="A3041" t="s">
        <v>5695</v>
      </c>
      <c r="B3041" t="s">
        <v>5696</v>
      </c>
      <c r="C3041" s="1">
        <v>44083</v>
      </c>
      <c r="D3041" t="b">
        <v>1</v>
      </c>
      <c r="E3041" t="s">
        <v>10</v>
      </c>
      <c r="F3041">
        <v>16503</v>
      </c>
    </row>
    <row r="3042" spans="1:6" x14ac:dyDescent="0.25">
      <c r="A3042" t="s">
        <v>5697</v>
      </c>
      <c r="B3042" t="s">
        <v>5698</v>
      </c>
      <c r="C3042" s="1">
        <v>44083</v>
      </c>
      <c r="D3042" t="b">
        <v>1</v>
      </c>
      <c r="E3042" t="s">
        <v>10</v>
      </c>
      <c r="F3042">
        <v>15133</v>
      </c>
    </row>
    <row r="3043" spans="1:6" x14ac:dyDescent="0.25">
      <c r="A3043" t="s">
        <v>5699</v>
      </c>
      <c r="B3043" t="s">
        <v>5700</v>
      </c>
      <c r="C3043" s="1">
        <v>44083</v>
      </c>
      <c r="D3043" t="b">
        <v>1</v>
      </c>
      <c r="E3043" t="s">
        <v>10</v>
      </c>
      <c r="F3043">
        <v>2564</v>
      </c>
    </row>
    <row r="3044" spans="1:6" x14ac:dyDescent="0.25">
      <c r="A3044" t="s">
        <v>5701</v>
      </c>
      <c r="B3044" t="s">
        <v>5702</v>
      </c>
      <c r="C3044" s="1">
        <v>44083</v>
      </c>
      <c r="D3044" t="b">
        <v>1</v>
      </c>
      <c r="E3044" t="s">
        <v>10</v>
      </c>
      <c r="F3044">
        <v>12904</v>
      </c>
    </row>
    <row r="3045" spans="1:6" x14ac:dyDescent="0.25">
      <c r="A3045" t="s">
        <v>5703</v>
      </c>
      <c r="B3045" t="s">
        <v>5704</v>
      </c>
      <c r="C3045" s="1">
        <v>44083</v>
      </c>
      <c r="D3045" t="b">
        <v>1</v>
      </c>
      <c r="E3045" t="s">
        <v>10</v>
      </c>
      <c r="F3045">
        <v>8031</v>
      </c>
    </row>
    <row r="3046" spans="1:6" x14ac:dyDescent="0.25">
      <c r="A3046" t="s">
        <v>5705</v>
      </c>
      <c r="B3046" t="s">
        <v>5706</v>
      </c>
      <c r="C3046" s="1">
        <v>44083</v>
      </c>
      <c r="D3046" t="b">
        <v>1</v>
      </c>
      <c r="E3046" t="s">
        <v>10</v>
      </c>
      <c r="F3046">
        <v>16739</v>
      </c>
    </row>
    <row r="3047" spans="1:6" x14ac:dyDescent="0.25">
      <c r="A3047" t="s">
        <v>5707</v>
      </c>
      <c r="B3047" t="s">
        <v>5708</v>
      </c>
      <c r="C3047" s="1">
        <v>44083</v>
      </c>
      <c r="D3047" t="b">
        <v>1</v>
      </c>
      <c r="E3047" t="s">
        <v>10</v>
      </c>
      <c r="F3047">
        <v>8626</v>
      </c>
    </row>
    <row r="3048" spans="1:6" x14ac:dyDescent="0.25">
      <c r="A3048" t="s">
        <v>5709</v>
      </c>
      <c r="B3048" t="s">
        <v>5710</v>
      </c>
      <c r="C3048" s="1">
        <v>44083</v>
      </c>
      <c r="D3048" t="b">
        <v>1</v>
      </c>
      <c r="E3048" t="s">
        <v>10</v>
      </c>
      <c r="F3048">
        <v>8619</v>
      </c>
    </row>
    <row r="3049" spans="1:6" x14ac:dyDescent="0.25">
      <c r="A3049" t="s">
        <v>5711</v>
      </c>
      <c r="B3049" t="s">
        <v>5712</v>
      </c>
      <c r="C3049" s="1">
        <v>44083</v>
      </c>
      <c r="D3049" t="b">
        <v>1</v>
      </c>
      <c r="E3049" t="s">
        <v>10</v>
      </c>
      <c r="F3049">
        <v>2565</v>
      </c>
    </row>
    <row r="3050" spans="1:6" x14ac:dyDescent="0.25">
      <c r="A3050" t="s">
        <v>5713</v>
      </c>
      <c r="C3050" s="1">
        <v>44083</v>
      </c>
      <c r="D3050" t="b">
        <v>1</v>
      </c>
      <c r="E3050" t="s">
        <v>10</v>
      </c>
      <c r="F3050">
        <v>16940</v>
      </c>
    </row>
    <row r="3051" spans="1:6" x14ac:dyDescent="0.25">
      <c r="A3051" t="s">
        <v>5714</v>
      </c>
      <c r="C3051" s="1">
        <v>44083</v>
      </c>
      <c r="D3051" t="b">
        <v>1</v>
      </c>
      <c r="E3051" t="s">
        <v>10</v>
      </c>
      <c r="F3051">
        <v>16805</v>
      </c>
    </row>
    <row r="3052" spans="1:6" x14ac:dyDescent="0.25">
      <c r="A3052" t="s">
        <v>5715</v>
      </c>
      <c r="B3052" t="s">
        <v>5716</v>
      </c>
      <c r="C3052" s="1">
        <v>44083</v>
      </c>
      <c r="D3052" t="b">
        <v>1</v>
      </c>
      <c r="E3052" t="s">
        <v>10</v>
      </c>
      <c r="F3052">
        <v>2566</v>
      </c>
    </row>
    <row r="3053" spans="1:6" x14ac:dyDescent="0.25">
      <c r="A3053" t="s">
        <v>5717</v>
      </c>
      <c r="B3053" t="s">
        <v>5718</v>
      </c>
      <c r="C3053" s="1">
        <v>44083</v>
      </c>
      <c r="D3053" t="b">
        <v>1</v>
      </c>
      <c r="E3053" t="s">
        <v>10</v>
      </c>
      <c r="F3053">
        <v>15009</v>
      </c>
    </row>
    <row r="3054" spans="1:6" x14ac:dyDescent="0.25">
      <c r="A3054" t="s">
        <v>5719</v>
      </c>
      <c r="B3054" t="s">
        <v>5720</v>
      </c>
      <c r="C3054" s="1">
        <v>44083</v>
      </c>
      <c r="D3054" t="b">
        <v>1</v>
      </c>
      <c r="E3054" t="s">
        <v>10</v>
      </c>
      <c r="F3054">
        <v>14810</v>
      </c>
    </row>
    <row r="3055" spans="1:6" x14ac:dyDescent="0.25">
      <c r="A3055" t="s">
        <v>5721</v>
      </c>
      <c r="C3055" s="1">
        <v>44083</v>
      </c>
      <c r="D3055" t="b">
        <v>1</v>
      </c>
      <c r="E3055" t="s">
        <v>10</v>
      </c>
      <c r="F3055">
        <v>15014</v>
      </c>
    </row>
    <row r="3056" spans="1:6" x14ac:dyDescent="0.25">
      <c r="A3056" t="s">
        <v>5722</v>
      </c>
      <c r="B3056" t="s">
        <v>5723</v>
      </c>
      <c r="C3056" s="1">
        <v>44083</v>
      </c>
      <c r="D3056" t="b">
        <v>1</v>
      </c>
      <c r="E3056" t="s">
        <v>10</v>
      </c>
      <c r="F3056">
        <v>2570</v>
      </c>
    </row>
    <row r="3057" spans="1:6" x14ac:dyDescent="0.25">
      <c r="A3057" t="s">
        <v>5724</v>
      </c>
      <c r="B3057" t="s">
        <v>5725</v>
      </c>
      <c r="C3057" s="1">
        <v>44083</v>
      </c>
      <c r="D3057" t="b">
        <v>1</v>
      </c>
      <c r="E3057" t="s">
        <v>10</v>
      </c>
      <c r="F3057">
        <v>13685</v>
      </c>
    </row>
    <row r="3058" spans="1:6" x14ac:dyDescent="0.25">
      <c r="A3058" t="s">
        <v>5726</v>
      </c>
      <c r="B3058" t="s">
        <v>5727</v>
      </c>
      <c r="C3058" s="1">
        <v>44083</v>
      </c>
      <c r="D3058" t="b">
        <v>1</v>
      </c>
      <c r="E3058" t="s">
        <v>10</v>
      </c>
      <c r="F3058">
        <v>16780</v>
      </c>
    </row>
    <row r="3059" spans="1:6" x14ac:dyDescent="0.25">
      <c r="A3059" t="s">
        <v>5728</v>
      </c>
      <c r="B3059" t="s">
        <v>5729</v>
      </c>
      <c r="C3059" s="1">
        <v>44083</v>
      </c>
      <c r="D3059" t="b">
        <v>1</v>
      </c>
      <c r="E3059" t="s">
        <v>10</v>
      </c>
      <c r="F3059">
        <v>2572</v>
      </c>
    </row>
    <row r="3060" spans="1:6" x14ac:dyDescent="0.25">
      <c r="A3060" t="s">
        <v>5730</v>
      </c>
      <c r="B3060" t="s">
        <v>5731</v>
      </c>
      <c r="C3060" s="1">
        <v>44083</v>
      </c>
      <c r="D3060" t="b">
        <v>1</v>
      </c>
      <c r="E3060" t="s">
        <v>10</v>
      </c>
      <c r="F3060">
        <v>2573</v>
      </c>
    </row>
    <row r="3061" spans="1:6" x14ac:dyDescent="0.25">
      <c r="A3061" t="s">
        <v>5732</v>
      </c>
      <c r="B3061" t="s">
        <v>5733</v>
      </c>
      <c r="C3061" s="1">
        <v>44083</v>
      </c>
      <c r="D3061" t="b">
        <v>1</v>
      </c>
      <c r="E3061" t="s">
        <v>10</v>
      </c>
      <c r="F3061">
        <v>2574</v>
      </c>
    </row>
    <row r="3062" spans="1:6" x14ac:dyDescent="0.25">
      <c r="A3062" t="s">
        <v>5734</v>
      </c>
      <c r="B3062" t="s">
        <v>5735</v>
      </c>
      <c r="C3062" s="1">
        <v>44083</v>
      </c>
      <c r="D3062" t="b">
        <v>1</v>
      </c>
      <c r="E3062" t="s">
        <v>10</v>
      </c>
      <c r="F3062">
        <v>2575</v>
      </c>
    </row>
    <row r="3063" spans="1:6" x14ac:dyDescent="0.25">
      <c r="A3063" t="s">
        <v>5736</v>
      </c>
      <c r="B3063" t="s">
        <v>5737</v>
      </c>
      <c r="C3063" s="1">
        <v>44083</v>
      </c>
      <c r="D3063" t="b">
        <v>1</v>
      </c>
      <c r="E3063" t="s">
        <v>10</v>
      </c>
      <c r="F3063">
        <v>2576</v>
      </c>
    </row>
    <row r="3064" spans="1:6" x14ac:dyDescent="0.25">
      <c r="A3064" t="s">
        <v>5738</v>
      </c>
      <c r="B3064" t="s">
        <v>5739</v>
      </c>
      <c r="C3064" s="1">
        <v>44083</v>
      </c>
      <c r="D3064" t="b">
        <v>1</v>
      </c>
      <c r="E3064" t="s">
        <v>10</v>
      </c>
      <c r="F3064">
        <v>16826</v>
      </c>
    </row>
    <row r="3065" spans="1:6" x14ac:dyDescent="0.25">
      <c r="A3065" t="s">
        <v>5740</v>
      </c>
      <c r="B3065" t="s">
        <v>5741</v>
      </c>
      <c r="C3065" s="1">
        <v>44083</v>
      </c>
      <c r="D3065" t="b">
        <v>1</v>
      </c>
      <c r="E3065" t="s">
        <v>10</v>
      </c>
      <c r="F3065">
        <v>2577</v>
      </c>
    </row>
    <row r="3066" spans="1:6" x14ac:dyDescent="0.25">
      <c r="A3066" t="s">
        <v>5742</v>
      </c>
      <c r="B3066" t="s">
        <v>5743</v>
      </c>
      <c r="C3066" s="1">
        <v>44083</v>
      </c>
      <c r="D3066" t="b">
        <v>1</v>
      </c>
      <c r="E3066" t="s">
        <v>10</v>
      </c>
      <c r="F3066">
        <v>2578</v>
      </c>
    </row>
    <row r="3067" spans="1:6" x14ac:dyDescent="0.25">
      <c r="A3067" t="s">
        <v>5744</v>
      </c>
      <c r="B3067" t="s">
        <v>5745</v>
      </c>
      <c r="C3067" s="1">
        <v>44083</v>
      </c>
      <c r="D3067" t="b">
        <v>1</v>
      </c>
      <c r="E3067" t="s">
        <v>10</v>
      </c>
      <c r="F3067">
        <v>2579</v>
      </c>
    </row>
    <row r="3068" spans="1:6" x14ac:dyDescent="0.25">
      <c r="A3068" t="s">
        <v>5746</v>
      </c>
      <c r="B3068" t="s">
        <v>5747</v>
      </c>
      <c r="C3068" s="1">
        <v>44083</v>
      </c>
      <c r="D3068" t="b">
        <v>1</v>
      </c>
      <c r="E3068" t="s">
        <v>10</v>
      </c>
      <c r="F3068">
        <v>2580</v>
      </c>
    </row>
    <row r="3069" spans="1:6" x14ac:dyDescent="0.25">
      <c r="A3069" t="s">
        <v>5748</v>
      </c>
      <c r="C3069" s="1">
        <v>44083</v>
      </c>
      <c r="D3069" t="b">
        <v>1</v>
      </c>
      <c r="E3069" t="s">
        <v>10</v>
      </c>
      <c r="F3069">
        <v>8100</v>
      </c>
    </row>
    <row r="3070" spans="1:6" x14ac:dyDescent="0.25">
      <c r="A3070" t="s">
        <v>5749</v>
      </c>
      <c r="B3070" t="s">
        <v>5750</v>
      </c>
      <c r="C3070" s="1">
        <v>44083</v>
      </c>
      <c r="D3070" t="b">
        <v>1</v>
      </c>
      <c r="E3070" t="s">
        <v>10</v>
      </c>
      <c r="F3070">
        <v>14227</v>
      </c>
    </row>
    <row r="3071" spans="1:6" x14ac:dyDescent="0.25">
      <c r="A3071" t="s">
        <v>5751</v>
      </c>
      <c r="B3071" t="s">
        <v>5752</v>
      </c>
      <c r="C3071" s="1">
        <v>44083</v>
      </c>
      <c r="D3071" t="b">
        <v>1</v>
      </c>
      <c r="E3071" t="s">
        <v>10</v>
      </c>
      <c r="F3071">
        <v>8032</v>
      </c>
    </row>
    <row r="3072" spans="1:6" x14ac:dyDescent="0.25">
      <c r="A3072" t="s">
        <v>5753</v>
      </c>
      <c r="B3072" t="s">
        <v>5754</v>
      </c>
      <c r="C3072" s="1">
        <v>44083</v>
      </c>
      <c r="D3072" t="b">
        <v>1</v>
      </c>
      <c r="E3072" t="s">
        <v>10</v>
      </c>
      <c r="F3072">
        <v>9486</v>
      </c>
    </row>
    <row r="3073" spans="1:6" x14ac:dyDescent="0.25">
      <c r="A3073" t="s">
        <v>5755</v>
      </c>
      <c r="B3073" t="s">
        <v>5756</v>
      </c>
      <c r="C3073" s="1">
        <v>44083</v>
      </c>
      <c r="D3073" t="b">
        <v>1</v>
      </c>
      <c r="E3073" t="s">
        <v>10</v>
      </c>
      <c r="F3073">
        <v>7728</v>
      </c>
    </row>
    <row r="3074" spans="1:6" x14ac:dyDescent="0.25">
      <c r="A3074" t="s">
        <v>5757</v>
      </c>
      <c r="B3074" t="s">
        <v>5758</v>
      </c>
      <c r="C3074" s="1">
        <v>44083</v>
      </c>
      <c r="D3074" t="b">
        <v>1</v>
      </c>
      <c r="E3074" t="s">
        <v>10</v>
      </c>
      <c r="F3074">
        <v>7729</v>
      </c>
    </row>
    <row r="3075" spans="1:6" x14ac:dyDescent="0.25">
      <c r="A3075" t="s">
        <v>5759</v>
      </c>
      <c r="B3075" t="s">
        <v>5760</v>
      </c>
      <c r="C3075" s="1">
        <v>44083</v>
      </c>
      <c r="D3075" t="b">
        <v>1</v>
      </c>
      <c r="E3075" t="s">
        <v>10</v>
      </c>
      <c r="F3075">
        <v>7730</v>
      </c>
    </row>
    <row r="3076" spans="1:6" x14ac:dyDescent="0.25">
      <c r="A3076" t="s">
        <v>5761</v>
      </c>
      <c r="B3076" t="s">
        <v>5762</v>
      </c>
      <c r="C3076" s="1">
        <v>44083</v>
      </c>
      <c r="D3076" t="b">
        <v>1</v>
      </c>
      <c r="E3076" t="s">
        <v>10</v>
      </c>
      <c r="F3076">
        <v>7731</v>
      </c>
    </row>
    <row r="3077" spans="1:6" x14ac:dyDescent="0.25">
      <c r="A3077" t="s">
        <v>5763</v>
      </c>
      <c r="B3077" t="s">
        <v>5764</v>
      </c>
      <c r="C3077" s="1">
        <v>44083</v>
      </c>
      <c r="D3077" t="b">
        <v>1</v>
      </c>
      <c r="E3077" t="s">
        <v>10</v>
      </c>
      <c r="F3077">
        <v>7732</v>
      </c>
    </row>
    <row r="3078" spans="1:6" x14ac:dyDescent="0.25">
      <c r="A3078" t="s">
        <v>5765</v>
      </c>
      <c r="B3078" t="s">
        <v>5766</v>
      </c>
      <c r="C3078" s="1">
        <v>44083</v>
      </c>
      <c r="D3078" t="b">
        <v>1</v>
      </c>
      <c r="E3078" t="s">
        <v>10</v>
      </c>
      <c r="F3078">
        <v>7733</v>
      </c>
    </row>
    <row r="3079" spans="1:6" x14ac:dyDescent="0.25">
      <c r="A3079" t="s">
        <v>5767</v>
      </c>
      <c r="B3079" t="s">
        <v>5768</v>
      </c>
      <c r="C3079" s="1">
        <v>44083</v>
      </c>
      <c r="D3079" t="b">
        <v>1</v>
      </c>
      <c r="E3079" t="s">
        <v>10</v>
      </c>
      <c r="F3079">
        <v>8846</v>
      </c>
    </row>
    <row r="3080" spans="1:6" x14ac:dyDescent="0.25">
      <c r="A3080" t="s">
        <v>5769</v>
      </c>
      <c r="B3080" t="s">
        <v>5770</v>
      </c>
      <c r="C3080" s="1">
        <v>44083</v>
      </c>
      <c r="D3080" t="b">
        <v>1</v>
      </c>
      <c r="E3080" t="s">
        <v>10</v>
      </c>
      <c r="F3080">
        <v>14072</v>
      </c>
    </row>
    <row r="3081" spans="1:6" x14ac:dyDescent="0.25">
      <c r="A3081" t="s">
        <v>5771</v>
      </c>
      <c r="B3081" t="s">
        <v>5772</v>
      </c>
      <c r="C3081" s="1">
        <v>44083</v>
      </c>
      <c r="D3081" t="b">
        <v>1</v>
      </c>
      <c r="E3081" t="s">
        <v>10</v>
      </c>
      <c r="F3081">
        <v>14886</v>
      </c>
    </row>
    <row r="3082" spans="1:6" x14ac:dyDescent="0.25">
      <c r="A3082" t="s">
        <v>5773</v>
      </c>
      <c r="B3082" t="s">
        <v>5774</v>
      </c>
      <c r="C3082" s="1">
        <v>44083</v>
      </c>
      <c r="D3082" t="b">
        <v>1</v>
      </c>
      <c r="E3082" t="s">
        <v>10</v>
      </c>
      <c r="F3082">
        <v>16284</v>
      </c>
    </row>
    <row r="3083" spans="1:6" x14ac:dyDescent="0.25">
      <c r="A3083" t="s">
        <v>5775</v>
      </c>
      <c r="B3083" t="s">
        <v>5776</v>
      </c>
      <c r="C3083" s="1">
        <v>44083</v>
      </c>
      <c r="D3083" t="b">
        <v>1</v>
      </c>
      <c r="E3083" t="s">
        <v>10</v>
      </c>
      <c r="F3083">
        <v>14073</v>
      </c>
    </row>
    <row r="3084" spans="1:6" x14ac:dyDescent="0.25">
      <c r="A3084" t="s">
        <v>5777</v>
      </c>
      <c r="B3084" t="s">
        <v>5778</v>
      </c>
      <c r="C3084" s="1">
        <v>44083</v>
      </c>
      <c r="D3084" t="b">
        <v>1</v>
      </c>
      <c r="E3084" t="s">
        <v>10</v>
      </c>
      <c r="F3084">
        <v>14887</v>
      </c>
    </row>
    <row r="3085" spans="1:6" x14ac:dyDescent="0.25">
      <c r="A3085" t="s">
        <v>5779</v>
      </c>
      <c r="B3085" t="s">
        <v>5780</v>
      </c>
      <c r="C3085" s="1">
        <v>44083</v>
      </c>
      <c r="D3085" t="b">
        <v>1</v>
      </c>
      <c r="E3085" t="s">
        <v>10</v>
      </c>
      <c r="F3085">
        <v>2586</v>
      </c>
    </row>
    <row r="3086" spans="1:6" x14ac:dyDescent="0.25">
      <c r="A3086" t="s">
        <v>5781</v>
      </c>
      <c r="B3086" t="s">
        <v>5782</v>
      </c>
      <c r="C3086" s="1">
        <v>44083</v>
      </c>
      <c r="D3086" t="b">
        <v>1</v>
      </c>
      <c r="E3086" t="s">
        <v>10</v>
      </c>
      <c r="F3086">
        <v>2587</v>
      </c>
    </row>
    <row r="3087" spans="1:6" x14ac:dyDescent="0.25">
      <c r="A3087" t="s">
        <v>5783</v>
      </c>
      <c r="B3087" t="s">
        <v>5784</v>
      </c>
      <c r="C3087" s="1">
        <v>44083</v>
      </c>
      <c r="D3087" t="b">
        <v>1</v>
      </c>
      <c r="E3087" t="s">
        <v>10</v>
      </c>
      <c r="F3087">
        <v>2589</v>
      </c>
    </row>
    <row r="3088" spans="1:6" x14ac:dyDescent="0.25">
      <c r="A3088" t="s">
        <v>5785</v>
      </c>
      <c r="B3088" t="s">
        <v>5786</v>
      </c>
      <c r="C3088" s="1">
        <v>44083</v>
      </c>
      <c r="D3088" t="b">
        <v>1</v>
      </c>
      <c r="E3088" t="s">
        <v>10</v>
      </c>
      <c r="F3088">
        <v>13521</v>
      </c>
    </row>
    <row r="3089" spans="1:6" x14ac:dyDescent="0.25">
      <c r="A3089" t="s">
        <v>5787</v>
      </c>
      <c r="B3089" t="s">
        <v>5788</v>
      </c>
      <c r="C3089" s="1">
        <v>44083</v>
      </c>
      <c r="D3089" t="b">
        <v>1</v>
      </c>
      <c r="E3089" t="s">
        <v>10</v>
      </c>
      <c r="F3089">
        <v>2590</v>
      </c>
    </row>
    <row r="3090" spans="1:6" x14ac:dyDescent="0.25">
      <c r="A3090" t="s">
        <v>5789</v>
      </c>
      <c r="B3090" t="s">
        <v>5208</v>
      </c>
      <c r="C3090" s="1">
        <v>44083</v>
      </c>
      <c r="D3090" t="b">
        <v>1</v>
      </c>
      <c r="E3090" t="s">
        <v>10</v>
      </c>
      <c r="F3090">
        <v>16303</v>
      </c>
    </row>
    <row r="3091" spans="1:6" x14ac:dyDescent="0.25">
      <c r="A3091" t="s">
        <v>5790</v>
      </c>
      <c r="B3091" t="s">
        <v>5791</v>
      </c>
      <c r="C3091" s="1">
        <v>44083</v>
      </c>
      <c r="D3091" t="b">
        <v>1</v>
      </c>
      <c r="E3091" t="s">
        <v>10</v>
      </c>
      <c r="F3091">
        <v>2593</v>
      </c>
    </row>
    <row r="3092" spans="1:6" x14ac:dyDescent="0.25">
      <c r="A3092" t="s">
        <v>5792</v>
      </c>
      <c r="B3092" t="s">
        <v>5793</v>
      </c>
      <c r="C3092" s="1">
        <v>44083</v>
      </c>
      <c r="D3092" t="b">
        <v>1</v>
      </c>
      <c r="E3092" t="s">
        <v>10</v>
      </c>
      <c r="F3092">
        <v>9701</v>
      </c>
    </row>
    <row r="3093" spans="1:6" x14ac:dyDescent="0.25">
      <c r="A3093" t="s">
        <v>5794</v>
      </c>
      <c r="B3093" t="s">
        <v>5795</v>
      </c>
      <c r="C3093" s="1">
        <v>44083</v>
      </c>
      <c r="D3093" t="b">
        <v>1</v>
      </c>
      <c r="E3093" t="s">
        <v>10</v>
      </c>
      <c r="F3093">
        <v>2594</v>
      </c>
    </row>
    <row r="3094" spans="1:6" x14ac:dyDescent="0.25">
      <c r="A3094" t="s">
        <v>5796</v>
      </c>
      <c r="B3094" t="s">
        <v>5797</v>
      </c>
      <c r="C3094" s="1">
        <v>44083</v>
      </c>
      <c r="D3094" t="b">
        <v>1</v>
      </c>
      <c r="E3094" t="s">
        <v>10</v>
      </c>
      <c r="F3094">
        <v>2595</v>
      </c>
    </row>
    <row r="3095" spans="1:6" x14ac:dyDescent="0.25">
      <c r="A3095" t="s">
        <v>5798</v>
      </c>
      <c r="B3095" t="s">
        <v>5799</v>
      </c>
      <c r="C3095" s="1">
        <v>44083</v>
      </c>
      <c r="D3095" t="b">
        <v>1</v>
      </c>
      <c r="E3095" t="s">
        <v>10</v>
      </c>
      <c r="F3095">
        <v>14832</v>
      </c>
    </row>
    <row r="3096" spans="1:6" x14ac:dyDescent="0.25">
      <c r="A3096" t="s">
        <v>5800</v>
      </c>
      <c r="B3096" t="s">
        <v>5801</v>
      </c>
      <c r="C3096" s="1">
        <v>44083</v>
      </c>
      <c r="D3096" t="b">
        <v>1</v>
      </c>
      <c r="E3096" t="s">
        <v>10</v>
      </c>
      <c r="F3096">
        <v>2596</v>
      </c>
    </row>
    <row r="3097" spans="1:6" x14ac:dyDescent="0.25">
      <c r="A3097" t="s">
        <v>5802</v>
      </c>
      <c r="B3097" t="s">
        <v>5803</v>
      </c>
      <c r="C3097" s="1">
        <v>44083</v>
      </c>
      <c r="D3097" t="b">
        <v>1</v>
      </c>
      <c r="E3097" t="s">
        <v>10</v>
      </c>
      <c r="F3097">
        <v>2597</v>
      </c>
    </row>
    <row r="3098" spans="1:6" x14ac:dyDescent="0.25">
      <c r="A3098" t="s">
        <v>5804</v>
      </c>
      <c r="B3098" t="s">
        <v>5805</v>
      </c>
      <c r="C3098" s="1">
        <v>44083</v>
      </c>
      <c r="D3098" t="b">
        <v>1</v>
      </c>
      <c r="E3098" t="s">
        <v>10</v>
      </c>
      <c r="F3098">
        <v>2600</v>
      </c>
    </row>
    <row r="3099" spans="1:6" x14ac:dyDescent="0.25">
      <c r="A3099" t="s">
        <v>5806</v>
      </c>
      <c r="B3099" t="s">
        <v>5807</v>
      </c>
      <c r="C3099" s="1">
        <v>44083</v>
      </c>
      <c r="D3099" t="b">
        <v>1</v>
      </c>
      <c r="E3099" t="s">
        <v>10</v>
      </c>
      <c r="F3099">
        <v>2602</v>
      </c>
    </row>
    <row r="3100" spans="1:6" x14ac:dyDescent="0.25">
      <c r="A3100" t="s">
        <v>5808</v>
      </c>
      <c r="B3100" t="s">
        <v>5809</v>
      </c>
      <c r="C3100" s="1">
        <v>44083</v>
      </c>
      <c r="D3100" t="b">
        <v>1</v>
      </c>
      <c r="E3100" t="s">
        <v>10</v>
      </c>
      <c r="F3100">
        <v>2603</v>
      </c>
    </row>
    <row r="3101" spans="1:6" x14ac:dyDescent="0.25">
      <c r="A3101" t="s">
        <v>5810</v>
      </c>
      <c r="B3101" t="s">
        <v>5811</v>
      </c>
      <c r="C3101" s="1">
        <v>44083</v>
      </c>
      <c r="D3101" t="b">
        <v>1</v>
      </c>
      <c r="E3101" t="s">
        <v>10</v>
      </c>
      <c r="F3101">
        <v>2604</v>
      </c>
    </row>
    <row r="3102" spans="1:6" x14ac:dyDescent="0.25">
      <c r="A3102" t="s">
        <v>5812</v>
      </c>
      <c r="B3102" t="s">
        <v>5813</v>
      </c>
      <c r="C3102" s="1">
        <v>44083</v>
      </c>
      <c r="D3102" t="b">
        <v>1</v>
      </c>
      <c r="E3102" t="s">
        <v>10</v>
      </c>
      <c r="F3102">
        <v>10566</v>
      </c>
    </row>
    <row r="3103" spans="1:6" x14ac:dyDescent="0.25">
      <c r="A3103" t="s">
        <v>5814</v>
      </c>
      <c r="B3103" t="s">
        <v>5815</v>
      </c>
      <c r="C3103" s="1">
        <v>44083</v>
      </c>
      <c r="D3103" t="b">
        <v>1</v>
      </c>
      <c r="E3103" t="s">
        <v>10</v>
      </c>
      <c r="F3103">
        <v>2605</v>
      </c>
    </row>
    <row r="3104" spans="1:6" x14ac:dyDescent="0.25">
      <c r="A3104" t="s">
        <v>5816</v>
      </c>
      <c r="B3104" t="s">
        <v>5817</v>
      </c>
      <c r="C3104" s="1">
        <v>44083</v>
      </c>
      <c r="D3104" t="b">
        <v>1</v>
      </c>
      <c r="E3104" t="s">
        <v>10</v>
      </c>
      <c r="F3104">
        <v>2606</v>
      </c>
    </row>
    <row r="3105" spans="1:6" x14ac:dyDescent="0.25">
      <c r="A3105" t="s">
        <v>5818</v>
      </c>
      <c r="B3105" t="s">
        <v>5819</v>
      </c>
      <c r="C3105" s="1">
        <v>44083</v>
      </c>
      <c r="D3105" t="b">
        <v>1</v>
      </c>
      <c r="E3105" t="s">
        <v>10</v>
      </c>
      <c r="F3105">
        <v>2607</v>
      </c>
    </row>
    <row r="3106" spans="1:6" x14ac:dyDescent="0.25">
      <c r="A3106" t="s">
        <v>5820</v>
      </c>
      <c r="B3106" t="s">
        <v>5821</v>
      </c>
      <c r="C3106" s="1">
        <v>44083</v>
      </c>
      <c r="D3106" t="b">
        <v>1</v>
      </c>
      <c r="E3106" t="s">
        <v>10</v>
      </c>
      <c r="F3106">
        <v>2609</v>
      </c>
    </row>
    <row r="3107" spans="1:6" x14ac:dyDescent="0.25">
      <c r="A3107" t="s">
        <v>5822</v>
      </c>
      <c r="B3107" t="s">
        <v>5823</v>
      </c>
      <c r="C3107" s="1">
        <v>44083</v>
      </c>
      <c r="D3107" t="b">
        <v>1</v>
      </c>
      <c r="E3107" t="s">
        <v>10</v>
      </c>
      <c r="F3107">
        <v>16740</v>
      </c>
    </row>
    <row r="3108" spans="1:6" x14ac:dyDescent="0.25">
      <c r="A3108" t="s">
        <v>5824</v>
      </c>
      <c r="B3108" t="s">
        <v>5825</v>
      </c>
      <c r="C3108" s="1">
        <v>44083</v>
      </c>
      <c r="D3108" t="b">
        <v>1</v>
      </c>
      <c r="E3108" t="s">
        <v>10</v>
      </c>
      <c r="F3108">
        <v>15543</v>
      </c>
    </row>
    <row r="3109" spans="1:6" x14ac:dyDescent="0.25">
      <c r="A3109" t="s">
        <v>5826</v>
      </c>
      <c r="B3109" t="s">
        <v>5827</v>
      </c>
      <c r="C3109" s="1">
        <v>44083</v>
      </c>
      <c r="D3109" t="b">
        <v>1</v>
      </c>
      <c r="E3109" t="s">
        <v>10</v>
      </c>
      <c r="F3109">
        <v>15430</v>
      </c>
    </row>
    <row r="3110" spans="1:6" x14ac:dyDescent="0.25">
      <c r="A3110" t="s">
        <v>5828</v>
      </c>
      <c r="B3110" t="s">
        <v>5829</v>
      </c>
      <c r="C3110" s="1">
        <v>44083</v>
      </c>
      <c r="D3110" t="b">
        <v>1</v>
      </c>
      <c r="E3110" t="s">
        <v>10</v>
      </c>
      <c r="F3110">
        <v>15429</v>
      </c>
    </row>
    <row r="3111" spans="1:6" x14ac:dyDescent="0.25">
      <c r="A3111" t="s">
        <v>5830</v>
      </c>
      <c r="B3111" t="s">
        <v>5831</v>
      </c>
      <c r="C3111" s="1">
        <v>44083</v>
      </c>
      <c r="D3111" t="b">
        <v>1</v>
      </c>
      <c r="E3111" t="s">
        <v>10</v>
      </c>
      <c r="F3111">
        <v>7711</v>
      </c>
    </row>
    <row r="3112" spans="1:6" x14ac:dyDescent="0.25">
      <c r="A3112" t="s">
        <v>5832</v>
      </c>
      <c r="B3112" t="s">
        <v>5833</v>
      </c>
      <c r="C3112" s="1">
        <v>44083</v>
      </c>
      <c r="D3112" t="b">
        <v>1</v>
      </c>
      <c r="E3112" t="s">
        <v>10</v>
      </c>
      <c r="F3112">
        <v>2612</v>
      </c>
    </row>
    <row r="3113" spans="1:6" x14ac:dyDescent="0.25">
      <c r="A3113" t="s">
        <v>5834</v>
      </c>
      <c r="B3113" t="s">
        <v>5835</v>
      </c>
      <c r="C3113" s="1">
        <v>44083</v>
      </c>
      <c r="D3113" t="b">
        <v>1</v>
      </c>
      <c r="E3113" t="s">
        <v>10</v>
      </c>
      <c r="F3113">
        <v>12108</v>
      </c>
    </row>
    <row r="3114" spans="1:6" x14ac:dyDescent="0.25">
      <c r="A3114" t="s">
        <v>5836</v>
      </c>
      <c r="B3114" t="s">
        <v>5837</v>
      </c>
      <c r="C3114" s="1">
        <v>44083</v>
      </c>
      <c r="D3114" t="b">
        <v>1</v>
      </c>
      <c r="E3114" t="s">
        <v>10</v>
      </c>
      <c r="F3114">
        <v>2613</v>
      </c>
    </row>
    <row r="3115" spans="1:6" x14ac:dyDescent="0.25">
      <c r="A3115" t="s">
        <v>5838</v>
      </c>
      <c r="B3115" t="s">
        <v>5839</v>
      </c>
      <c r="C3115" s="1">
        <v>44083</v>
      </c>
      <c r="D3115" t="b">
        <v>1</v>
      </c>
      <c r="E3115" t="s">
        <v>10</v>
      </c>
      <c r="F3115">
        <v>13301</v>
      </c>
    </row>
    <row r="3116" spans="1:6" x14ac:dyDescent="0.25">
      <c r="A3116" t="s">
        <v>5840</v>
      </c>
      <c r="B3116" t="s">
        <v>5841</v>
      </c>
      <c r="C3116" s="1">
        <v>44083</v>
      </c>
      <c r="D3116" t="b">
        <v>1</v>
      </c>
      <c r="E3116" t="s">
        <v>10</v>
      </c>
      <c r="F3116">
        <v>2614</v>
      </c>
    </row>
    <row r="3117" spans="1:6" x14ac:dyDescent="0.25">
      <c r="A3117" t="s">
        <v>5842</v>
      </c>
      <c r="B3117" t="s">
        <v>5843</v>
      </c>
      <c r="C3117" s="1">
        <v>44083</v>
      </c>
      <c r="D3117" t="b">
        <v>1</v>
      </c>
      <c r="E3117" t="s">
        <v>10</v>
      </c>
      <c r="F3117">
        <v>12808</v>
      </c>
    </row>
    <row r="3118" spans="1:6" x14ac:dyDescent="0.25">
      <c r="A3118" t="s">
        <v>5844</v>
      </c>
      <c r="B3118" t="s">
        <v>5845</v>
      </c>
      <c r="C3118" s="1">
        <v>44083</v>
      </c>
      <c r="D3118" t="b">
        <v>1</v>
      </c>
      <c r="E3118" t="s">
        <v>10</v>
      </c>
      <c r="F3118">
        <v>8492</v>
      </c>
    </row>
    <row r="3119" spans="1:6" x14ac:dyDescent="0.25">
      <c r="A3119" t="s">
        <v>5846</v>
      </c>
      <c r="C3119" s="1">
        <v>44083</v>
      </c>
      <c r="D3119" t="b">
        <v>1</v>
      </c>
      <c r="E3119" t="s">
        <v>10</v>
      </c>
      <c r="F3119">
        <v>13291</v>
      </c>
    </row>
    <row r="3120" spans="1:6" x14ac:dyDescent="0.25">
      <c r="A3120" t="s">
        <v>5847</v>
      </c>
      <c r="B3120" t="s">
        <v>5848</v>
      </c>
      <c r="C3120" s="1">
        <v>44083</v>
      </c>
      <c r="D3120" t="b">
        <v>1</v>
      </c>
      <c r="E3120" t="s">
        <v>10</v>
      </c>
      <c r="F3120">
        <v>8478</v>
      </c>
    </row>
    <row r="3121" spans="1:6" x14ac:dyDescent="0.25">
      <c r="A3121" t="s">
        <v>5849</v>
      </c>
      <c r="B3121" t="s">
        <v>5850</v>
      </c>
      <c r="C3121" s="1">
        <v>44083</v>
      </c>
      <c r="D3121" t="b">
        <v>1</v>
      </c>
      <c r="E3121" t="s">
        <v>10</v>
      </c>
      <c r="F3121">
        <v>7765</v>
      </c>
    </row>
    <row r="3122" spans="1:6" x14ac:dyDescent="0.25">
      <c r="A3122" t="s">
        <v>5851</v>
      </c>
      <c r="B3122" t="s">
        <v>5852</v>
      </c>
      <c r="C3122" s="1">
        <v>44083</v>
      </c>
      <c r="D3122" t="b">
        <v>1</v>
      </c>
      <c r="E3122" t="s">
        <v>10</v>
      </c>
      <c r="F3122">
        <v>2619</v>
      </c>
    </row>
    <row r="3123" spans="1:6" x14ac:dyDescent="0.25">
      <c r="A3123" t="s">
        <v>5853</v>
      </c>
      <c r="B3123" t="s">
        <v>5854</v>
      </c>
      <c r="C3123" s="1">
        <v>44083</v>
      </c>
      <c r="D3123" t="b">
        <v>1</v>
      </c>
      <c r="E3123" t="s">
        <v>10</v>
      </c>
      <c r="F3123">
        <v>15108</v>
      </c>
    </row>
    <row r="3124" spans="1:6" x14ac:dyDescent="0.25">
      <c r="A3124" t="s">
        <v>5855</v>
      </c>
      <c r="B3124" t="s">
        <v>5856</v>
      </c>
      <c r="C3124" s="1">
        <v>44083</v>
      </c>
      <c r="D3124" t="b">
        <v>1</v>
      </c>
      <c r="E3124" t="s">
        <v>10</v>
      </c>
      <c r="F3124">
        <v>9465</v>
      </c>
    </row>
    <row r="3125" spans="1:6" x14ac:dyDescent="0.25">
      <c r="A3125" t="s">
        <v>5857</v>
      </c>
      <c r="B3125" t="s">
        <v>5858</v>
      </c>
      <c r="C3125" s="1">
        <v>44083</v>
      </c>
      <c r="D3125" t="b">
        <v>1</v>
      </c>
      <c r="E3125" t="s">
        <v>10</v>
      </c>
      <c r="F3125">
        <v>11823</v>
      </c>
    </row>
    <row r="3126" spans="1:6" x14ac:dyDescent="0.25">
      <c r="A3126" t="s">
        <v>5859</v>
      </c>
      <c r="B3126" t="s">
        <v>5860</v>
      </c>
      <c r="C3126" s="1">
        <v>44083</v>
      </c>
      <c r="D3126" t="b">
        <v>1</v>
      </c>
      <c r="E3126" t="s">
        <v>10</v>
      </c>
      <c r="F3126">
        <v>2620</v>
      </c>
    </row>
    <row r="3127" spans="1:6" x14ac:dyDescent="0.25">
      <c r="A3127" t="s">
        <v>5861</v>
      </c>
      <c r="B3127" t="s">
        <v>5862</v>
      </c>
      <c r="C3127" s="1">
        <v>44083</v>
      </c>
      <c r="D3127" t="b">
        <v>1</v>
      </c>
      <c r="E3127" t="s">
        <v>10</v>
      </c>
      <c r="F3127">
        <v>2621</v>
      </c>
    </row>
    <row r="3128" spans="1:6" x14ac:dyDescent="0.25">
      <c r="A3128" t="s">
        <v>5863</v>
      </c>
      <c r="B3128" t="s">
        <v>5864</v>
      </c>
      <c r="C3128" s="1">
        <v>44083</v>
      </c>
      <c r="D3128" t="b">
        <v>1</v>
      </c>
      <c r="E3128" t="s">
        <v>10</v>
      </c>
      <c r="F3128">
        <v>15684</v>
      </c>
    </row>
    <row r="3129" spans="1:6" x14ac:dyDescent="0.25">
      <c r="A3129" t="s">
        <v>5865</v>
      </c>
      <c r="B3129" t="s">
        <v>5866</v>
      </c>
      <c r="C3129" s="1">
        <v>44083</v>
      </c>
      <c r="D3129" t="b">
        <v>1</v>
      </c>
      <c r="E3129" t="s">
        <v>10</v>
      </c>
      <c r="F3129">
        <v>2622</v>
      </c>
    </row>
    <row r="3130" spans="1:6" x14ac:dyDescent="0.25">
      <c r="A3130" t="s">
        <v>5867</v>
      </c>
      <c r="B3130" t="s">
        <v>5868</v>
      </c>
      <c r="C3130" s="1">
        <v>44083</v>
      </c>
      <c r="D3130" t="b">
        <v>1</v>
      </c>
      <c r="E3130" t="s">
        <v>10</v>
      </c>
      <c r="F3130">
        <v>2623</v>
      </c>
    </row>
    <row r="3131" spans="1:6" x14ac:dyDescent="0.25">
      <c r="A3131" t="s">
        <v>5869</v>
      </c>
      <c r="B3131" t="s">
        <v>5870</v>
      </c>
      <c r="C3131" s="1">
        <v>44083</v>
      </c>
      <c r="D3131" t="b">
        <v>1</v>
      </c>
      <c r="E3131" t="s">
        <v>10</v>
      </c>
      <c r="F3131">
        <v>8114</v>
      </c>
    </row>
    <row r="3132" spans="1:6" x14ac:dyDescent="0.25">
      <c r="A3132" t="s">
        <v>5871</v>
      </c>
      <c r="B3132" t="s">
        <v>5872</v>
      </c>
      <c r="C3132" s="1">
        <v>44083</v>
      </c>
      <c r="D3132" t="b">
        <v>1</v>
      </c>
      <c r="E3132" t="s">
        <v>10</v>
      </c>
      <c r="F3132">
        <v>2624</v>
      </c>
    </row>
    <row r="3133" spans="1:6" x14ac:dyDescent="0.25">
      <c r="A3133" t="s">
        <v>5873</v>
      </c>
      <c r="B3133" t="s">
        <v>5874</v>
      </c>
      <c r="C3133" s="1">
        <v>44083</v>
      </c>
      <c r="D3133" t="b">
        <v>1</v>
      </c>
      <c r="E3133" t="s">
        <v>10</v>
      </c>
      <c r="F3133">
        <v>2625</v>
      </c>
    </row>
    <row r="3134" spans="1:6" x14ac:dyDescent="0.25">
      <c r="A3134" t="s">
        <v>5875</v>
      </c>
      <c r="C3134" s="1">
        <v>44083</v>
      </c>
      <c r="D3134" t="b">
        <v>1</v>
      </c>
      <c r="E3134" t="s">
        <v>10</v>
      </c>
      <c r="F3134">
        <v>10049</v>
      </c>
    </row>
    <row r="3135" spans="1:6" x14ac:dyDescent="0.25">
      <c r="A3135" t="s">
        <v>5876</v>
      </c>
      <c r="C3135" s="1">
        <v>44083</v>
      </c>
      <c r="D3135" t="b">
        <v>1</v>
      </c>
      <c r="E3135" t="s">
        <v>10</v>
      </c>
      <c r="F3135">
        <v>11071</v>
      </c>
    </row>
    <row r="3136" spans="1:6" x14ac:dyDescent="0.25">
      <c r="A3136" t="s">
        <v>5877</v>
      </c>
      <c r="C3136" s="1">
        <v>44083</v>
      </c>
      <c r="D3136" t="b">
        <v>1</v>
      </c>
      <c r="E3136" t="s">
        <v>10</v>
      </c>
      <c r="F3136">
        <v>13018</v>
      </c>
    </row>
    <row r="3137" spans="1:6" x14ac:dyDescent="0.25">
      <c r="A3137" t="s">
        <v>5878</v>
      </c>
      <c r="C3137" s="1">
        <v>44083</v>
      </c>
      <c r="D3137" t="b">
        <v>1</v>
      </c>
      <c r="E3137" t="s">
        <v>10</v>
      </c>
      <c r="F3137">
        <v>14737</v>
      </c>
    </row>
    <row r="3138" spans="1:6" x14ac:dyDescent="0.25">
      <c r="A3138" t="s">
        <v>5879</v>
      </c>
      <c r="C3138" s="1">
        <v>44083</v>
      </c>
      <c r="D3138" t="b">
        <v>1</v>
      </c>
      <c r="E3138" t="s">
        <v>10</v>
      </c>
      <c r="F3138">
        <v>16350</v>
      </c>
    </row>
    <row r="3139" spans="1:6" x14ac:dyDescent="0.25">
      <c r="A3139" t="s">
        <v>5880</v>
      </c>
      <c r="B3139" t="s">
        <v>5881</v>
      </c>
      <c r="C3139" s="1">
        <v>44083</v>
      </c>
      <c r="D3139" t="b">
        <v>1</v>
      </c>
      <c r="E3139" t="s">
        <v>10</v>
      </c>
      <c r="F3139">
        <v>2630</v>
      </c>
    </row>
    <row r="3140" spans="1:6" x14ac:dyDescent="0.25">
      <c r="A3140" t="s">
        <v>5882</v>
      </c>
      <c r="B3140" t="s">
        <v>5883</v>
      </c>
      <c r="C3140" s="1">
        <v>44083</v>
      </c>
      <c r="D3140" t="b">
        <v>1</v>
      </c>
      <c r="E3140" t="s">
        <v>10</v>
      </c>
      <c r="F3140">
        <v>15745</v>
      </c>
    </row>
    <row r="3141" spans="1:6" x14ac:dyDescent="0.25">
      <c r="A3141" t="s">
        <v>5884</v>
      </c>
      <c r="B3141" t="s">
        <v>5885</v>
      </c>
      <c r="C3141" s="1">
        <v>44083</v>
      </c>
      <c r="D3141" t="b">
        <v>1</v>
      </c>
      <c r="E3141" t="s">
        <v>10</v>
      </c>
      <c r="F3141">
        <v>15719</v>
      </c>
    </row>
    <row r="3142" spans="1:6" x14ac:dyDescent="0.25">
      <c r="A3142" t="s">
        <v>5886</v>
      </c>
      <c r="C3142" s="1">
        <v>44083</v>
      </c>
      <c r="D3142" t="b">
        <v>1</v>
      </c>
      <c r="E3142" t="s">
        <v>10</v>
      </c>
      <c r="F3142">
        <v>15726</v>
      </c>
    </row>
    <row r="3143" spans="1:6" x14ac:dyDescent="0.25">
      <c r="A3143" t="s">
        <v>5887</v>
      </c>
      <c r="B3143" t="s">
        <v>5888</v>
      </c>
      <c r="C3143" s="1">
        <v>44083</v>
      </c>
      <c r="D3143" t="b">
        <v>1</v>
      </c>
      <c r="E3143" t="s">
        <v>10</v>
      </c>
      <c r="F3143">
        <v>9723</v>
      </c>
    </row>
    <row r="3144" spans="1:6" x14ac:dyDescent="0.25">
      <c r="A3144" t="s">
        <v>5889</v>
      </c>
      <c r="B3144" t="s">
        <v>5890</v>
      </c>
      <c r="C3144" s="1">
        <v>44083</v>
      </c>
      <c r="D3144" t="b">
        <v>1</v>
      </c>
      <c r="E3144" t="s">
        <v>10</v>
      </c>
      <c r="F3144">
        <v>16052</v>
      </c>
    </row>
    <row r="3145" spans="1:6" x14ac:dyDescent="0.25">
      <c r="A3145" t="s">
        <v>5891</v>
      </c>
      <c r="B3145" t="s">
        <v>5892</v>
      </c>
      <c r="C3145" s="1">
        <v>44083</v>
      </c>
      <c r="D3145" t="b">
        <v>1</v>
      </c>
      <c r="E3145" t="s">
        <v>10</v>
      </c>
      <c r="F3145">
        <v>6671</v>
      </c>
    </row>
    <row r="3146" spans="1:6" x14ac:dyDescent="0.25">
      <c r="A3146" t="s">
        <v>5893</v>
      </c>
      <c r="B3146" t="s">
        <v>5894</v>
      </c>
      <c r="C3146" s="1">
        <v>44083</v>
      </c>
      <c r="D3146" t="b">
        <v>1</v>
      </c>
      <c r="E3146" t="s">
        <v>10</v>
      </c>
      <c r="F3146">
        <v>2634</v>
      </c>
    </row>
    <row r="3147" spans="1:6" x14ac:dyDescent="0.25">
      <c r="A3147" t="s">
        <v>5895</v>
      </c>
      <c r="B3147" t="s">
        <v>5896</v>
      </c>
      <c r="C3147" s="1">
        <v>44083</v>
      </c>
      <c r="D3147" t="b">
        <v>1</v>
      </c>
      <c r="E3147" t="s">
        <v>10</v>
      </c>
      <c r="F3147">
        <v>16191</v>
      </c>
    </row>
    <row r="3148" spans="1:6" x14ac:dyDescent="0.25">
      <c r="A3148" t="s">
        <v>5897</v>
      </c>
      <c r="B3148" t="s">
        <v>5898</v>
      </c>
      <c r="C3148" s="1">
        <v>44083</v>
      </c>
      <c r="D3148" t="b">
        <v>1</v>
      </c>
      <c r="E3148" t="s">
        <v>10</v>
      </c>
      <c r="F3148">
        <v>2635</v>
      </c>
    </row>
    <row r="3149" spans="1:6" x14ac:dyDescent="0.25">
      <c r="A3149" t="s">
        <v>5899</v>
      </c>
      <c r="B3149" t="s">
        <v>5900</v>
      </c>
      <c r="C3149" s="1">
        <v>44083</v>
      </c>
      <c r="D3149" t="b">
        <v>1</v>
      </c>
      <c r="E3149" t="s">
        <v>10</v>
      </c>
      <c r="F3149">
        <v>14331</v>
      </c>
    </row>
    <row r="3150" spans="1:6" x14ac:dyDescent="0.25">
      <c r="A3150" t="s">
        <v>5901</v>
      </c>
      <c r="B3150" t="s">
        <v>5902</v>
      </c>
      <c r="C3150" s="1">
        <v>44083</v>
      </c>
      <c r="D3150" t="b">
        <v>1</v>
      </c>
      <c r="E3150" t="s">
        <v>10</v>
      </c>
      <c r="F3150">
        <v>16996</v>
      </c>
    </row>
    <row r="3151" spans="1:6" x14ac:dyDescent="0.25">
      <c r="A3151" t="s">
        <v>5903</v>
      </c>
      <c r="B3151" t="s">
        <v>5904</v>
      </c>
      <c r="C3151" s="1">
        <v>44083</v>
      </c>
      <c r="D3151" t="b">
        <v>1</v>
      </c>
      <c r="E3151" t="s">
        <v>10</v>
      </c>
      <c r="F3151">
        <v>2637</v>
      </c>
    </row>
    <row r="3152" spans="1:6" x14ac:dyDescent="0.25">
      <c r="A3152" t="s">
        <v>5905</v>
      </c>
      <c r="B3152" t="s">
        <v>5906</v>
      </c>
      <c r="C3152" s="1">
        <v>44083</v>
      </c>
      <c r="D3152" t="b">
        <v>1</v>
      </c>
      <c r="E3152" t="s">
        <v>10</v>
      </c>
      <c r="F3152">
        <v>2640</v>
      </c>
    </row>
    <row r="3153" spans="1:6" x14ac:dyDescent="0.25">
      <c r="A3153" t="s">
        <v>5907</v>
      </c>
      <c r="B3153" t="s">
        <v>5908</v>
      </c>
      <c r="C3153" s="1">
        <v>44083</v>
      </c>
      <c r="D3153" t="b">
        <v>1</v>
      </c>
      <c r="E3153" t="s">
        <v>10</v>
      </c>
      <c r="F3153">
        <v>5249</v>
      </c>
    </row>
    <row r="3154" spans="1:6" x14ac:dyDescent="0.25">
      <c r="A3154" t="s">
        <v>5909</v>
      </c>
      <c r="B3154" t="s">
        <v>5910</v>
      </c>
      <c r="C3154" s="1">
        <v>44083</v>
      </c>
      <c r="D3154" t="b">
        <v>1</v>
      </c>
      <c r="E3154" t="s">
        <v>10</v>
      </c>
      <c r="F3154">
        <v>9433</v>
      </c>
    </row>
    <row r="3155" spans="1:6" x14ac:dyDescent="0.25">
      <c r="A3155" t="s">
        <v>5911</v>
      </c>
      <c r="B3155" t="s">
        <v>5912</v>
      </c>
      <c r="C3155" s="1">
        <v>44083</v>
      </c>
      <c r="D3155" t="b">
        <v>1</v>
      </c>
      <c r="E3155" t="s">
        <v>10</v>
      </c>
      <c r="F3155">
        <v>13021</v>
      </c>
    </row>
    <row r="3156" spans="1:6" x14ac:dyDescent="0.25">
      <c r="A3156" t="s">
        <v>5913</v>
      </c>
      <c r="B3156" t="s">
        <v>5914</v>
      </c>
      <c r="C3156" s="1">
        <v>44083</v>
      </c>
      <c r="D3156" t="b">
        <v>1</v>
      </c>
      <c r="E3156" t="s">
        <v>10</v>
      </c>
      <c r="F3156">
        <v>2643</v>
      </c>
    </row>
    <row r="3157" spans="1:6" x14ac:dyDescent="0.25">
      <c r="A3157" t="s">
        <v>5915</v>
      </c>
      <c r="C3157" s="1">
        <v>44083</v>
      </c>
      <c r="D3157" t="b">
        <v>1</v>
      </c>
      <c r="E3157" t="s">
        <v>10</v>
      </c>
      <c r="F3157">
        <v>13491</v>
      </c>
    </row>
    <row r="3158" spans="1:6" x14ac:dyDescent="0.25">
      <c r="A3158" t="s">
        <v>5916</v>
      </c>
      <c r="B3158" t="s">
        <v>5917</v>
      </c>
      <c r="C3158" s="1">
        <v>44083</v>
      </c>
      <c r="D3158" t="b">
        <v>1</v>
      </c>
      <c r="E3158" t="s">
        <v>10</v>
      </c>
      <c r="F3158">
        <v>11714</v>
      </c>
    </row>
    <row r="3159" spans="1:6" x14ac:dyDescent="0.25">
      <c r="A3159" t="s">
        <v>5918</v>
      </c>
      <c r="B3159" t="s">
        <v>5919</v>
      </c>
      <c r="C3159" s="1">
        <v>44083</v>
      </c>
      <c r="D3159" t="b">
        <v>1</v>
      </c>
      <c r="E3159" t="s">
        <v>10</v>
      </c>
      <c r="F3159">
        <v>2647</v>
      </c>
    </row>
    <row r="3160" spans="1:6" x14ac:dyDescent="0.25">
      <c r="A3160" t="s">
        <v>5920</v>
      </c>
      <c r="B3160" t="s">
        <v>5921</v>
      </c>
      <c r="C3160" s="1">
        <v>44083</v>
      </c>
      <c r="D3160" t="b">
        <v>1</v>
      </c>
      <c r="E3160" t="s">
        <v>10</v>
      </c>
      <c r="F3160">
        <v>2652</v>
      </c>
    </row>
    <row r="3161" spans="1:6" x14ac:dyDescent="0.25">
      <c r="A3161" t="s">
        <v>5922</v>
      </c>
      <c r="B3161" t="s">
        <v>5923</v>
      </c>
      <c r="C3161" s="1">
        <v>44083</v>
      </c>
      <c r="D3161" t="b">
        <v>1</v>
      </c>
      <c r="E3161" t="s">
        <v>10</v>
      </c>
      <c r="F3161">
        <v>17016</v>
      </c>
    </row>
    <row r="3162" spans="1:6" x14ac:dyDescent="0.25">
      <c r="A3162" t="s">
        <v>5924</v>
      </c>
      <c r="B3162" t="s">
        <v>5925</v>
      </c>
      <c r="C3162" s="1">
        <v>44083</v>
      </c>
      <c r="D3162" t="b">
        <v>1</v>
      </c>
      <c r="E3162" t="s">
        <v>10</v>
      </c>
      <c r="F3162">
        <v>15934</v>
      </c>
    </row>
    <row r="3163" spans="1:6" x14ac:dyDescent="0.25">
      <c r="A3163" t="s">
        <v>5926</v>
      </c>
      <c r="B3163" t="s">
        <v>5927</v>
      </c>
      <c r="C3163" s="1">
        <v>44083</v>
      </c>
      <c r="D3163" t="b">
        <v>1</v>
      </c>
      <c r="E3163" t="s">
        <v>10</v>
      </c>
      <c r="F3163">
        <v>2654</v>
      </c>
    </row>
    <row r="3164" spans="1:6" x14ac:dyDescent="0.25">
      <c r="A3164" t="s">
        <v>5928</v>
      </c>
      <c r="B3164" t="s">
        <v>5929</v>
      </c>
      <c r="C3164" s="1">
        <v>44083</v>
      </c>
      <c r="D3164" t="b">
        <v>1</v>
      </c>
      <c r="E3164" t="s">
        <v>10</v>
      </c>
      <c r="F3164">
        <v>2658</v>
      </c>
    </row>
    <row r="3165" spans="1:6" x14ac:dyDescent="0.25">
      <c r="A3165" t="s">
        <v>5930</v>
      </c>
      <c r="B3165" t="s">
        <v>5931</v>
      </c>
      <c r="C3165" s="1">
        <v>44083</v>
      </c>
      <c r="D3165" t="b">
        <v>1</v>
      </c>
      <c r="E3165" t="s">
        <v>10</v>
      </c>
      <c r="F3165">
        <v>8547</v>
      </c>
    </row>
    <row r="3166" spans="1:6" x14ac:dyDescent="0.25">
      <c r="A3166" t="s">
        <v>5932</v>
      </c>
      <c r="B3166" t="s">
        <v>5933</v>
      </c>
      <c r="C3166" s="1">
        <v>44083</v>
      </c>
      <c r="D3166" t="b">
        <v>1</v>
      </c>
      <c r="E3166" t="s">
        <v>10</v>
      </c>
      <c r="F3166">
        <v>16827</v>
      </c>
    </row>
    <row r="3167" spans="1:6" x14ac:dyDescent="0.25">
      <c r="A3167" t="s">
        <v>5934</v>
      </c>
      <c r="B3167" t="s">
        <v>5935</v>
      </c>
      <c r="C3167" s="1">
        <v>44083</v>
      </c>
      <c r="D3167" t="b">
        <v>1</v>
      </c>
      <c r="E3167" t="s">
        <v>10</v>
      </c>
      <c r="F3167">
        <v>7786</v>
      </c>
    </row>
    <row r="3168" spans="1:6" x14ac:dyDescent="0.25">
      <c r="A3168" t="s">
        <v>5936</v>
      </c>
      <c r="B3168" t="s">
        <v>5937</v>
      </c>
      <c r="C3168" s="1">
        <v>44083</v>
      </c>
      <c r="D3168" t="b">
        <v>1</v>
      </c>
      <c r="E3168" t="s">
        <v>10</v>
      </c>
      <c r="F3168">
        <v>2660</v>
      </c>
    </row>
    <row r="3169" spans="1:6" x14ac:dyDescent="0.25">
      <c r="A3169" t="s">
        <v>5938</v>
      </c>
      <c r="B3169" t="s">
        <v>5939</v>
      </c>
      <c r="C3169" s="1">
        <v>44083</v>
      </c>
      <c r="D3169" t="b">
        <v>1</v>
      </c>
      <c r="E3169" t="s">
        <v>10</v>
      </c>
      <c r="F3169">
        <v>15654</v>
      </c>
    </row>
    <row r="3170" spans="1:6" x14ac:dyDescent="0.25">
      <c r="A3170" t="s">
        <v>5940</v>
      </c>
      <c r="B3170" t="s">
        <v>5941</v>
      </c>
      <c r="C3170" s="1">
        <v>44083</v>
      </c>
      <c r="D3170" t="b">
        <v>1</v>
      </c>
      <c r="E3170" t="s">
        <v>10</v>
      </c>
      <c r="F3170">
        <v>2661</v>
      </c>
    </row>
    <row r="3171" spans="1:6" x14ac:dyDescent="0.25">
      <c r="A3171" t="s">
        <v>5942</v>
      </c>
      <c r="B3171" t="s">
        <v>5943</v>
      </c>
      <c r="C3171" s="1">
        <v>44083</v>
      </c>
      <c r="D3171" t="b">
        <v>1</v>
      </c>
      <c r="E3171" t="s">
        <v>10</v>
      </c>
      <c r="F3171">
        <v>15199</v>
      </c>
    </row>
    <row r="3172" spans="1:6" x14ac:dyDescent="0.25">
      <c r="A3172" t="s">
        <v>5944</v>
      </c>
      <c r="B3172" t="s">
        <v>5945</v>
      </c>
      <c r="C3172" s="1">
        <v>44083</v>
      </c>
      <c r="D3172" t="b">
        <v>1</v>
      </c>
      <c r="E3172" t="s">
        <v>10</v>
      </c>
      <c r="F3172">
        <v>15467</v>
      </c>
    </row>
    <row r="3173" spans="1:6" x14ac:dyDescent="0.25">
      <c r="A3173" t="s">
        <v>5946</v>
      </c>
      <c r="B3173" t="s">
        <v>5947</v>
      </c>
      <c r="C3173" s="1">
        <v>44083</v>
      </c>
      <c r="D3173" t="b">
        <v>1</v>
      </c>
      <c r="E3173" t="s">
        <v>10</v>
      </c>
      <c r="F3173">
        <v>2662</v>
      </c>
    </row>
    <row r="3174" spans="1:6" x14ac:dyDescent="0.25">
      <c r="A3174" t="s">
        <v>5948</v>
      </c>
      <c r="B3174" t="s">
        <v>5949</v>
      </c>
      <c r="C3174" s="1">
        <v>44083</v>
      </c>
      <c r="D3174" t="b">
        <v>1</v>
      </c>
      <c r="E3174" t="s">
        <v>10</v>
      </c>
      <c r="F3174">
        <v>16401</v>
      </c>
    </row>
    <row r="3175" spans="1:6" x14ac:dyDescent="0.25">
      <c r="A3175" t="s">
        <v>5950</v>
      </c>
      <c r="B3175" t="s">
        <v>5951</v>
      </c>
      <c r="C3175" s="1">
        <v>44083</v>
      </c>
      <c r="D3175" t="b">
        <v>1</v>
      </c>
      <c r="E3175" t="s">
        <v>10</v>
      </c>
      <c r="F3175">
        <v>16187</v>
      </c>
    </row>
    <row r="3176" spans="1:6" x14ac:dyDescent="0.25">
      <c r="A3176" t="s">
        <v>5952</v>
      </c>
      <c r="C3176" s="1">
        <v>44083</v>
      </c>
      <c r="D3176" t="b">
        <v>1</v>
      </c>
      <c r="E3176" t="s">
        <v>10</v>
      </c>
      <c r="F3176">
        <v>16405</v>
      </c>
    </row>
    <row r="3177" spans="1:6" x14ac:dyDescent="0.25">
      <c r="A3177" t="s">
        <v>5953</v>
      </c>
      <c r="B3177" t="s">
        <v>5954</v>
      </c>
      <c r="C3177" s="1">
        <v>44083</v>
      </c>
      <c r="D3177" t="b">
        <v>1</v>
      </c>
      <c r="E3177" t="s">
        <v>10</v>
      </c>
      <c r="F3177">
        <v>2664</v>
      </c>
    </row>
    <row r="3178" spans="1:6" x14ac:dyDescent="0.25">
      <c r="A3178" t="s">
        <v>5955</v>
      </c>
      <c r="B3178" t="s">
        <v>5956</v>
      </c>
      <c r="C3178" s="1">
        <v>44083</v>
      </c>
      <c r="D3178" t="b">
        <v>1</v>
      </c>
      <c r="E3178" t="s">
        <v>10</v>
      </c>
      <c r="F3178">
        <v>17050</v>
      </c>
    </row>
    <row r="3179" spans="1:6" x14ac:dyDescent="0.25">
      <c r="A3179" t="s">
        <v>5957</v>
      </c>
      <c r="B3179" t="s">
        <v>5958</v>
      </c>
      <c r="C3179" s="1">
        <v>44083</v>
      </c>
      <c r="D3179" t="b">
        <v>1</v>
      </c>
      <c r="E3179" t="s">
        <v>10</v>
      </c>
      <c r="F3179">
        <v>8022</v>
      </c>
    </row>
    <row r="3180" spans="1:6" x14ac:dyDescent="0.25">
      <c r="A3180" t="s">
        <v>5959</v>
      </c>
      <c r="B3180" t="s">
        <v>5960</v>
      </c>
      <c r="C3180" s="1">
        <v>44083</v>
      </c>
      <c r="D3180" t="b">
        <v>1</v>
      </c>
      <c r="E3180" t="s">
        <v>10</v>
      </c>
      <c r="F3180">
        <v>2666</v>
      </c>
    </row>
    <row r="3181" spans="1:6" x14ac:dyDescent="0.25">
      <c r="A3181" t="s">
        <v>5961</v>
      </c>
      <c r="B3181" t="s">
        <v>5962</v>
      </c>
      <c r="C3181" s="1">
        <v>44083</v>
      </c>
      <c r="D3181" t="b">
        <v>1</v>
      </c>
      <c r="E3181" t="s">
        <v>10</v>
      </c>
      <c r="F3181">
        <v>10023</v>
      </c>
    </row>
    <row r="3182" spans="1:6" x14ac:dyDescent="0.25">
      <c r="A3182" t="s">
        <v>5963</v>
      </c>
      <c r="B3182" t="s">
        <v>5964</v>
      </c>
      <c r="C3182" s="1">
        <v>44083</v>
      </c>
      <c r="D3182" t="b">
        <v>1</v>
      </c>
      <c r="E3182" t="s">
        <v>10</v>
      </c>
      <c r="F3182">
        <v>2669</v>
      </c>
    </row>
    <row r="3183" spans="1:6" x14ac:dyDescent="0.25">
      <c r="A3183" t="s">
        <v>5965</v>
      </c>
      <c r="B3183" t="s">
        <v>5966</v>
      </c>
      <c r="C3183" s="1">
        <v>44083</v>
      </c>
      <c r="D3183" t="b">
        <v>1</v>
      </c>
      <c r="E3183" t="s">
        <v>10</v>
      </c>
      <c r="F3183">
        <v>2670</v>
      </c>
    </row>
    <row r="3184" spans="1:6" x14ac:dyDescent="0.25">
      <c r="A3184" t="s">
        <v>5967</v>
      </c>
      <c r="B3184" t="s">
        <v>5968</v>
      </c>
      <c r="C3184" s="1">
        <v>44083</v>
      </c>
      <c r="D3184" t="b">
        <v>1</v>
      </c>
      <c r="E3184" t="s">
        <v>10</v>
      </c>
      <c r="F3184">
        <v>2671</v>
      </c>
    </row>
    <row r="3185" spans="1:6" x14ac:dyDescent="0.25">
      <c r="A3185" t="s">
        <v>5969</v>
      </c>
      <c r="B3185" t="s">
        <v>5970</v>
      </c>
      <c r="C3185" s="1">
        <v>44083</v>
      </c>
      <c r="D3185" t="b">
        <v>1</v>
      </c>
      <c r="E3185" t="s">
        <v>10</v>
      </c>
      <c r="F3185">
        <v>15354</v>
      </c>
    </row>
    <row r="3186" spans="1:6" x14ac:dyDescent="0.25">
      <c r="A3186" t="s">
        <v>5971</v>
      </c>
      <c r="B3186" t="s">
        <v>5972</v>
      </c>
      <c r="C3186" s="1">
        <v>44083</v>
      </c>
      <c r="D3186" t="b">
        <v>1</v>
      </c>
      <c r="E3186" t="s">
        <v>10</v>
      </c>
      <c r="F3186">
        <v>15237</v>
      </c>
    </row>
    <row r="3187" spans="1:6" x14ac:dyDescent="0.25">
      <c r="A3187" t="s">
        <v>5973</v>
      </c>
      <c r="C3187" s="1">
        <v>44083</v>
      </c>
      <c r="D3187" t="b">
        <v>1</v>
      </c>
      <c r="E3187" t="s">
        <v>10</v>
      </c>
      <c r="F3187">
        <v>15363</v>
      </c>
    </row>
    <row r="3188" spans="1:6" x14ac:dyDescent="0.25">
      <c r="A3188" t="s">
        <v>5974</v>
      </c>
      <c r="B3188" t="s">
        <v>5975</v>
      </c>
      <c r="C3188" s="1">
        <v>44083</v>
      </c>
      <c r="D3188" t="b">
        <v>1</v>
      </c>
      <c r="E3188" t="s">
        <v>10</v>
      </c>
      <c r="F3188">
        <v>5478</v>
      </c>
    </row>
    <row r="3189" spans="1:6" x14ac:dyDescent="0.25">
      <c r="A3189" t="s">
        <v>5976</v>
      </c>
      <c r="B3189" t="s">
        <v>5977</v>
      </c>
      <c r="C3189" s="1">
        <v>44083</v>
      </c>
      <c r="D3189" t="b">
        <v>1</v>
      </c>
      <c r="E3189" t="s">
        <v>10</v>
      </c>
      <c r="F3189">
        <v>9963</v>
      </c>
    </row>
    <row r="3190" spans="1:6" x14ac:dyDescent="0.25">
      <c r="A3190" t="s">
        <v>5978</v>
      </c>
      <c r="C3190" s="1">
        <v>44083</v>
      </c>
      <c r="D3190" t="b">
        <v>1</v>
      </c>
      <c r="E3190" t="s">
        <v>10</v>
      </c>
      <c r="F3190">
        <v>16088</v>
      </c>
    </row>
    <row r="3191" spans="1:6" x14ac:dyDescent="0.25">
      <c r="A3191" t="s">
        <v>5979</v>
      </c>
      <c r="C3191" s="1">
        <v>44083</v>
      </c>
      <c r="D3191" t="b">
        <v>1</v>
      </c>
      <c r="E3191" t="s">
        <v>10</v>
      </c>
      <c r="F3191">
        <v>16343</v>
      </c>
    </row>
    <row r="3192" spans="1:6" x14ac:dyDescent="0.25">
      <c r="A3192" t="s">
        <v>5980</v>
      </c>
      <c r="B3192" t="s">
        <v>5981</v>
      </c>
      <c r="C3192" s="1">
        <v>44083</v>
      </c>
      <c r="D3192" t="b">
        <v>1</v>
      </c>
      <c r="E3192" t="s">
        <v>10</v>
      </c>
      <c r="F3192">
        <v>2672</v>
      </c>
    </row>
    <row r="3193" spans="1:6" x14ac:dyDescent="0.25">
      <c r="A3193" t="s">
        <v>5982</v>
      </c>
      <c r="B3193" t="s">
        <v>5983</v>
      </c>
      <c r="C3193" s="1">
        <v>44083</v>
      </c>
      <c r="D3193" t="b">
        <v>1</v>
      </c>
      <c r="E3193" t="s">
        <v>10</v>
      </c>
      <c r="F3193">
        <v>14995</v>
      </c>
    </row>
    <row r="3194" spans="1:6" x14ac:dyDescent="0.25">
      <c r="A3194" t="s">
        <v>5984</v>
      </c>
      <c r="B3194" t="s">
        <v>5985</v>
      </c>
      <c r="C3194" s="1">
        <v>44083</v>
      </c>
      <c r="D3194" t="b">
        <v>1</v>
      </c>
      <c r="E3194" t="s">
        <v>10</v>
      </c>
      <c r="F3194">
        <v>2673</v>
      </c>
    </row>
    <row r="3195" spans="1:6" x14ac:dyDescent="0.25">
      <c r="A3195" t="s">
        <v>5986</v>
      </c>
      <c r="B3195" t="s">
        <v>5987</v>
      </c>
      <c r="C3195" s="1">
        <v>44083</v>
      </c>
      <c r="D3195" t="b">
        <v>1</v>
      </c>
      <c r="E3195" t="s">
        <v>10</v>
      </c>
      <c r="F3195">
        <v>14987</v>
      </c>
    </row>
    <row r="3196" spans="1:6" x14ac:dyDescent="0.25">
      <c r="A3196" t="s">
        <v>5988</v>
      </c>
      <c r="B3196" t="s">
        <v>5989</v>
      </c>
      <c r="C3196" s="1">
        <v>44083</v>
      </c>
      <c r="D3196" t="b">
        <v>1</v>
      </c>
      <c r="E3196" t="s">
        <v>10</v>
      </c>
      <c r="F3196">
        <v>8023</v>
      </c>
    </row>
    <row r="3197" spans="1:6" x14ac:dyDescent="0.25">
      <c r="A3197" t="s">
        <v>5990</v>
      </c>
      <c r="B3197" t="s">
        <v>5991</v>
      </c>
      <c r="C3197" s="1">
        <v>44083</v>
      </c>
      <c r="D3197" t="b">
        <v>1</v>
      </c>
      <c r="E3197" t="s">
        <v>10</v>
      </c>
      <c r="F3197">
        <v>2674</v>
      </c>
    </row>
    <row r="3198" spans="1:6" x14ac:dyDescent="0.25">
      <c r="A3198" t="s">
        <v>5992</v>
      </c>
      <c r="B3198" t="s">
        <v>5993</v>
      </c>
      <c r="C3198" s="1">
        <v>44083</v>
      </c>
      <c r="D3198" t="b">
        <v>1</v>
      </c>
      <c r="E3198" t="s">
        <v>10</v>
      </c>
      <c r="F3198">
        <v>2675</v>
      </c>
    </row>
    <row r="3199" spans="1:6" x14ac:dyDescent="0.25">
      <c r="A3199" t="s">
        <v>5994</v>
      </c>
      <c r="B3199" t="s">
        <v>5995</v>
      </c>
      <c r="C3199" s="1">
        <v>44083</v>
      </c>
      <c r="D3199" t="b">
        <v>1</v>
      </c>
      <c r="E3199" t="s">
        <v>10</v>
      </c>
      <c r="F3199">
        <v>6465</v>
      </c>
    </row>
    <row r="3200" spans="1:6" x14ac:dyDescent="0.25">
      <c r="A3200" t="s">
        <v>5996</v>
      </c>
      <c r="B3200" t="s">
        <v>5997</v>
      </c>
      <c r="C3200" s="1">
        <v>44083</v>
      </c>
      <c r="D3200" t="b">
        <v>1</v>
      </c>
      <c r="E3200" t="s">
        <v>10</v>
      </c>
      <c r="F3200">
        <v>8025</v>
      </c>
    </row>
    <row r="3201" spans="1:6" x14ac:dyDescent="0.25">
      <c r="A3201" t="s">
        <v>5998</v>
      </c>
      <c r="B3201" t="s">
        <v>5999</v>
      </c>
      <c r="C3201" s="1">
        <v>44083</v>
      </c>
      <c r="D3201" t="b">
        <v>1</v>
      </c>
      <c r="E3201" t="s">
        <v>10</v>
      </c>
      <c r="F3201">
        <v>8191</v>
      </c>
    </row>
    <row r="3202" spans="1:6" x14ac:dyDescent="0.25">
      <c r="A3202" t="s">
        <v>6000</v>
      </c>
      <c r="B3202" t="s">
        <v>6001</v>
      </c>
      <c r="C3202" s="1">
        <v>44083</v>
      </c>
      <c r="D3202" t="b">
        <v>1</v>
      </c>
      <c r="E3202" t="s">
        <v>10</v>
      </c>
      <c r="F3202">
        <v>16474</v>
      </c>
    </row>
    <row r="3203" spans="1:6" x14ac:dyDescent="0.25">
      <c r="A3203" t="s">
        <v>6002</v>
      </c>
      <c r="B3203" t="s">
        <v>6003</v>
      </c>
      <c r="C3203" s="1">
        <v>44083</v>
      </c>
      <c r="D3203" t="b">
        <v>1</v>
      </c>
      <c r="E3203" t="s">
        <v>10</v>
      </c>
      <c r="F3203">
        <v>16879</v>
      </c>
    </row>
    <row r="3204" spans="1:6" x14ac:dyDescent="0.25">
      <c r="A3204" t="s">
        <v>6004</v>
      </c>
      <c r="B3204" t="s">
        <v>6005</v>
      </c>
      <c r="C3204" s="1">
        <v>44083</v>
      </c>
      <c r="D3204" t="b">
        <v>1</v>
      </c>
      <c r="E3204" t="s">
        <v>10</v>
      </c>
      <c r="F3204">
        <v>12307</v>
      </c>
    </row>
    <row r="3205" spans="1:6" x14ac:dyDescent="0.25">
      <c r="A3205" t="s">
        <v>6006</v>
      </c>
      <c r="B3205" t="s">
        <v>6007</v>
      </c>
      <c r="C3205" s="1">
        <v>44083</v>
      </c>
      <c r="D3205" t="b">
        <v>1</v>
      </c>
      <c r="E3205" t="s">
        <v>10</v>
      </c>
      <c r="F3205">
        <v>2677</v>
      </c>
    </row>
    <row r="3206" spans="1:6" x14ac:dyDescent="0.25">
      <c r="A3206" t="s">
        <v>6008</v>
      </c>
      <c r="B3206" t="s">
        <v>6009</v>
      </c>
      <c r="C3206" s="1">
        <v>44083</v>
      </c>
      <c r="D3206" t="b">
        <v>1</v>
      </c>
      <c r="E3206" t="s">
        <v>10</v>
      </c>
      <c r="F3206">
        <v>8192</v>
      </c>
    </row>
    <row r="3207" spans="1:6" x14ac:dyDescent="0.25">
      <c r="A3207" t="s">
        <v>6010</v>
      </c>
      <c r="B3207" t="s">
        <v>6011</v>
      </c>
      <c r="C3207" s="1">
        <v>44083</v>
      </c>
      <c r="D3207" t="b">
        <v>1</v>
      </c>
      <c r="E3207" t="s">
        <v>10</v>
      </c>
      <c r="F3207">
        <v>9230</v>
      </c>
    </row>
    <row r="3208" spans="1:6" x14ac:dyDescent="0.25">
      <c r="A3208" t="s">
        <v>6012</v>
      </c>
      <c r="B3208" t="s">
        <v>6013</v>
      </c>
      <c r="C3208" s="1">
        <v>44083</v>
      </c>
      <c r="D3208" t="b">
        <v>1</v>
      </c>
      <c r="E3208" t="s">
        <v>10</v>
      </c>
      <c r="F3208">
        <v>2678</v>
      </c>
    </row>
    <row r="3209" spans="1:6" x14ac:dyDescent="0.25">
      <c r="A3209" t="s">
        <v>6014</v>
      </c>
      <c r="B3209" t="s">
        <v>6015</v>
      </c>
      <c r="C3209" s="1">
        <v>44083</v>
      </c>
      <c r="D3209" t="b">
        <v>1</v>
      </c>
      <c r="E3209" t="s">
        <v>10</v>
      </c>
      <c r="F3209">
        <v>17075</v>
      </c>
    </row>
    <row r="3210" spans="1:6" x14ac:dyDescent="0.25">
      <c r="A3210" t="s">
        <v>6016</v>
      </c>
      <c r="B3210" t="s">
        <v>6017</v>
      </c>
      <c r="C3210" s="1">
        <v>44083</v>
      </c>
      <c r="D3210" t="b">
        <v>1</v>
      </c>
      <c r="E3210" t="s">
        <v>10</v>
      </c>
      <c r="F3210">
        <v>1566</v>
      </c>
    </row>
    <row r="3211" spans="1:6" x14ac:dyDescent="0.25">
      <c r="A3211" t="s">
        <v>6018</v>
      </c>
      <c r="B3211" t="s">
        <v>6019</v>
      </c>
      <c r="C3211" s="1">
        <v>44083</v>
      </c>
      <c r="D3211" t="b">
        <v>1</v>
      </c>
      <c r="E3211" t="s">
        <v>10</v>
      </c>
      <c r="F3211">
        <v>11965</v>
      </c>
    </row>
    <row r="3212" spans="1:6" x14ac:dyDescent="0.25">
      <c r="A3212" t="s">
        <v>6020</v>
      </c>
      <c r="B3212" t="s">
        <v>6021</v>
      </c>
      <c r="C3212" s="1">
        <v>44083</v>
      </c>
      <c r="D3212" t="b">
        <v>1</v>
      </c>
      <c r="E3212" t="s">
        <v>10</v>
      </c>
      <c r="F3212">
        <v>8108</v>
      </c>
    </row>
    <row r="3213" spans="1:6" x14ac:dyDescent="0.25">
      <c r="A3213" t="s">
        <v>6022</v>
      </c>
      <c r="B3213" t="s">
        <v>6023</v>
      </c>
      <c r="C3213" s="1">
        <v>44083</v>
      </c>
      <c r="D3213" t="b">
        <v>1</v>
      </c>
      <c r="E3213" t="s">
        <v>10</v>
      </c>
      <c r="F3213">
        <v>13677</v>
      </c>
    </row>
    <row r="3214" spans="1:6" x14ac:dyDescent="0.25">
      <c r="A3214" t="s">
        <v>6024</v>
      </c>
      <c r="B3214" t="s">
        <v>6025</v>
      </c>
      <c r="C3214" s="1">
        <v>44083</v>
      </c>
      <c r="D3214" t="b">
        <v>1</v>
      </c>
      <c r="E3214" t="s">
        <v>10</v>
      </c>
      <c r="F3214">
        <v>2680</v>
      </c>
    </row>
    <row r="3215" spans="1:6" x14ac:dyDescent="0.25">
      <c r="A3215" t="s">
        <v>6026</v>
      </c>
      <c r="B3215" t="s">
        <v>6027</v>
      </c>
      <c r="C3215" s="1">
        <v>44083</v>
      </c>
      <c r="D3215" t="b">
        <v>1</v>
      </c>
      <c r="E3215" t="s">
        <v>10</v>
      </c>
      <c r="F3215">
        <v>9119</v>
      </c>
    </row>
    <row r="3216" spans="1:6" x14ac:dyDescent="0.25">
      <c r="A3216" t="s">
        <v>6028</v>
      </c>
      <c r="B3216" t="s">
        <v>6029</v>
      </c>
      <c r="C3216" s="1">
        <v>44083</v>
      </c>
      <c r="D3216" t="b">
        <v>1</v>
      </c>
      <c r="E3216" t="s">
        <v>10</v>
      </c>
      <c r="F3216">
        <v>11474</v>
      </c>
    </row>
    <row r="3217" spans="1:6" x14ac:dyDescent="0.25">
      <c r="A3217" t="s">
        <v>6030</v>
      </c>
      <c r="C3217" s="1">
        <v>44083</v>
      </c>
      <c r="D3217" t="b">
        <v>1</v>
      </c>
      <c r="E3217" t="s">
        <v>10</v>
      </c>
      <c r="F3217">
        <v>14807</v>
      </c>
    </row>
    <row r="3218" spans="1:6" x14ac:dyDescent="0.25">
      <c r="A3218" t="s">
        <v>6031</v>
      </c>
      <c r="B3218" t="s">
        <v>6032</v>
      </c>
      <c r="C3218" s="1">
        <v>44083</v>
      </c>
      <c r="D3218" t="b">
        <v>1</v>
      </c>
      <c r="E3218" t="s">
        <v>10</v>
      </c>
      <c r="F3218">
        <v>11849</v>
      </c>
    </row>
    <row r="3219" spans="1:6" x14ac:dyDescent="0.25">
      <c r="A3219" t="s">
        <v>6033</v>
      </c>
      <c r="B3219" t="s">
        <v>6034</v>
      </c>
      <c r="C3219" s="1">
        <v>44083</v>
      </c>
      <c r="D3219" t="b">
        <v>1</v>
      </c>
      <c r="E3219" t="s">
        <v>10</v>
      </c>
      <c r="F3219">
        <v>11850</v>
      </c>
    </row>
    <row r="3220" spans="1:6" x14ac:dyDescent="0.25">
      <c r="A3220" t="s">
        <v>6035</v>
      </c>
      <c r="B3220" t="s">
        <v>6036</v>
      </c>
      <c r="C3220" s="1">
        <v>44083</v>
      </c>
      <c r="D3220" t="b">
        <v>1</v>
      </c>
      <c r="E3220" t="s">
        <v>10</v>
      </c>
      <c r="F3220">
        <v>11851</v>
      </c>
    </row>
    <row r="3221" spans="1:6" x14ac:dyDescent="0.25">
      <c r="A3221" t="s">
        <v>6037</v>
      </c>
      <c r="B3221" t="s">
        <v>6038</v>
      </c>
      <c r="C3221" s="1">
        <v>44083</v>
      </c>
      <c r="D3221" t="b">
        <v>1</v>
      </c>
      <c r="E3221" t="s">
        <v>10</v>
      </c>
      <c r="F3221">
        <v>11852</v>
      </c>
    </row>
    <row r="3222" spans="1:6" x14ac:dyDescent="0.25">
      <c r="A3222" t="s">
        <v>6039</v>
      </c>
      <c r="B3222" t="s">
        <v>6040</v>
      </c>
      <c r="C3222" s="1">
        <v>44083</v>
      </c>
      <c r="D3222" t="b">
        <v>1</v>
      </c>
      <c r="E3222" t="s">
        <v>10</v>
      </c>
      <c r="F3222">
        <v>11853</v>
      </c>
    </row>
    <row r="3223" spans="1:6" x14ac:dyDescent="0.25">
      <c r="A3223" t="s">
        <v>6041</v>
      </c>
      <c r="B3223" t="s">
        <v>6042</v>
      </c>
      <c r="C3223" s="1">
        <v>44083</v>
      </c>
      <c r="D3223" t="b">
        <v>1</v>
      </c>
      <c r="E3223" t="s">
        <v>10</v>
      </c>
      <c r="F3223">
        <v>11854</v>
      </c>
    </row>
    <row r="3224" spans="1:6" x14ac:dyDescent="0.25">
      <c r="A3224" t="s">
        <v>6043</v>
      </c>
      <c r="B3224" t="s">
        <v>6044</v>
      </c>
      <c r="C3224" s="1">
        <v>44083</v>
      </c>
      <c r="D3224" t="b">
        <v>1</v>
      </c>
      <c r="E3224" t="s">
        <v>10</v>
      </c>
      <c r="F3224">
        <v>11855</v>
      </c>
    </row>
    <row r="3225" spans="1:6" x14ac:dyDescent="0.25">
      <c r="A3225" t="s">
        <v>6045</v>
      </c>
      <c r="B3225" t="s">
        <v>6046</v>
      </c>
      <c r="C3225" s="1">
        <v>44083</v>
      </c>
      <c r="D3225" t="b">
        <v>1</v>
      </c>
      <c r="E3225" t="s">
        <v>10</v>
      </c>
      <c r="F3225">
        <v>2686</v>
      </c>
    </row>
    <row r="3226" spans="1:6" x14ac:dyDescent="0.25">
      <c r="A3226" t="s">
        <v>6047</v>
      </c>
      <c r="B3226" t="s">
        <v>6048</v>
      </c>
      <c r="C3226" s="1">
        <v>44083</v>
      </c>
      <c r="D3226" t="b">
        <v>1</v>
      </c>
      <c r="E3226" t="s">
        <v>10</v>
      </c>
      <c r="F3226">
        <v>2687</v>
      </c>
    </row>
    <row r="3227" spans="1:6" x14ac:dyDescent="0.25">
      <c r="A3227" t="s">
        <v>6049</v>
      </c>
      <c r="B3227" t="s">
        <v>6050</v>
      </c>
      <c r="C3227" s="1">
        <v>44083</v>
      </c>
      <c r="D3227" t="b">
        <v>1</v>
      </c>
      <c r="E3227" t="s">
        <v>10</v>
      </c>
      <c r="F3227">
        <v>2688</v>
      </c>
    </row>
    <row r="3228" spans="1:6" x14ac:dyDescent="0.25">
      <c r="A3228" t="s">
        <v>6051</v>
      </c>
      <c r="B3228" t="s">
        <v>6052</v>
      </c>
      <c r="C3228" s="1">
        <v>44083</v>
      </c>
      <c r="D3228" t="b">
        <v>1</v>
      </c>
      <c r="E3228" t="s">
        <v>10</v>
      </c>
      <c r="F3228">
        <v>15865</v>
      </c>
    </row>
    <row r="3229" spans="1:6" x14ac:dyDescent="0.25">
      <c r="A3229" t="s">
        <v>6053</v>
      </c>
      <c r="B3229" t="s">
        <v>6054</v>
      </c>
      <c r="C3229" s="1">
        <v>44083</v>
      </c>
      <c r="D3229" t="b">
        <v>1</v>
      </c>
      <c r="E3229" t="s">
        <v>10</v>
      </c>
      <c r="F3229">
        <v>2691</v>
      </c>
    </row>
    <row r="3230" spans="1:6" x14ac:dyDescent="0.25">
      <c r="A3230" t="s">
        <v>6055</v>
      </c>
      <c r="B3230" t="s">
        <v>6056</v>
      </c>
      <c r="C3230" s="1">
        <v>44083</v>
      </c>
      <c r="D3230" t="b">
        <v>1</v>
      </c>
      <c r="E3230" t="s">
        <v>10</v>
      </c>
      <c r="F3230">
        <v>15200</v>
      </c>
    </row>
    <row r="3231" spans="1:6" x14ac:dyDescent="0.25">
      <c r="A3231" t="s">
        <v>6057</v>
      </c>
      <c r="B3231" t="s">
        <v>6058</v>
      </c>
      <c r="C3231" s="1">
        <v>44083</v>
      </c>
      <c r="D3231" t="b">
        <v>1</v>
      </c>
      <c r="E3231" t="s">
        <v>10</v>
      </c>
      <c r="F3231">
        <v>2692</v>
      </c>
    </row>
    <row r="3232" spans="1:6" x14ac:dyDescent="0.25">
      <c r="A3232" t="s">
        <v>6059</v>
      </c>
      <c r="B3232" t="s">
        <v>6060</v>
      </c>
      <c r="C3232" s="1">
        <v>44083</v>
      </c>
      <c r="D3232" t="b">
        <v>1</v>
      </c>
      <c r="E3232" t="s">
        <v>10</v>
      </c>
      <c r="F3232">
        <v>2693</v>
      </c>
    </row>
    <row r="3233" spans="1:6" x14ac:dyDescent="0.25">
      <c r="A3233" t="s">
        <v>6061</v>
      </c>
      <c r="B3233" t="s">
        <v>6062</v>
      </c>
      <c r="C3233" s="1">
        <v>44083</v>
      </c>
      <c r="D3233" t="b">
        <v>1</v>
      </c>
      <c r="E3233" t="s">
        <v>10</v>
      </c>
      <c r="F3233">
        <v>2694</v>
      </c>
    </row>
    <row r="3234" spans="1:6" x14ac:dyDescent="0.25">
      <c r="A3234" t="s">
        <v>6063</v>
      </c>
      <c r="B3234" t="s">
        <v>6064</v>
      </c>
      <c r="C3234" s="1">
        <v>44083</v>
      </c>
      <c r="D3234" t="b">
        <v>0</v>
      </c>
      <c r="E3234" t="s">
        <v>10</v>
      </c>
      <c r="F3234">
        <v>17109</v>
      </c>
    </row>
    <row r="3235" spans="1:6" x14ac:dyDescent="0.25">
      <c r="A3235" t="s">
        <v>6065</v>
      </c>
      <c r="B3235" t="s">
        <v>6066</v>
      </c>
      <c r="C3235" s="1">
        <v>44083</v>
      </c>
      <c r="D3235" t="b">
        <v>1</v>
      </c>
      <c r="E3235" t="s">
        <v>10</v>
      </c>
      <c r="F3235">
        <v>7149</v>
      </c>
    </row>
    <row r="3236" spans="1:6" x14ac:dyDescent="0.25">
      <c r="A3236" t="s">
        <v>6067</v>
      </c>
      <c r="B3236" t="s">
        <v>6068</v>
      </c>
      <c r="C3236" s="1">
        <v>44083</v>
      </c>
      <c r="D3236" t="b">
        <v>1</v>
      </c>
      <c r="E3236" t="s">
        <v>10</v>
      </c>
      <c r="F3236">
        <v>17076</v>
      </c>
    </row>
    <row r="3237" spans="1:6" x14ac:dyDescent="0.25">
      <c r="A3237" t="s">
        <v>6069</v>
      </c>
      <c r="C3237" s="1">
        <v>44083</v>
      </c>
      <c r="D3237" t="b">
        <v>1</v>
      </c>
      <c r="E3237" t="s">
        <v>10</v>
      </c>
      <c r="F3237">
        <v>17090</v>
      </c>
    </row>
    <row r="3238" spans="1:6" x14ac:dyDescent="0.25">
      <c r="A3238" t="s">
        <v>6070</v>
      </c>
      <c r="B3238" t="s">
        <v>6071</v>
      </c>
      <c r="C3238" s="1">
        <v>44083</v>
      </c>
      <c r="D3238" t="b">
        <v>1</v>
      </c>
      <c r="E3238" t="s">
        <v>10</v>
      </c>
      <c r="F3238">
        <v>16797</v>
      </c>
    </row>
    <row r="3239" spans="1:6" x14ac:dyDescent="0.25">
      <c r="A3239" t="s">
        <v>6072</v>
      </c>
      <c r="B3239" t="s">
        <v>6073</v>
      </c>
      <c r="C3239" s="1">
        <v>44083</v>
      </c>
      <c r="D3239" t="b">
        <v>1</v>
      </c>
      <c r="E3239" t="s">
        <v>10</v>
      </c>
      <c r="F3239">
        <v>16794</v>
      </c>
    </row>
    <row r="3240" spans="1:6" x14ac:dyDescent="0.25">
      <c r="A3240" t="s">
        <v>6074</v>
      </c>
      <c r="B3240" t="s">
        <v>6075</v>
      </c>
      <c r="C3240" s="1">
        <v>44083</v>
      </c>
      <c r="D3240" t="b">
        <v>1</v>
      </c>
      <c r="E3240" t="s">
        <v>10</v>
      </c>
      <c r="F3240">
        <v>11075</v>
      </c>
    </row>
    <row r="3241" spans="1:6" x14ac:dyDescent="0.25">
      <c r="A3241" t="s">
        <v>6076</v>
      </c>
      <c r="B3241" t="s">
        <v>6077</v>
      </c>
      <c r="C3241" s="1">
        <v>44083</v>
      </c>
      <c r="D3241" t="b">
        <v>1</v>
      </c>
      <c r="E3241" t="s">
        <v>10</v>
      </c>
      <c r="F3241">
        <v>15345</v>
      </c>
    </row>
    <row r="3242" spans="1:6" x14ac:dyDescent="0.25">
      <c r="A3242" t="s">
        <v>6078</v>
      </c>
      <c r="B3242" t="s">
        <v>6079</v>
      </c>
      <c r="C3242" s="1">
        <v>44083</v>
      </c>
      <c r="D3242" t="b">
        <v>1</v>
      </c>
      <c r="E3242" t="s">
        <v>10</v>
      </c>
      <c r="F3242">
        <v>8033</v>
      </c>
    </row>
    <row r="3243" spans="1:6" x14ac:dyDescent="0.25">
      <c r="A3243" t="s">
        <v>6080</v>
      </c>
      <c r="B3243" t="s">
        <v>6081</v>
      </c>
      <c r="C3243" s="1">
        <v>44083</v>
      </c>
      <c r="D3243" t="b">
        <v>1</v>
      </c>
      <c r="E3243" t="s">
        <v>10</v>
      </c>
      <c r="F3243">
        <v>13408</v>
      </c>
    </row>
    <row r="3244" spans="1:6" x14ac:dyDescent="0.25">
      <c r="A3244" t="s">
        <v>6082</v>
      </c>
      <c r="B3244" t="s">
        <v>6083</v>
      </c>
      <c r="C3244" s="1">
        <v>44083</v>
      </c>
      <c r="D3244" t="b">
        <v>1</v>
      </c>
      <c r="E3244" t="s">
        <v>10</v>
      </c>
      <c r="F3244">
        <v>8322</v>
      </c>
    </row>
    <row r="3245" spans="1:6" x14ac:dyDescent="0.25">
      <c r="A3245" t="s">
        <v>6084</v>
      </c>
      <c r="B3245" t="s">
        <v>6085</v>
      </c>
      <c r="C3245" s="1">
        <v>44083</v>
      </c>
      <c r="D3245" t="b">
        <v>1</v>
      </c>
      <c r="E3245" t="s">
        <v>10</v>
      </c>
      <c r="F3245">
        <v>16846</v>
      </c>
    </row>
    <row r="3246" spans="1:6" x14ac:dyDescent="0.25">
      <c r="A3246" t="s">
        <v>6086</v>
      </c>
      <c r="C3246" s="1">
        <v>44083</v>
      </c>
      <c r="D3246" t="b">
        <v>1</v>
      </c>
      <c r="E3246" t="s">
        <v>10</v>
      </c>
      <c r="F3246">
        <v>16866</v>
      </c>
    </row>
    <row r="3247" spans="1:6" x14ac:dyDescent="0.25">
      <c r="A3247" t="s">
        <v>6087</v>
      </c>
      <c r="B3247" t="s">
        <v>6088</v>
      </c>
      <c r="C3247" s="1">
        <v>44083</v>
      </c>
      <c r="D3247" t="b">
        <v>1</v>
      </c>
      <c r="E3247" t="s">
        <v>10</v>
      </c>
      <c r="F3247">
        <v>16604</v>
      </c>
    </row>
    <row r="3248" spans="1:6" x14ac:dyDescent="0.25">
      <c r="A3248" t="s">
        <v>6089</v>
      </c>
      <c r="B3248" t="s">
        <v>6090</v>
      </c>
      <c r="C3248" s="1">
        <v>44083</v>
      </c>
      <c r="D3248" t="b">
        <v>1</v>
      </c>
      <c r="E3248" t="s">
        <v>10</v>
      </c>
      <c r="F3248">
        <v>11824</v>
      </c>
    </row>
    <row r="3249" spans="1:6" x14ac:dyDescent="0.25">
      <c r="A3249" t="s">
        <v>6091</v>
      </c>
      <c r="B3249" t="s">
        <v>6092</v>
      </c>
      <c r="C3249" s="1">
        <v>44083</v>
      </c>
      <c r="D3249" t="b">
        <v>1</v>
      </c>
      <c r="E3249" t="s">
        <v>10</v>
      </c>
      <c r="F3249">
        <v>11127</v>
      </c>
    </row>
    <row r="3250" spans="1:6" x14ac:dyDescent="0.25">
      <c r="A3250" t="s">
        <v>6093</v>
      </c>
      <c r="B3250" t="s">
        <v>6094</v>
      </c>
      <c r="C3250" s="1">
        <v>44083</v>
      </c>
      <c r="D3250" t="b">
        <v>1</v>
      </c>
      <c r="E3250" t="s">
        <v>10</v>
      </c>
      <c r="F3250">
        <v>15021</v>
      </c>
    </row>
    <row r="3251" spans="1:6" x14ac:dyDescent="0.25">
      <c r="A3251" t="s">
        <v>6095</v>
      </c>
      <c r="B3251" t="s">
        <v>6096</v>
      </c>
      <c r="C3251" s="1">
        <v>44083</v>
      </c>
      <c r="D3251" t="b">
        <v>1</v>
      </c>
      <c r="E3251" t="s">
        <v>10</v>
      </c>
      <c r="F3251">
        <v>2698</v>
      </c>
    </row>
    <row r="3252" spans="1:6" x14ac:dyDescent="0.25">
      <c r="A3252" t="s">
        <v>6097</v>
      </c>
      <c r="B3252" t="s">
        <v>6098</v>
      </c>
      <c r="C3252" s="1">
        <v>44083</v>
      </c>
      <c r="D3252" t="b">
        <v>1</v>
      </c>
      <c r="E3252" t="s">
        <v>10</v>
      </c>
      <c r="F3252">
        <v>2699</v>
      </c>
    </row>
    <row r="3253" spans="1:6" x14ac:dyDescent="0.25">
      <c r="A3253" t="s">
        <v>6099</v>
      </c>
      <c r="B3253" t="s">
        <v>6100</v>
      </c>
      <c r="C3253" s="1">
        <v>44083</v>
      </c>
      <c r="D3253" t="b">
        <v>1</v>
      </c>
      <c r="E3253" t="s">
        <v>10</v>
      </c>
      <c r="F3253">
        <v>2701</v>
      </c>
    </row>
    <row r="3254" spans="1:6" x14ac:dyDescent="0.25">
      <c r="A3254" t="s">
        <v>6101</v>
      </c>
      <c r="B3254" t="s">
        <v>6102</v>
      </c>
      <c r="C3254" s="1">
        <v>44083</v>
      </c>
      <c r="D3254" t="b">
        <v>1</v>
      </c>
      <c r="E3254" t="s">
        <v>10</v>
      </c>
      <c r="F3254">
        <v>15736</v>
      </c>
    </row>
    <row r="3255" spans="1:6" x14ac:dyDescent="0.25">
      <c r="A3255" t="s">
        <v>6103</v>
      </c>
      <c r="B3255" t="s">
        <v>6104</v>
      </c>
      <c r="C3255" s="1">
        <v>44083</v>
      </c>
      <c r="D3255" t="b">
        <v>1</v>
      </c>
      <c r="E3255" t="s">
        <v>10</v>
      </c>
      <c r="F3255">
        <v>2702</v>
      </c>
    </row>
    <row r="3256" spans="1:6" x14ac:dyDescent="0.25">
      <c r="A3256" t="s">
        <v>6105</v>
      </c>
      <c r="B3256" t="s">
        <v>6106</v>
      </c>
      <c r="C3256" s="1">
        <v>44083</v>
      </c>
      <c r="D3256" t="b">
        <v>1</v>
      </c>
      <c r="E3256" t="s">
        <v>10</v>
      </c>
      <c r="F3256">
        <v>11256</v>
      </c>
    </row>
    <row r="3257" spans="1:6" x14ac:dyDescent="0.25">
      <c r="A3257" t="s">
        <v>6107</v>
      </c>
      <c r="B3257" t="s">
        <v>6108</v>
      </c>
      <c r="C3257" s="1">
        <v>44083</v>
      </c>
      <c r="D3257" t="b">
        <v>1</v>
      </c>
      <c r="E3257" t="s">
        <v>10</v>
      </c>
      <c r="F3257">
        <v>11257</v>
      </c>
    </row>
    <row r="3258" spans="1:6" x14ac:dyDescent="0.25">
      <c r="A3258" t="s">
        <v>6109</v>
      </c>
      <c r="B3258" t="s">
        <v>6110</v>
      </c>
      <c r="C3258" s="1">
        <v>44083</v>
      </c>
      <c r="D3258" t="b">
        <v>1</v>
      </c>
      <c r="E3258" t="s">
        <v>10</v>
      </c>
      <c r="F3258">
        <v>9346</v>
      </c>
    </row>
    <row r="3259" spans="1:6" x14ac:dyDescent="0.25">
      <c r="A3259" t="s">
        <v>6111</v>
      </c>
      <c r="B3259" t="s">
        <v>6112</v>
      </c>
      <c r="C3259" s="1">
        <v>44083</v>
      </c>
      <c r="D3259" t="b">
        <v>1</v>
      </c>
      <c r="E3259" t="s">
        <v>10</v>
      </c>
      <c r="F3259">
        <v>2707</v>
      </c>
    </row>
    <row r="3260" spans="1:6" x14ac:dyDescent="0.25">
      <c r="A3260" t="s">
        <v>6113</v>
      </c>
      <c r="B3260" t="s">
        <v>6114</v>
      </c>
      <c r="C3260" s="1">
        <v>44083</v>
      </c>
      <c r="D3260" t="b">
        <v>1</v>
      </c>
      <c r="E3260" t="s">
        <v>10</v>
      </c>
      <c r="F3260">
        <v>2709</v>
      </c>
    </row>
    <row r="3261" spans="1:6" x14ac:dyDescent="0.25">
      <c r="A3261" t="s">
        <v>6115</v>
      </c>
      <c r="B3261" t="s">
        <v>6116</v>
      </c>
      <c r="C3261" s="1">
        <v>44083</v>
      </c>
      <c r="D3261" t="b">
        <v>1</v>
      </c>
      <c r="E3261" t="s">
        <v>10</v>
      </c>
      <c r="F3261">
        <v>2710</v>
      </c>
    </row>
    <row r="3262" spans="1:6" x14ac:dyDescent="0.25">
      <c r="A3262" t="s">
        <v>6117</v>
      </c>
      <c r="B3262" t="s">
        <v>6118</v>
      </c>
      <c r="C3262" s="1">
        <v>44083</v>
      </c>
      <c r="D3262" t="b">
        <v>1</v>
      </c>
      <c r="E3262" t="s">
        <v>10</v>
      </c>
      <c r="F3262">
        <v>2711</v>
      </c>
    </row>
    <row r="3263" spans="1:6" x14ac:dyDescent="0.25">
      <c r="A3263" t="s">
        <v>6119</v>
      </c>
      <c r="B3263" t="s">
        <v>6120</v>
      </c>
      <c r="C3263" s="1">
        <v>44083</v>
      </c>
      <c r="D3263" t="b">
        <v>1</v>
      </c>
      <c r="E3263" t="s">
        <v>10</v>
      </c>
      <c r="F3263">
        <v>2715</v>
      </c>
    </row>
    <row r="3264" spans="1:6" x14ac:dyDescent="0.25">
      <c r="A3264" t="s">
        <v>6121</v>
      </c>
      <c r="B3264" t="s">
        <v>6122</v>
      </c>
      <c r="C3264" s="1">
        <v>44083</v>
      </c>
      <c r="D3264" t="b">
        <v>1</v>
      </c>
      <c r="E3264" t="s">
        <v>10</v>
      </c>
      <c r="F3264">
        <v>2716</v>
      </c>
    </row>
    <row r="3265" spans="1:6" x14ac:dyDescent="0.25">
      <c r="A3265" t="s">
        <v>6123</v>
      </c>
      <c r="B3265" t="s">
        <v>6124</v>
      </c>
      <c r="C3265" s="1">
        <v>44083</v>
      </c>
      <c r="D3265" t="b">
        <v>1</v>
      </c>
      <c r="E3265" t="s">
        <v>10</v>
      </c>
      <c r="F3265">
        <v>2718</v>
      </c>
    </row>
    <row r="3266" spans="1:6" x14ac:dyDescent="0.25">
      <c r="A3266" t="s">
        <v>6125</v>
      </c>
      <c r="B3266" t="s">
        <v>6126</v>
      </c>
      <c r="C3266" s="1">
        <v>44083</v>
      </c>
      <c r="D3266" t="b">
        <v>1</v>
      </c>
      <c r="E3266" t="s">
        <v>10</v>
      </c>
      <c r="F3266">
        <v>2719</v>
      </c>
    </row>
    <row r="3267" spans="1:6" x14ac:dyDescent="0.25">
      <c r="A3267" t="s">
        <v>6127</v>
      </c>
      <c r="B3267" t="s">
        <v>6128</v>
      </c>
      <c r="C3267" s="1">
        <v>44083</v>
      </c>
      <c r="D3267" t="b">
        <v>1</v>
      </c>
      <c r="E3267" t="s">
        <v>10</v>
      </c>
      <c r="F3267">
        <v>2720</v>
      </c>
    </row>
    <row r="3268" spans="1:6" x14ac:dyDescent="0.25">
      <c r="A3268" t="s">
        <v>6129</v>
      </c>
      <c r="B3268" t="s">
        <v>6130</v>
      </c>
      <c r="C3268" s="1">
        <v>44083</v>
      </c>
      <c r="D3268" t="b">
        <v>1</v>
      </c>
      <c r="E3268" t="s">
        <v>10</v>
      </c>
      <c r="F3268">
        <v>2721</v>
      </c>
    </row>
    <row r="3269" spans="1:6" x14ac:dyDescent="0.25">
      <c r="A3269" t="s">
        <v>6131</v>
      </c>
      <c r="B3269" t="s">
        <v>6132</v>
      </c>
      <c r="C3269" s="1">
        <v>44083</v>
      </c>
      <c r="D3269" t="b">
        <v>1</v>
      </c>
      <c r="E3269" t="s">
        <v>10</v>
      </c>
      <c r="F3269">
        <v>2722</v>
      </c>
    </row>
    <row r="3270" spans="1:6" x14ac:dyDescent="0.25">
      <c r="A3270" t="s">
        <v>6133</v>
      </c>
      <c r="B3270" t="s">
        <v>6134</v>
      </c>
      <c r="C3270" s="1">
        <v>44083</v>
      </c>
      <c r="D3270" t="b">
        <v>1</v>
      </c>
      <c r="E3270" t="s">
        <v>10</v>
      </c>
      <c r="F3270">
        <v>2723</v>
      </c>
    </row>
    <row r="3271" spans="1:6" x14ac:dyDescent="0.25">
      <c r="A3271" t="s">
        <v>6135</v>
      </c>
      <c r="B3271" t="s">
        <v>6136</v>
      </c>
      <c r="C3271" s="1">
        <v>44083</v>
      </c>
      <c r="D3271" t="b">
        <v>1</v>
      </c>
      <c r="E3271" t="s">
        <v>10</v>
      </c>
      <c r="F3271">
        <v>15649</v>
      </c>
    </row>
    <row r="3272" spans="1:6" x14ac:dyDescent="0.25">
      <c r="A3272" t="s">
        <v>6137</v>
      </c>
      <c r="B3272" t="s">
        <v>6138</v>
      </c>
      <c r="C3272" s="1">
        <v>44083</v>
      </c>
      <c r="D3272" t="b">
        <v>1</v>
      </c>
      <c r="E3272" t="s">
        <v>10</v>
      </c>
      <c r="F3272">
        <v>2724</v>
      </c>
    </row>
    <row r="3273" spans="1:6" x14ac:dyDescent="0.25">
      <c r="A3273" t="s">
        <v>6139</v>
      </c>
      <c r="B3273" t="s">
        <v>6140</v>
      </c>
      <c r="C3273" s="1">
        <v>44083</v>
      </c>
      <c r="D3273" t="b">
        <v>1</v>
      </c>
      <c r="E3273" t="s">
        <v>10</v>
      </c>
      <c r="F3273">
        <v>2725</v>
      </c>
    </row>
    <row r="3274" spans="1:6" x14ac:dyDescent="0.25">
      <c r="A3274" t="s">
        <v>6141</v>
      </c>
      <c r="B3274" t="s">
        <v>6142</v>
      </c>
      <c r="C3274" s="1">
        <v>44083</v>
      </c>
      <c r="D3274" t="b">
        <v>1</v>
      </c>
      <c r="E3274" t="s">
        <v>10</v>
      </c>
      <c r="F3274">
        <v>2726</v>
      </c>
    </row>
    <row r="3275" spans="1:6" x14ac:dyDescent="0.25">
      <c r="A3275" t="s">
        <v>6143</v>
      </c>
      <c r="B3275" t="s">
        <v>6144</v>
      </c>
      <c r="C3275" s="1">
        <v>44083</v>
      </c>
      <c r="D3275" t="b">
        <v>1</v>
      </c>
      <c r="E3275" t="s">
        <v>10</v>
      </c>
      <c r="F3275">
        <v>2729</v>
      </c>
    </row>
    <row r="3276" spans="1:6" x14ac:dyDescent="0.25">
      <c r="A3276" t="s">
        <v>6145</v>
      </c>
      <c r="B3276" t="s">
        <v>6146</v>
      </c>
      <c r="C3276" s="1">
        <v>44083</v>
      </c>
      <c r="D3276" t="b">
        <v>1</v>
      </c>
      <c r="E3276" t="s">
        <v>10</v>
      </c>
      <c r="F3276">
        <v>2730</v>
      </c>
    </row>
    <row r="3277" spans="1:6" x14ac:dyDescent="0.25">
      <c r="A3277" t="s">
        <v>6147</v>
      </c>
      <c r="B3277" t="s">
        <v>6148</v>
      </c>
      <c r="C3277" s="1">
        <v>44083</v>
      </c>
      <c r="D3277" t="b">
        <v>1</v>
      </c>
      <c r="E3277" t="s">
        <v>10</v>
      </c>
      <c r="F3277">
        <v>2731</v>
      </c>
    </row>
    <row r="3278" spans="1:6" x14ac:dyDescent="0.25">
      <c r="A3278" t="s">
        <v>6149</v>
      </c>
      <c r="B3278" t="s">
        <v>6150</v>
      </c>
      <c r="C3278" s="1">
        <v>44083</v>
      </c>
      <c r="D3278" t="b">
        <v>1</v>
      </c>
      <c r="E3278" t="s">
        <v>10</v>
      </c>
      <c r="F3278">
        <v>2732</v>
      </c>
    </row>
    <row r="3279" spans="1:6" x14ac:dyDescent="0.25">
      <c r="A3279" t="s">
        <v>6151</v>
      </c>
      <c r="B3279" t="s">
        <v>6152</v>
      </c>
      <c r="C3279" s="1">
        <v>44083</v>
      </c>
      <c r="D3279" t="b">
        <v>1</v>
      </c>
      <c r="E3279" t="s">
        <v>10</v>
      </c>
      <c r="F3279">
        <v>8141</v>
      </c>
    </row>
    <row r="3280" spans="1:6" x14ac:dyDescent="0.25">
      <c r="A3280" t="s">
        <v>6153</v>
      </c>
      <c r="B3280" t="s">
        <v>6154</v>
      </c>
      <c r="C3280" s="1">
        <v>44083</v>
      </c>
      <c r="D3280" t="b">
        <v>1</v>
      </c>
      <c r="E3280" t="s">
        <v>10</v>
      </c>
      <c r="F3280">
        <v>2733</v>
      </c>
    </row>
    <row r="3281" spans="1:6" x14ac:dyDescent="0.25">
      <c r="A3281" t="s">
        <v>6155</v>
      </c>
      <c r="B3281" t="s">
        <v>6156</v>
      </c>
      <c r="C3281" s="1">
        <v>44083</v>
      </c>
      <c r="D3281" t="b">
        <v>1</v>
      </c>
      <c r="E3281" t="s">
        <v>10</v>
      </c>
      <c r="F3281">
        <v>2734</v>
      </c>
    </row>
    <row r="3282" spans="1:6" x14ac:dyDescent="0.25">
      <c r="A3282" t="s">
        <v>6157</v>
      </c>
      <c r="B3282" t="s">
        <v>6158</v>
      </c>
      <c r="C3282" s="1">
        <v>44083</v>
      </c>
      <c r="D3282" t="b">
        <v>1</v>
      </c>
      <c r="E3282" t="s">
        <v>10</v>
      </c>
      <c r="F3282">
        <v>2735</v>
      </c>
    </row>
    <row r="3283" spans="1:6" x14ac:dyDescent="0.25">
      <c r="A3283" t="s">
        <v>6159</v>
      </c>
      <c r="B3283" t="s">
        <v>6160</v>
      </c>
      <c r="C3283" s="1">
        <v>44083</v>
      </c>
      <c r="D3283" t="b">
        <v>1</v>
      </c>
      <c r="E3283" t="s">
        <v>10</v>
      </c>
      <c r="F3283">
        <v>9569</v>
      </c>
    </row>
    <row r="3284" spans="1:6" x14ac:dyDescent="0.25">
      <c r="A3284" t="s">
        <v>6161</v>
      </c>
      <c r="B3284" t="s">
        <v>6162</v>
      </c>
      <c r="C3284" s="1">
        <v>44083</v>
      </c>
      <c r="D3284" t="b">
        <v>1</v>
      </c>
      <c r="E3284" t="s">
        <v>10</v>
      </c>
      <c r="F3284">
        <v>2737</v>
      </c>
    </row>
    <row r="3285" spans="1:6" x14ac:dyDescent="0.25">
      <c r="A3285" t="s">
        <v>6163</v>
      </c>
      <c r="C3285" s="1">
        <v>44083</v>
      </c>
      <c r="D3285" t="b">
        <v>1</v>
      </c>
      <c r="E3285" t="s">
        <v>10</v>
      </c>
      <c r="F3285">
        <v>2739</v>
      </c>
    </row>
    <row r="3286" spans="1:6" x14ac:dyDescent="0.25">
      <c r="A3286" t="s">
        <v>6164</v>
      </c>
      <c r="C3286" s="1">
        <v>44083</v>
      </c>
      <c r="D3286" t="b">
        <v>1</v>
      </c>
      <c r="E3286" t="s">
        <v>10</v>
      </c>
      <c r="F3286">
        <v>2740</v>
      </c>
    </row>
    <row r="3287" spans="1:6" x14ac:dyDescent="0.25">
      <c r="A3287" t="s">
        <v>6165</v>
      </c>
      <c r="C3287" s="1">
        <v>44083</v>
      </c>
      <c r="D3287" t="b">
        <v>1</v>
      </c>
      <c r="E3287" t="s">
        <v>10</v>
      </c>
      <c r="F3287">
        <v>11207</v>
      </c>
    </row>
    <row r="3288" spans="1:6" x14ac:dyDescent="0.25">
      <c r="A3288" t="s">
        <v>6166</v>
      </c>
      <c r="C3288" s="1">
        <v>44083</v>
      </c>
      <c r="D3288" t="b">
        <v>1</v>
      </c>
      <c r="E3288" t="s">
        <v>10</v>
      </c>
      <c r="F3288">
        <v>16394</v>
      </c>
    </row>
    <row r="3289" spans="1:6" x14ac:dyDescent="0.25">
      <c r="A3289" t="s">
        <v>6167</v>
      </c>
      <c r="B3289" t="s">
        <v>6168</v>
      </c>
      <c r="C3289" s="1">
        <v>44083</v>
      </c>
      <c r="D3289" t="b">
        <v>1</v>
      </c>
      <c r="E3289" t="s">
        <v>10</v>
      </c>
      <c r="F3289">
        <v>2741</v>
      </c>
    </row>
    <row r="3290" spans="1:6" x14ac:dyDescent="0.25">
      <c r="A3290" t="s">
        <v>6169</v>
      </c>
      <c r="B3290" t="s">
        <v>6170</v>
      </c>
      <c r="C3290" s="1">
        <v>44083</v>
      </c>
      <c r="D3290" t="b">
        <v>1</v>
      </c>
      <c r="E3290" t="s">
        <v>10</v>
      </c>
      <c r="F3290">
        <v>2745</v>
      </c>
    </row>
    <row r="3291" spans="1:6" x14ac:dyDescent="0.25">
      <c r="A3291" t="s">
        <v>6171</v>
      </c>
      <c r="B3291" t="s">
        <v>6172</v>
      </c>
      <c r="C3291" s="1">
        <v>44083</v>
      </c>
      <c r="D3291" t="b">
        <v>1</v>
      </c>
      <c r="E3291" t="s">
        <v>10</v>
      </c>
      <c r="F3291">
        <v>2746</v>
      </c>
    </row>
    <row r="3292" spans="1:6" x14ac:dyDescent="0.25">
      <c r="A3292" t="s">
        <v>6173</v>
      </c>
      <c r="C3292" s="1">
        <v>44083</v>
      </c>
      <c r="D3292" t="b">
        <v>1</v>
      </c>
      <c r="E3292" t="s">
        <v>10</v>
      </c>
      <c r="F3292">
        <v>14946</v>
      </c>
    </row>
    <row r="3293" spans="1:6" x14ac:dyDescent="0.25">
      <c r="A3293" t="s">
        <v>6174</v>
      </c>
      <c r="C3293" s="1">
        <v>44083</v>
      </c>
      <c r="D3293" t="b">
        <v>1</v>
      </c>
      <c r="E3293" t="s">
        <v>10</v>
      </c>
      <c r="F3293">
        <v>11898</v>
      </c>
    </row>
    <row r="3294" spans="1:6" x14ac:dyDescent="0.25">
      <c r="A3294" t="s">
        <v>6175</v>
      </c>
      <c r="B3294" t="s">
        <v>6176</v>
      </c>
      <c r="C3294" s="1">
        <v>44083</v>
      </c>
      <c r="D3294" t="b">
        <v>1</v>
      </c>
      <c r="E3294" t="s">
        <v>10</v>
      </c>
      <c r="F3294">
        <v>2748</v>
      </c>
    </row>
    <row r="3295" spans="1:6" x14ac:dyDescent="0.25">
      <c r="A3295" t="s">
        <v>6177</v>
      </c>
      <c r="B3295" t="s">
        <v>6178</v>
      </c>
      <c r="C3295" s="1">
        <v>44083</v>
      </c>
      <c r="D3295" t="b">
        <v>1</v>
      </c>
      <c r="E3295" t="s">
        <v>10</v>
      </c>
      <c r="F3295">
        <v>2750</v>
      </c>
    </row>
    <row r="3296" spans="1:6" x14ac:dyDescent="0.25">
      <c r="A3296" t="s">
        <v>6179</v>
      </c>
      <c r="B3296" t="s">
        <v>6180</v>
      </c>
      <c r="C3296" s="1">
        <v>44083</v>
      </c>
      <c r="D3296" t="b">
        <v>1</v>
      </c>
      <c r="E3296" t="s">
        <v>10</v>
      </c>
      <c r="F3296">
        <v>2752</v>
      </c>
    </row>
    <row r="3297" spans="1:6" x14ac:dyDescent="0.25">
      <c r="A3297" t="s">
        <v>6181</v>
      </c>
      <c r="C3297" s="1">
        <v>44083</v>
      </c>
      <c r="D3297" t="b">
        <v>1</v>
      </c>
      <c r="E3297" t="s">
        <v>10</v>
      </c>
      <c r="F3297">
        <v>2753</v>
      </c>
    </row>
    <row r="3298" spans="1:6" x14ac:dyDescent="0.25">
      <c r="A3298" t="s">
        <v>6182</v>
      </c>
      <c r="B3298" t="s">
        <v>6183</v>
      </c>
      <c r="C3298" s="1">
        <v>44083</v>
      </c>
      <c r="D3298" t="b">
        <v>1</v>
      </c>
      <c r="E3298" t="s">
        <v>10</v>
      </c>
      <c r="F3298">
        <v>11128</v>
      </c>
    </row>
    <row r="3299" spans="1:6" x14ac:dyDescent="0.25">
      <c r="A3299" t="s">
        <v>6184</v>
      </c>
      <c r="B3299" t="s">
        <v>6185</v>
      </c>
      <c r="C3299" s="1">
        <v>44083</v>
      </c>
      <c r="D3299" t="b">
        <v>1</v>
      </c>
      <c r="E3299" t="s">
        <v>10</v>
      </c>
      <c r="F3299">
        <v>16642</v>
      </c>
    </row>
    <row r="3300" spans="1:6" x14ac:dyDescent="0.25">
      <c r="A3300" t="s">
        <v>6186</v>
      </c>
      <c r="B3300" t="s">
        <v>6187</v>
      </c>
      <c r="C3300" s="1">
        <v>44083</v>
      </c>
      <c r="D3300" t="b">
        <v>1</v>
      </c>
      <c r="E3300" t="s">
        <v>10</v>
      </c>
      <c r="F3300">
        <v>2755</v>
      </c>
    </row>
    <row r="3301" spans="1:6" x14ac:dyDescent="0.25">
      <c r="A3301" t="s">
        <v>6188</v>
      </c>
      <c r="B3301" t="s">
        <v>6189</v>
      </c>
      <c r="C3301" s="1">
        <v>44083</v>
      </c>
      <c r="D3301" t="b">
        <v>1</v>
      </c>
      <c r="E3301" t="s">
        <v>10</v>
      </c>
      <c r="F3301">
        <v>2758</v>
      </c>
    </row>
    <row r="3302" spans="1:6" x14ac:dyDescent="0.25">
      <c r="A3302" t="s">
        <v>6190</v>
      </c>
      <c r="B3302" t="s">
        <v>6191</v>
      </c>
      <c r="C3302" s="1">
        <v>44083</v>
      </c>
      <c r="D3302" t="b">
        <v>1</v>
      </c>
      <c r="E3302" t="s">
        <v>10</v>
      </c>
      <c r="F3302">
        <v>2929</v>
      </c>
    </row>
    <row r="3303" spans="1:6" x14ac:dyDescent="0.25">
      <c r="A3303" t="s">
        <v>6192</v>
      </c>
      <c r="B3303" t="s">
        <v>6193</v>
      </c>
      <c r="C3303" s="1">
        <v>44083</v>
      </c>
      <c r="D3303" t="b">
        <v>1</v>
      </c>
      <c r="E3303" t="s">
        <v>10</v>
      </c>
      <c r="F3303">
        <v>221</v>
      </c>
    </row>
    <row r="3304" spans="1:6" x14ac:dyDescent="0.25">
      <c r="A3304" t="s">
        <v>6194</v>
      </c>
      <c r="B3304" t="s">
        <v>6195</v>
      </c>
      <c r="C3304" s="1">
        <v>44083</v>
      </c>
      <c r="D3304" t="b">
        <v>1</v>
      </c>
      <c r="E3304" t="s">
        <v>10</v>
      </c>
      <c r="F3304">
        <v>12444</v>
      </c>
    </row>
    <row r="3305" spans="1:6" x14ac:dyDescent="0.25">
      <c r="A3305" t="s">
        <v>6196</v>
      </c>
      <c r="B3305" t="s">
        <v>6197</v>
      </c>
      <c r="C3305" s="1">
        <v>44083</v>
      </c>
      <c r="D3305" t="b">
        <v>1</v>
      </c>
      <c r="E3305" t="s">
        <v>10</v>
      </c>
      <c r="F3305">
        <v>16566</v>
      </c>
    </row>
    <row r="3306" spans="1:6" x14ac:dyDescent="0.25">
      <c r="A3306" t="s">
        <v>6198</v>
      </c>
      <c r="C3306" s="1">
        <v>44083</v>
      </c>
      <c r="D3306" t="b">
        <v>1</v>
      </c>
      <c r="E3306" t="s">
        <v>10</v>
      </c>
      <c r="F3306">
        <v>17162</v>
      </c>
    </row>
    <row r="3307" spans="1:6" x14ac:dyDescent="0.25">
      <c r="A3307" t="s">
        <v>6199</v>
      </c>
      <c r="B3307" t="s">
        <v>6200</v>
      </c>
      <c r="C3307" s="1">
        <v>44083</v>
      </c>
      <c r="D3307" t="b">
        <v>1</v>
      </c>
      <c r="E3307" t="s">
        <v>10</v>
      </c>
      <c r="F3307">
        <v>2764</v>
      </c>
    </row>
    <row r="3308" spans="1:6" x14ac:dyDescent="0.25">
      <c r="A3308" t="s">
        <v>6201</v>
      </c>
      <c r="B3308" t="s">
        <v>6202</v>
      </c>
      <c r="C3308" s="1">
        <v>44083</v>
      </c>
      <c r="D3308" t="b">
        <v>1</v>
      </c>
      <c r="E3308" t="s">
        <v>10</v>
      </c>
      <c r="F3308">
        <v>2766</v>
      </c>
    </row>
    <row r="3309" spans="1:6" x14ac:dyDescent="0.25">
      <c r="A3309" t="s">
        <v>6203</v>
      </c>
      <c r="B3309" t="s">
        <v>6204</v>
      </c>
      <c r="C3309" s="1">
        <v>44083</v>
      </c>
      <c r="D3309" t="b">
        <v>1</v>
      </c>
      <c r="E3309" t="s">
        <v>10</v>
      </c>
      <c r="F3309">
        <v>2767</v>
      </c>
    </row>
    <row r="3310" spans="1:6" x14ac:dyDescent="0.25">
      <c r="A3310" t="s">
        <v>6205</v>
      </c>
      <c r="B3310" t="s">
        <v>6206</v>
      </c>
      <c r="C3310" s="1">
        <v>44083</v>
      </c>
      <c r="D3310" t="b">
        <v>1</v>
      </c>
      <c r="E3310" t="s">
        <v>10</v>
      </c>
      <c r="F3310">
        <v>16417</v>
      </c>
    </row>
    <row r="3311" spans="1:6" x14ac:dyDescent="0.25">
      <c r="A3311" t="s">
        <v>6207</v>
      </c>
      <c r="B3311" t="s">
        <v>6208</v>
      </c>
      <c r="C3311" s="1">
        <v>44083</v>
      </c>
      <c r="D3311" t="b">
        <v>1</v>
      </c>
      <c r="E3311" t="s">
        <v>10</v>
      </c>
      <c r="F3311">
        <v>2768</v>
      </c>
    </row>
    <row r="3312" spans="1:6" x14ac:dyDescent="0.25">
      <c r="A3312" t="s">
        <v>6209</v>
      </c>
      <c r="B3312" t="s">
        <v>6210</v>
      </c>
      <c r="C3312" s="1">
        <v>44083</v>
      </c>
      <c r="D3312" t="b">
        <v>0</v>
      </c>
      <c r="E3312" t="s">
        <v>10</v>
      </c>
      <c r="F3312">
        <v>17003</v>
      </c>
    </row>
    <row r="3313" spans="1:6" x14ac:dyDescent="0.25">
      <c r="A3313" t="s">
        <v>6211</v>
      </c>
      <c r="B3313" t="s">
        <v>6212</v>
      </c>
      <c r="C3313" s="1">
        <v>44083</v>
      </c>
      <c r="D3313" t="b">
        <v>1</v>
      </c>
      <c r="E3313" t="s">
        <v>10</v>
      </c>
      <c r="F3313">
        <v>11796</v>
      </c>
    </row>
    <row r="3314" spans="1:6" x14ac:dyDescent="0.25">
      <c r="A3314" t="s">
        <v>6213</v>
      </c>
      <c r="B3314" t="s">
        <v>6214</v>
      </c>
      <c r="C3314" s="1">
        <v>44083</v>
      </c>
      <c r="D3314" t="b">
        <v>1</v>
      </c>
      <c r="E3314" t="s">
        <v>10</v>
      </c>
      <c r="F3314">
        <v>16749</v>
      </c>
    </row>
    <row r="3315" spans="1:6" x14ac:dyDescent="0.25">
      <c r="A3315" t="s">
        <v>6215</v>
      </c>
      <c r="B3315" t="s">
        <v>6216</v>
      </c>
      <c r="C3315" s="1">
        <v>44083</v>
      </c>
      <c r="D3315" t="b">
        <v>1</v>
      </c>
      <c r="E3315" t="s">
        <v>10</v>
      </c>
      <c r="F3315">
        <v>2770</v>
      </c>
    </row>
    <row r="3316" spans="1:6" x14ac:dyDescent="0.25">
      <c r="A3316" t="s">
        <v>6217</v>
      </c>
      <c r="B3316" t="s">
        <v>6218</v>
      </c>
      <c r="C3316" s="1">
        <v>44083</v>
      </c>
      <c r="D3316" t="b">
        <v>1</v>
      </c>
      <c r="E3316" t="s">
        <v>10</v>
      </c>
      <c r="F3316">
        <v>17157</v>
      </c>
    </row>
    <row r="3317" spans="1:6" x14ac:dyDescent="0.25">
      <c r="A3317" t="s">
        <v>6219</v>
      </c>
      <c r="C3317" s="1">
        <v>44083</v>
      </c>
      <c r="D3317" t="b">
        <v>1</v>
      </c>
      <c r="E3317" t="s">
        <v>10</v>
      </c>
      <c r="F3317">
        <v>14593</v>
      </c>
    </row>
    <row r="3318" spans="1:6" x14ac:dyDescent="0.25">
      <c r="A3318" t="s">
        <v>6220</v>
      </c>
      <c r="B3318" t="s">
        <v>6221</v>
      </c>
      <c r="C3318" s="1">
        <v>44083</v>
      </c>
      <c r="D3318" t="b">
        <v>0</v>
      </c>
      <c r="E3318" t="s">
        <v>10</v>
      </c>
      <c r="F3318">
        <v>17002</v>
      </c>
    </row>
    <row r="3319" spans="1:6" x14ac:dyDescent="0.25">
      <c r="A3319" t="s">
        <v>6222</v>
      </c>
      <c r="B3319" t="s">
        <v>6223</v>
      </c>
      <c r="C3319" s="1">
        <v>44083</v>
      </c>
      <c r="D3319" t="b">
        <v>1</v>
      </c>
      <c r="E3319" t="s">
        <v>10</v>
      </c>
      <c r="F3319">
        <v>2773</v>
      </c>
    </row>
    <row r="3320" spans="1:6" x14ac:dyDescent="0.25">
      <c r="A3320" t="s">
        <v>6224</v>
      </c>
      <c r="B3320" t="s">
        <v>6225</v>
      </c>
      <c r="C3320" s="1">
        <v>44083</v>
      </c>
      <c r="D3320" t="b">
        <v>1</v>
      </c>
      <c r="E3320" t="s">
        <v>10</v>
      </c>
      <c r="F3320">
        <v>10290</v>
      </c>
    </row>
    <row r="3321" spans="1:6" x14ac:dyDescent="0.25">
      <c r="A3321" t="s">
        <v>6226</v>
      </c>
      <c r="B3321" t="s">
        <v>6227</v>
      </c>
      <c r="C3321" s="1">
        <v>44083</v>
      </c>
      <c r="D3321" t="b">
        <v>1</v>
      </c>
      <c r="E3321" t="s">
        <v>10</v>
      </c>
      <c r="F3321">
        <v>16166</v>
      </c>
    </row>
    <row r="3322" spans="1:6" x14ac:dyDescent="0.25">
      <c r="A3322" t="s">
        <v>6228</v>
      </c>
      <c r="B3322" t="s">
        <v>6229</v>
      </c>
      <c r="C3322" s="1">
        <v>44083</v>
      </c>
      <c r="D3322" t="b">
        <v>1</v>
      </c>
      <c r="E3322" t="s">
        <v>10</v>
      </c>
      <c r="F3322">
        <v>15480</v>
      </c>
    </row>
    <row r="3323" spans="1:6" x14ac:dyDescent="0.25">
      <c r="A3323" t="s">
        <v>6230</v>
      </c>
      <c r="B3323" t="s">
        <v>6231</v>
      </c>
      <c r="C3323" s="1">
        <v>44083</v>
      </c>
      <c r="D3323" t="b">
        <v>1</v>
      </c>
      <c r="E3323" t="s">
        <v>10</v>
      </c>
      <c r="F3323">
        <v>2774</v>
      </c>
    </row>
    <row r="3324" spans="1:6" x14ac:dyDescent="0.25">
      <c r="A3324" t="s">
        <v>6232</v>
      </c>
      <c r="B3324" t="s">
        <v>6233</v>
      </c>
      <c r="C3324" s="1">
        <v>44083</v>
      </c>
      <c r="D3324" t="b">
        <v>1</v>
      </c>
      <c r="E3324" t="s">
        <v>10</v>
      </c>
      <c r="F3324">
        <v>2777</v>
      </c>
    </row>
    <row r="3325" spans="1:6" x14ac:dyDescent="0.25">
      <c r="A3325" t="s">
        <v>6234</v>
      </c>
      <c r="B3325" t="s">
        <v>6235</v>
      </c>
      <c r="C3325" s="1">
        <v>44083</v>
      </c>
      <c r="D3325" t="b">
        <v>1</v>
      </c>
      <c r="E3325" t="s">
        <v>10</v>
      </c>
      <c r="F3325">
        <v>2778</v>
      </c>
    </row>
    <row r="3326" spans="1:6" x14ac:dyDescent="0.25">
      <c r="A3326" t="s">
        <v>6236</v>
      </c>
      <c r="B3326" t="s">
        <v>6237</v>
      </c>
      <c r="C3326" s="1">
        <v>44083</v>
      </c>
      <c r="D3326" t="b">
        <v>1</v>
      </c>
      <c r="E3326" t="s">
        <v>10</v>
      </c>
      <c r="F3326">
        <v>8266</v>
      </c>
    </row>
    <row r="3327" spans="1:6" x14ac:dyDescent="0.25">
      <c r="A3327" t="s">
        <v>6238</v>
      </c>
      <c r="B3327" t="s">
        <v>6239</v>
      </c>
      <c r="C3327" s="1">
        <v>44083</v>
      </c>
      <c r="D3327" t="b">
        <v>1</v>
      </c>
      <c r="E3327" t="s">
        <v>10</v>
      </c>
      <c r="F3327">
        <v>2782</v>
      </c>
    </row>
    <row r="3328" spans="1:6" x14ac:dyDescent="0.25">
      <c r="A3328" t="s">
        <v>6240</v>
      </c>
      <c r="B3328" t="s">
        <v>6241</v>
      </c>
      <c r="C3328" s="1">
        <v>44083</v>
      </c>
      <c r="D3328" t="b">
        <v>1</v>
      </c>
      <c r="E3328" t="s">
        <v>10</v>
      </c>
      <c r="F3328">
        <v>11088</v>
      </c>
    </row>
    <row r="3329" spans="1:6" x14ac:dyDescent="0.25">
      <c r="A3329" t="s">
        <v>6242</v>
      </c>
      <c r="B3329" t="s">
        <v>6243</v>
      </c>
      <c r="C3329" s="1">
        <v>44083</v>
      </c>
      <c r="D3329" t="b">
        <v>1</v>
      </c>
      <c r="E3329" t="s">
        <v>10</v>
      </c>
      <c r="F3329">
        <v>11033</v>
      </c>
    </row>
    <row r="3330" spans="1:6" x14ac:dyDescent="0.25">
      <c r="A3330" t="s">
        <v>6244</v>
      </c>
      <c r="B3330" t="s">
        <v>6245</v>
      </c>
      <c r="C3330" s="1">
        <v>44083</v>
      </c>
      <c r="D3330" t="b">
        <v>1</v>
      </c>
      <c r="E3330" t="s">
        <v>10</v>
      </c>
      <c r="F3330">
        <v>2784</v>
      </c>
    </row>
    <row r="3331" spans="1:6" x14ac:dyDescent="0.25">
      <c r="A3331" t="s">
        <v>6246</v>
      </c>
      <c r="B3331" t="s">
        <v>6247</v>
      </c>
      <c r="C3331" s="1">
        <v>44083</v>
      </c>
      <c r="D3331" t="b">
        <v>1</v>
      </c>
      <c r="E3331" t="s">
        <v>10</v>
      </c>
      <c r="F3331">
        <v>2787</v>
      </c>
    </row>
    <row r="3332" spans="1:6" x14ac:dyDescent="0.25">
      <c r="A3332" t="s">
        <v>6248</v>
      </c>
      <c r="B3332" t="s">
        <v>6249</v>
      </c>
      <c r="C3332" s="1">
        <v>44083</v>
      </c>
      <c r="D3332" t="b">
        <v>1</v>
      </c>
      <c r="E3332" t="s">
        <v>10</v>
      </c>
      <c r="F3332">
        <v>15481</v>
      </c>
    </row>
    <row r="3333" spans="1:6" x14ac:dyDescent="0.25">
      <c r="A3333" t="s">
        <v>6250</v>
      </c>
      <c r="B3333" t="s">
        <v>6251</v>
      </c>
      <c r="C3333" s="1">
        <v>44083</v>
      </c>
      <c r="D3333" t="b">
        <v>1</v>
      </c>
      <c r="E3333" t="s">
        <v>10</v>
      </c>
      <c r="F3333">
        <v>9773</v>
      </c>
    </row>
    <row r="3334" spans="1:6" x14ac:dyDescent="0.25">
      <c r="A3334" t="s">
        <v>6252</v>
      </c>
      <c r="B3334" t="s">
        <v>6253</v>
      </c>
      <c r="C3334" s="1">
        <v>44083</v>
      </c>
      <c r="D3334" t="b">
        <v>1</v>
      </c>
      <c r="E3334" t="s">
        <v>10</v>
      </c>
      <c r="F3334">
        <v>4014</v>
      </c>
    </row>
    <row r="3335" spans="1:6" x14ac:dyDescent="0.25">
      <c r="A3335" t="s">
        <v>6254</v>
      </c>
      <c r="B3335" t="s">
        <v>6255</v>
      </c>
      <c r="C3335" s="1">
        <v>44083</v>
      </c>
      <c r="D3335" t="b">
        <v>1</v>
      </c>
      <c r="E3335" t="s">
        <v>10</v>
      </c>
      <c r="F3335">
        <v>2791</v>
      </c>
    </row>
    <row r="3336" spans="1:6" x14ac:dyDescent="0.25">
      <c r="A3336" t="s">
        <v>6256</v>
      </c>
      <c r="C3336" s="1">
        <v>44083</v>
      </c>
      <c r="D3336" t="b">
        <v>1</v>
      </c>
      <c r="E3336" t="s">
        <v>10</v>
      </c>
      <c r="F3336">
        <v>14319</v>
      </c>
    </row>
    <row r="3337" spans="1:6" x14ac:dyDescent="0.25">
      <c r="A3337" t="s">
        <v>6257</v>
      </c>
      <c r="B3337" t="s">
        <v>6258</v>
      </c>
      <c r="C3337" s="1">
        <v>44083</v>
      </c>
      <c r="D3337" t="b">
        <v>1</v>
      </c>
      <c r="E3337" t="s">
        <v>10</v>
      </c>
      <c r="F3337">
        <v>15226</v>
      </c>
    </row>
    <row r="3338" spans="1:6" x14ac:dyDescent="0.25">
      <c r="A3338" t="s">
        <v>6259</v>
      </c>
      <c r="B3338" t="s">
        <v>6260</v>
      </c>
      <c r="C3338" s="1">
        <v>44083</v>
      </c>
      <c r="D3338" t="b">
        <v>1</v>
      </c>
      <c r="E3338" t="s">
        <v>10</v>
      </c>
      <c r="F3338">
        <v>15482</v>
      </c>
    </row>
    <row r="3339" spans="1:6" x14ac:dyDescent="0.25">
      <c r="A3339" t="s">
        <v>6261</v>
      </c>
      <c r="B3339" t="s">
        <v>6262</v>
      </c>
      <c r="C3339" s="1">
        <v>44083</v>
      </c>
      <c r="D3339" t="b">
        <v>1</v>
      </c>
      <c r="E3339" t="s">
        <v>10</v>
      </c>
      <c r="F3339">
        <v>2793</v>
      </c>
    </row>
    <row r="3340" spans="1:6" x14ac:dyDescent="0.25">
      <c r="A3340" t="s">
        <v>6263</v>
      </c>
      <c r="B3340" t="s">
        <v>6264</v>
      </c>
      <c r="C3340" s="1">
        <v>44083</v>
      </c>
      <c r="D3340" t="b">
        <v>1</v>
      </c>
      <c r="E3340" t="s">
        <v>10</v>
      </c>
      <c r="F3340">
        <v>2794</v>
      </c>
    </row>
    <row r="3341" spans="1:6" x14ac:dyDescent="0.25">
      <c r="A3341" t="s">
        <v>6265</v>
      </c>
      <c r="B3341" t="s">
        <v>6266</v>
      </c>
      <c r="C3341" s="1">
        <v>44083</v>
      </c>
      <c r="D3341" t="b">
        <v>1</v>
      </c>
      <c r="E3341" t="s">
        <v>10</v>
      </c>
      <c r="F3341">
        <v>12784</v>
      </c>
    </row>
    <row r="3342" spans="1:6" x14ac:dyDescent="0.25">
      <c r="A3342" t="s">
        <v>6267</v>
      </c>
      <c r="B3342" t="s">
        <v>6268</v>
      </c>
      <c r="C3342" s="1">
        <v>44083</v>
      </c>
      <c r="D3342" t="b">
        <v>1</v>
      </c>
      <c r="E3342" t="s">
        <v>10</v>
      </c>
      <c r="F3342">
        <v>12000</v>
      </c>
    </row>
    <row r="3343" spans="1:6" x14ac:dyDescent="0.25">
      <c r="A3343" t="s">
        <v>6269</v>
      </c>
      <c r="B3343" t="s">
        <v>6270</v>
      </c>
      <c r="C3343" s="1">
        <v>44083</v>
      </c>
      <c r="D3343" t="b">
        <v>1</v>
      </c>
      <c r="E3343" t="s">
        <v>10</v>
      </c>
      <c r="F3343">
        <v>2797</v>
      </c>
    </row>
    <row r="3344" spans="1:6" x14ac:dyDescent="0.25">
      <c r="A3344" t="s">
        <v>6271</v>
      </c>
      <c r="C3344" s="1">
        <v>44083</v>
      </c>
      <c r="D3344" t="b">
        <v>1</v>
      </c>
      <c r="E3344" t="s">
        <v>10</v>
      </c>
      <c r="F3344">
        <v>2798</v>
      </c>
    </row>
    <row r="3345" spans="1:6" x14ac:dyDescent="0.25">
      <c r="A3345" t="s">
        <v>6272</v>
      </c>
      <c r="C3345" s="1">
        <v>44083</v>
      </c>
      <c r="D3345" t="b">
        <v>1</v>
      </c>
      <c r="E3345" t="s">
        <v>10</v>
      </c>
      <c r="F3345">
        <v>11578</v>
      </c>
    </row>
    <row r="3346" spans="1:6" x14ac:dyDescent="0.25">
      <c r="A3346" t="s">
        <v>6273</v>
      </c>
      <c r="C3346" s="1">
        <v>44083</v>
      </c>
      <c r="D3346" t="b">
        <v>1</v>
      </c>
      <c r="E3346" t="s">
        <v>10</v>
      </c>
      <c r="F3346">
        <v>15813</v>
      </c>
    </row>
    <row r="3347" spans="1:6" x14ac:dyDescent="0.25">
      <c r="A3347" t="s">
        <v>6274</v>
      </c>
      <c r="B3347" t="s">
        <v>6275</v>
      </c>
      <c r="C3347" s="1">
        <v>44083</v>
      </c>
      <c r="D3347" t="b">
        <v>1</v>
      </c>
      <c r="E3347" t="s">
        <v>10</v>
      </c>
      <c r="F3347">
        <v>12892</v>
      </c>
    </row>
    <row r="3348" spans="1:6" x14ac:dyDescent="0.25">
      <c r="A3348" t="s">
        <v>6276</v>
      </c>
      <c r="B3348" t="s">
        <v>6277</v>
      </c>
      <c r="C3348" s="1">
        <v>44083</v>
      </c>
      <c r="D3348" t="b">
        <v>1</v>
      </c>
      <c r="E3348" t="s">
        <v>10</v>
      </c>
      <c r="F3348">
        <v>2800</v>
      </c>
    </row>
    <row r="3349" spans="1:6" x14ac:dyDescent="0.25">
      <c r="A3349" t="s">
        <v>6278</v>
      </c>
      <c r="B3349" t="s">
        <v>6279</v>
      </c>
      <c r="C3349" s="1">
        <v>44083</v>
      </c>
      <c r="D3349" t="b">
        <v>1</v>
      </c>
      <c r="E3349" t="s">
        <v>10</v>
      </c>
      <c r="F3349">
        <v>2801</v>
      </c>
    </row>
    <row r="3350" spans="1:6" x14ac:dyDescent="0.25">
      <c r="A3350" t="s">
        <v>6280</v>
      </c>
      <c r="B3350" t="s">
        <v>6281</v>
      </c>
      <c r="C3350" s="1">
        <v>44083</v>
      </c>
      <c r="D3350" t="b">
        <v>1</v>
      </c>
      <c r="E3350" t="s">
        <v>10</v>
      </c>
      <c r="F3350">
        <v>15177</v>
      </c>
    </row>
    <row r="3351" spans="1:6" x14ac:dyDescent="0.25">
      <c r="A3351" t="s">
        <v>6282</v>
      </c>
      <c r="C3351" s="1">
        <v>44083</v>
      </c>
      <c r="D3351" t="b">
        <v>1</v>
      </c>
      <c r="E3351" t="s">
        <v>10</v>
      </c>
      <c r="F3351">
        <v>15191</v>
      </c>
    </row>
    <row r="3352" spans="1:6" x14ac:dyDescent="0.25">
      <c r="A3352" t="s">
        <v>6283</v>
      </c>
      <c r="B3352" t="s">
        <v>6284</v>
      </c>
      <c r="C3352" s="1">
        <v>44083</v>
      </c>
      <c r="D3352" t="b">
        <v>1</v>
      </c>
      <c r="E3352" t="s">
        <v>10</v>
      </c>
      <c r="F3352">
        <v>2802</v>
      </c>
    </row>
    <row r="3353" spans="1:6" x14ac:dyDescent="0.25">
      <c r="A3353" t="s">
        <v>6285</v>
      </c>
      <c r="B3353" t="s">
        <v>6286</v>
      </c>
      <c r="C3353" s="1">
        <v>44083</v>
      </c>
      <c r="D3353" t="b">
        <v>1</v>
      </c>
      <c r="E3353" t="s">
        <v>10</v>
      </c>
      <c r="F3353">
        <v>7118</v>
      </c>
    </row>
    <row r="3354" spans="1:6" x14ac:dyDescent="0.25">
      <c r="A3354" t="s">
        <v>6287</v>
      </c>
      <c r="B3354" t="s">
        <v>6288</v>
      </c>
      <c r="C3354" s="1">
        <v>44083</v>
      </c>
      <c r="D3354" t="b">
        <v>1</v>
      </c>
      <c r="E3354" t="s">
        <v>10</v>
      </c>
      <c r="F3354">
        <v>12049</v>
      </c>
    </row>
    <row r="3355" spans="1:6" x14ac:dyDescent="0.25">
      <c r="A3355" t="s">
        <v>6289</v>
      </c>
      <c r="C3355" s="1">
        <v>44083</v>
      </c>
      <c r="D3355" t="b">
        <v>1</v>
      </c>
      <c r="E3355" t="s">
        <v>10</v>
      </c>
      <c r="F3355">
        <v>13444</v>
      </c>
    </row>
    <row r="3356" spans="1:6" x14ac:dyDescent="0.25">
      <c r="A3356" t="s">
        <v>6290</v>
      </c>
      <c r="C3356" s="1">
        <v>44083</v>
      </c>
      <c r="D3356" t="b">
        <v>1</v>
      </c>
      <c r="E3356" t="s">
        <v>10</v>
      </c>
      <c r="F3356">
        <v>14075</v>
      </c>
    </row>
    <row r="3357" spans="1:6" x14ac:dyDescent="0.25">
      <c r="A3357" t="s">
        <v>6291</v>
      </c>
      <c r="C3357" s="1">
        <v>44083</v>
      </c>
      <c r="D3357" t="b">
        <v>1</v>
      </c>
      <c r="E3357" t="s">
        <v>10</v>
      </c>
      <c r="F3357">
        <v>15837</v>
      </c>
    </row>
    <row r="3358" spans="1:6" x14ac:dyDescent="0.25">
      <c r="A3358" t="s">
        <v>6292</v>
      </c>
      <c r="B3358" t="s">
        <v>6293</v>
      </c>
      <c r="C3358" s="1">
        <v>44083</v>
      </c>
      <c r="D3358" t="b">
        <v>1</v>
      </c>
      <c r="E3358" t="s">
        <v>10</v>
      </c>
      <c r="F3358">
        <v>2805</v>
      </c>
    </row>
    <row r="3359" spans="1:6" x14ac:dyDescent="0.25">
      <c r="A3359" t="s">
        <v>6294</v>
      </c>
      <c r="B3359" t="s">
        <v>6295</v>
      </c>
      <c r="C3359" s="1">
        <v>44083</v>
      </c>
      <c r="D3359" t="b">
        <v>1</v>
      </c>
      <c r="E3359" t="s">
        <v>10</v>
      </c>
      <c r="F3359">
        <v>2806</v>
      </c>
    </row>
    <row r="3360" spans="1:6" x14ac:dyDescent="0.25">
      <c r="A3360" t="s">
        <v>6296</v>
      </c>
      <c r="B3360" t="s">
        <v>6297</v>
      </c>
      <c r="C3360" s="1">
        <v>44083</v>
      </c>
      <c r="D3360" t="b">
        <v>1</v>
      </c>
      <c r="E3360" t="s">
        <v>10</v>
      </c>
      <c r="F3360">
        <v>2809</v>
      </c>
    </row>
    <row r="3361" spans="1:6" x14ac:dyDescent="0.25">
      <c r="A3361" t="s">
        <v>6298</v>
      </c>
      <c r="B3361" t="s">
        <v>6299</v>
      </c>
      <c r="C3361" s="1">
        <v>44083</v>
      </c>
      <c r="D3361" t="b">
        <v>1</v>
      </c>
      <c r="E3361" t="s">
        <v>10</v>
      </c>
      <c r="F3361">
        <v>10597</v>
      </c>
    </row>
    <row r="3362" spans="1:6" x14ac:dyDescent="0.25">
      <c r="A3362" t="s">
        <v>6300</v>
      </c>
      <c r="B3362" t="s">
        <v>6301</v>
      </c>
      <c r="C3362" s="1">
        <v>44083</v>
      </c>
      <c r="D3362" t="b">
        <v>1</v>
      </c>
      <c r="E3362" t="s">
        <v>10</v>
      </c>
      <c r="F3362">
        <v>6314</v>
      </c>
    </row>
    <row r="3363" spans="1:6" x14ac:dyDescent="0.25">
      <c r="A3363" t="s">
        <v>6302</v>
      </c>
      <c r="B3363" t="s">
        <v>6303</v>
      </c>
      <c r="C3363" s="1">
        <v>44083</v>
      </c>
      <c r="D3363" t="b">
        <v>1</v>
      </c>
      <c r="E3363" t="s">
        <v>10</v>
      </c>
      <c r="F3363">
        <v>2811</v>
      </c>
    </row>
    <row r="3364" spans="1:6" x14ac:dyDescent="0.25">
      <c r="A3364" t="s">
        <v>6304</v>
      </c>
      <c r="B3364" t="s">
        <v>6305</v>
      </c>
      <c r="C3364" s="1">
        <v>44083</v>
      </c>
      <c r="D3364" t="b">
        <v>1</v>
      </c>
      <c r="E3364" t="s">
        <v>10</v>
      </c>
      <c r="F3364">
        <v>2812</v>
      </c>
    </row>
    <row r="3365" spans="1:6" x14ac:dyDescent="0.25">
      <c r="A3365" t="s">
        <v>6306</v>
      </c>
      <c r="B3365" t="s">
        <v>6307</v>
      </c>
      <c r="C3365" s="1">
        <v>44083</v>
      </c>
      <c r="D3365" t="b">
        <v>1</v>
      </c>
      <c r="E3365" t="s">
        <v>10</v>
      </c>
      <c r="F3365">
        <v>11740</v>
      </c>
    </row>
    <row r="3366" spans="1:6" x14ac:dyDescent="0.25">
      <c r="A3366" t="s">
        <v>6308</v>
      </c>
      <c r="B3366" t="s">
        <v>6309</v>
      </c>
      <c r="C3366" s="1">
        <v>44083</v>
      </c>
      <c r="D3366" t="b">
        <v>1</v>
      </c>
      <c r="E3366" t="s">
        <v>10</v>
      </c>
      <c r="F3366">
        <v>2814</v>
      </c>
    </row>
    <row r="3367" spans="1:6" x14ac:dyDescent="0.25">
      <c r="A3367" t="s">
        <v>6310</v>
      </c>
      <c r="B3367" t="s">
        <v>6311</v>
      </c>
      <c r="C3367" s="1">
        <v>44083</v>
      </c>
      <c r="D3367" t="b">
        <v>1</v>
      </c>
      <c r="E3367" t="s">
        <v>10</v>
      </c>
      <c r="F3367">
        <v>2815</v>
      </c>
    </row>
    <row r="3368" spans="1:6" x14ac:dyDescent="0.25">
      <c r="A3368" t="s">
        <v>6312</v>
      </c>
      <c r="B3368" t="s">
        <v>6313</v>
      </c>
      <c r="C3368" s="1">
        <v>44083</v>
      </c>
      <c r="D3368" t="b">
        <v>1</v>
      </c>
      <c r="E3368" t="s">
        <v>10</v>
      </c>
      <c r="F3368">
        <v>9309</v>
      </c>
    </row>
    <row r="3369" spans="1:6" x14ac:dyDescent="0.25">
      <c r="A3369" t="s">
        <v>6314</v>
      </c>
      <c r="B3369" t="s">
        <v>6315</v>
      </c>
      <c r="C3369" s="1">
        <v>44083</v>
      </c>
      <c r="D3369" t="b">
        <v>1</v>
      </c>
      <c r="E3369" t="s">
        <v>10</v>
      </c>
      <c r="F3369">
        <v>16807</v>
      </c>
    </row>
    <row r="3370" spans="1:6" x14ac:dyDescent="0.25">
      <c r="A3370" t="s">
        <v>6316</v>
      </c>
      <c r="B3370" t="s">
        <v>6317</v>
      </c>
      <c r="C3370" s="1">
        <v>44083</v>
      </c>
      <c r="D3370" t="b">
        <v>1</v>
      </c>
      <c r="E3370" t="s">
        <v>10</v>
      </c>
      <c r="F3370">
        <v>2818</v>
      </c>
    </row>
    <row r="3371" spans="1:6" x14ac:dyDescent="0.25">
      <c r="A3371" t="s">
        <v>6318</v>
      </c>
      <c r="B3371" t="s">
        <v>6319</v>
      </c>
      <c r="C3371" s="1">
        <v>44083</v>
      </c>
      <c r="D3371" t="b">
        <v>1</v>
      </c>
      <c r="E3371" t="s">
        <v>10</v>
      </c>
      <c r="F3371">
        <v>2819</v>
      </c>
    </row>
    <row r="3372" spans="1:6" x14ac:dyDescent="0.25">
      <c r="A3372" t="s">
        <v>6320</v>
      </c>
      <c r="B3372" t="s">
        <v>6321</v>
      </c>
      <c r="C3372" s="1">
        <v>44083</v>
      </c>
      <c r="D3372" t="b">
        <v>1</v>
      </c>
      <c r="E3372" t="s">
        <v>10</v>
      </c>
      <c r="F3372">
        <v>2821</v>
      </c>
    </row>
    <row r="3373" spans="1:6" x14ac:dyDescent="0.25">
      <c r="A3373" t="s">
        <v>6322</v>
      </c>
      <c r="B3373" t="s">
        <v>6323</v>
      </c>
      <c r="C3373" s="1">
        <v>44083</v>
      </c>
      <c r="D3373" t="b">
        <v>1</v>
      </c>
      <c r="E3373" t="s">
        <v>10</v>
      </c>
      <c r="F3373">
        <v>2823</v>
      </c>
    </row>
    <row r="3374" spans="1:6" x14ac:dyDescent="0.25">
      <c r="A3374" t="s">
        <v>6324</v>
      </c>
      <c r="B3374" t="s">
        <v>6325</v>
      </c>
      <c r="C3374" s="1">
        <v>44083</v>
      </c>
      <c r="D3374" t="b">
        <v>1</v>
      </c>
      <c r="E3374" t="s">
        <v>10</v>
      </c>
      <c r="F3374">
        <v>2825</v>
      </c>
    </row>
    <row r="3375" spans="1:6" x14ac:dyDescent="0.25">
      <c r="A3375" t="s">
        <v>6326</v>
      </c>
      <c r="B3375" t="s">
        <v>6327</v>
      </c>
      <c r="C3375" s="1">
        <v>44083</v>
      </c>
      <c r="D3375" t="b">
        <v>1</v>
      </c>
      <c r="E3375" t="s">
        <v>10</v>
      </c>
      <c r="F3375">
        <v>2826</v>
      </c>
    </row>
    <row r="3376" spans="1:6" x14ac:dyDescent="0.25">
      <c r="A3376" t="s">
        <v>6328</v>
      </c>
      <c r="B3376" t="s">
        <v>6329</v>
      </c>
      <c r="C3376" s="1">
        <v>44083</v>
      </c>
      <c r="D3376" t="b">
        <v>1</v>
      </c>
      <c r="E3376" t="s">
        <v>10</v>
      </c>
      <c r="F3376">
        <v>2827</v>
      </c>
    </row>
    <row r="3377" spans="1:6" x14ac:dyDescent="0.25">
      <c r="A3377" t="s">
        <v>6330</v>
      </c>
      <c r="B3377" t="s">
        <v>6331</v>
      </c>
      <c r="C3377" s="1">
        <v>44083</v>
      </c>
      <c r="D3377" t="b">
        <v>1</v>
      </c>
      <c r="E3377" t="s">
        <v>10</v>
      </c>
      <c r="F3377">
        <v>15483</v>
      </c>
    </row>
    <row r="3378" spans="1:6" x14ac:dyDescent="0.25">
      <c r="A3378" t="s">
        <v>6332</v>
      </c>
      <c r="B3378" t="s">
        <v>6333</v>
      </c>
      <c r="C3378" s="1">
        <v>44083</v>
      </c>
      <c r="D3378" t="b">
        <v>1</v>
      </c>
      <c r="E3378" t="s">
        <v>10</v>
      </c>
      <c r="F3378">
        <v>16217</v>
      </c>
    </row>
    <row r="3379" spans="1:6" x14ac:dyDescent="0.25">
      <c r="A3379" t="s">
        <v>6334</v>
      </c>
      <c r="C3379" s="1">
        <v>44083</v>
      </c>
      <c r="D3379" t="b">
        <v>1</v>
      </c>
      <c r="E3379" t="s">
        <v>10</v>
      </c>
      <c r="F3379">
        <v>16594</v>
      </c>
    </row>
    <row r="3380" spans="1:6" x14ac:dyDescent="0.25">
      <c r="A3380" t="s">
        <v>6335</v>
      </c>
      <c r="B3380" t="s">
        <v>6336</v>
      </c>
      <c r="C3380" s="1">
        <v>44083</v>
      </c>
      <c r="D3380" t="b">
        <v>1</v>
      </c>
      <c r="E3380" t="s">
        <v>10</v>
      </c>
      <c r="F3380">
        <v>2829</v>
      </c>
    </row>
    <row r="3381" spans="1:6" x14ac:dyDescent="0.25">
      <c r="A3381" t="s">
        <v>6337</v>
      </c>
      <c r="C3381" s="1">
        <v>44083</v>
      </c>
      <c r="D3381" t="b">
        <v>1</v>
      </c>
      <c r="E3381" t="s">
        <v>10</v>
      </c>
      <c r="F3381">
        <v>2830</v>
      </c>
    </row>
    <row r="3382" spans="1:6" x14ac:dyDescent="0.25">
      <c r="A3382" t="s">
        <v>6338</v>
      </c>
      <c r="C3382" s="1">
        <v>44083</v>
      </c>
      <c r="D3382" t="b">
        <v>1</v>
      </c>
      <c r="E3382" t="s">
        <v>10</v>
      </c>
      <c r="F3382">
        <v>8746</v>
      </c>
    </row>
    <row r="3383" spans="1:6" x14ac:dyDescent="0.25">
      <c r="A3383" t="s">
        <v>6339</v>
      </c>
      <c r="B3383" t="s">
        <v>6340</v>
      </c>
      <c r="C3383" s="1">
        <v>44083</v>
      </c>
      <c r="D3383" t="b">
        <v>1</v>
      </c>
      <c r="E3383" t="s">
        <v>10</v>
      </c>
      <c r="F3383">
        <v>2831</v>
      </c>
    </row>
    <row r="3384" spans="1:6" x14ac:dyDescent="0.25">
      <c r="A3384" t="s">
        <v>6341</v>
      </c>
      <c r="B3384" t="s">
        <v>6342</v>
      </c>
      <c r="C3384" s="1">
        <v>44083</v>
      </c>
      <c r="D3384" t="b">
        <v>1</v>
      </c>
      <c r="E3384" t="s">
        <v>10</v>
      </c>
      <c r="F3384">
        <v>2833</v>
      </c>
    </row>
    <row r="3385" spans="1:6" x14ac:dyDescent="0.25">
      <c r="A3385" t="s">
        <v>6343</v>
      </c>
      <c r="B3385" t="s">
        <v>6344</v>
      </c>
      <c r="C3385" s="1">
        <v>44083</v>
      </c>
      <c r="D3385" t="b">
        <v>1</v>
      </c>
      <c r="E3385" t="s">
        <v>10</v>
      </c>
      <c r="F3385">
        <v>2834</v>
      </c>
    </row>
    <row r="3386" spans="1:6" x14ac:dyDescent="0.25">
      <c r="A3386" t="s">
        <v>6345</v>
      </c>
      <c r="B3386" t="s">
        <v>6346</v>
      </c>
      <c r="C3386" s="1">
        <v>44083</v>
      </c>
      <c r="D3386" t="b">
        <v>1</v>
      </c>
      <c r="E3386" t="s">
        <v>10</v>
      </c>
      <c r="F3386">
        <v>2837</v>
      </c>
    </row>
    <row r="3387" spans="1:6" x14ac:dyDescent="0.25">
      <c r="A3387" t="s">
        <v>6347</v>
      </c>
      <c r="B3387" t="s">
        <v>6348</v>
      </c>
      <c r="C3387" s="1">
        <v>44083</v>
      </c>
      <c r="D3387" t="b">
        <v>1</v>
      </c>
      <c r="E3387" t="s">
        <v>10</v>
      </c>
      <c r="F3387">
        <v>2839</v>
      </c>
    </row>
    <row r="3388" spans="1:6" x14ac:dyDescent="0.25">
      <c r="A3388" t="s">
        <v>6349</v>
      </c>
      <c r="B3388" t="s">
        <v>6350</v>
      </c>
      <c r="C3388" s="1">
        <v>44083</v>
      </c>
      <c r="D3388" t="b">
        <v>1</v>
      </c>
      <c r="E3388" t="s">
        <v>10</v>
      </c>
      <c r="F3388">
        <v>2840</v>
      </c>
    </row>
    <row r="3389" spans="1:6" x14ac:dyDescent="0.25">
      <c r="A3389" t="s">
        <v>6351</v>
      </c>
      <c r="C3389" s="1">
        <v>44083</v>
      </c>
      <c r="D3389" t="b">
        <v>1</v>
      </c>
      <c r="E3389" t="s">
        <v>10</v>
      </c>
      <c r="F3389">
        <v>2841</v>
      </c>
    </row>
    <row r="3390" spans="1:6" x14ac:dyDescent="0.25">
      <c r="A3390" t="s">
        <v>6352</v>
      </c>
      <c r="B3390" t="s">
        <v>6353</v>
      </c>
      <c r="C3390" s="1">
        <v>44083</v>
      </c>
      <c r="D3390" t="b">
        <v>1</v>
      </c>
      <c r="E3390" t="s">
        <v>10</v>
      </c>
      <c r="F3390">
        <v>12025</v>
      </c>
    </row>
    <row r="3391" spans="1:6" x14ac:dyDescent="0.25">
      <c r="A3391" t="s">
        <v>6354</v>
      </c>
      <c r="C3391" s="1">
        <v>44083</v>
      </c>
      <c r="D3391" t="b">
        <v>1</v>
      </c>
      <c r="E3391" t="s">
        <v>10</v>
      </c>
      <c r="F3391">
        <v>12050</v>
      </c>
    </row>
    <row r="3392" spans="1:6" x14ac:dyDescent="0.25">
      <c r="A3392" t="s">
        <v>6355</v>
      </c>
      <c r="B3392" t="s">
        <v>6356</v>
      </c>
      <c r="C3392" s="1">
        <v>44083</v>
      </c>
      <c r="D3392" t="b">
        <v>1</v>
      </c>
      <c r="E3392" t="s">
        <v>10</v>
      </c>
      <c r="F3392">
        <v>2846</v>
      </c>
    </row>
    <row r="3393" spans="1:6" x14ac:dyDescent="0.25">
      <c r="A3393" t="s">
        <v>6357</v>
      </c>
      <c r="C3393" s="1">
        <v>44083</v>
      </c>
      <c r="D3393" t="b">
        <v>1</v>
      </c>
      <c r="E3393" t="s">
        <v>10</v>
      </c>
      <c r="F3393">
        <v>13469</v>
      </c>
    </row>
    <row r="3394" spans="1:6" x14ac:dyDescent="0.25">
      <c r="A3394" t="s">
        <v>6358</v>
      </c>
      <c r="C3394" s="1">
        <v>44083</v>
      </c>
      <c r="D3394" t="b">
        <v>1</v>
      </c>
      <c r="E3394" t="s">
        <v>10</v>
      </c>
      <c r="F3394">
        <v>16415</v>
      </c>
    </row>
    <row r="3395" spans="1:6" x14ac:dyDescent="0.25">
      <c r="A3395" t="s">
        <v>6359</v>
      </c>
      <c r="B3395" t="s">
        <v>6360</v>
      </c>
      <c r="C3395" s="1">
        <v>44083</v>
      </c>
      <c r="D3395" t="b">
        <v>1</v>
      </c>
      <c r="E3395" t="s">
        <v>10</v>
      </c>
      <c r="F3395">
        <v>8809</v>
      </c>
    </row>
    <row r="3396" spans="1:6" x14ac:dyDescent="0.25">
      <c r="A3396" t="s">
        <v>6361</v>
      </c>
      <c r="C3396" s="1">
        <v>44083</v>
      </c>
      <c r="D3396" t="b">
        <v>1</v>
      </c>
      <c r="E3396" t="s">
        <v>10</v>
      </c>
      <c r="F3396">
        <v>11367</v>
      </c>
    </row>
    <row r="3397" spans="1:6" x14ac:dyDescent="0.25">
      <c r="A3397" t="s">
        <v>6362</v>
      </c>
      <c r="B3397" t="s">
        <v>6363</v>
      </c>
      <c r="C3397" s="1">
        <v>44083</v>
      </c>
      <c r="D3397" t="b">
        <v>1</v>
      </c>
      <c r="E3397" t="s">
        <v>10</v>
      </c>
      <c r="F3397">
        <v>14992</v>
      </c>
    </row>
    <row r="3398" spans="1:6" x14ac:dyDescent="0.25">
      <c r="A3398" t="s">
        <v>6364</v>
      </c>
      <c r="B3398" t="s">
        <v>6365</v>
      </c>
      <c r="C3398" s="1">
        <v>44083</v>
      </c>
      <c r="D3398" t="b">
        <v>1</v>
      </c>
      <c r="E3398" t="s">
        <v>10</v>
      </c>
      <c r="F3398">
        <v>7512</v>
      </c>
    </row>
    <row r="3399" spans="1:6" x14ac:dyDescent="0.25">
      <c r="A3399" t="s">
        <v>6366</v>
      </c>
      <c r="B3399" t="s">
        <v>6367</v>
      </c>
      <c r="C3399" s="1">
        <v>44083</v>
      </c>
      <c r="D3399" t="b">
        <v>1</v>
      </c>
      <c r="E3399" t="s">
        <v>10</v>
      </c>
      <c r="F3399">
        <v>14204</v>
      </c>
    </row>
    <row r="3400" spans="1:6" x14ac:dyDescent="0.25">
      <c r="A3400" t="s">
        <v>6368</v>
      </c>
      <c r="B3400" t="s">
        <v>6369</v>
      </c>
      <c r="C3400" s="1">
        <v>44083</v>
      </c>
      <c r="D3400" t="b">
        <v>1</v>
      </c>
      <c r="E3400" t="s">
        <v>10</v>
      </c>
      <c r="F3400">
        <v>16618</v>
      </c>
    </row>
    <row r="3401" spans="1:6" x14ac:dyDescent="0.25">
      <c r="A3401" t="s">
        <v>6370</v>
      </c>
      <c r="B3401" t="s">
        <v>6371</v>
      </c>
      <c r="C3401" s="1">
        <v>44083</v>
      </c>
      <c r="D3401" t="b">
        <v>1</v>
      </c>
      <c r="E3401" t="s">
        <v>10</v>
      </c>
      <c r="F3401">
        <v>16359</v>
      </c>
    </row>
    <row r="3402" spans="1:6" x14ac:dyDescent="0.25">
      <c r="A3402" t="s">
        <v>6372</v>
      </c>
      <c r="C3402" s="1">
        <v>44083</v>
      </c>
      <c r="D3402" t="b">
        <v>1</v>
      </c>
      <c r="E3402" t="s">
        <v>10</v>
      </c>
      <c r="F3402">
        <v>16619</v>
      </c>
    </row>
    <row r="3403" spans="1:6" x14ac:dyDescent="0.25">
      <c r="A3403" t="s">
        <v>6373</v>
      </c>
      <c r="B3403" t="s">
        <v>6374</v>
      </c>
      <c r="C3403" s="1">
        <v>44083</v>
      </c>
      <c r="D3403" t="b">
        <v>1</v>
      </c>
      <c r="E3403" t="s">
        <v>10</v>
      </c>
      <c r="F3403">
        <v>2850</v>
      </c>
    </row>
    <row r="3404" spans="1:6" x14ac:dyDescent="0.25">
      <c r="A3404" t="s">
        <v>6375</v>
      </c>
      <c r="B3404" t="s">
        <v>6376</v>
      </c>
      <c r="C3404" s="1">
        <v>44083</v>
      </c>
      <c r="D3404" t="b">
        <v>1</v>
      </c>
      <c r="E3404" t="s">
        <v>10</v>
      </c>
      <c r="F3404">
        <v>2851</v>
      </c>
    </row>
    <row r="3405" spans="1:6" x14ac:dyDescent="0.25">
      <c r="A3405" t="s">
        <v>6377</v>
      </c>
      <c r="B3405" t="s">
        <v>6378</v>
      </c>
      <c r="C3405" s="1">
        <v>44083</v>
      </c>
      <c r="D3405" t="b">
        <v>1</v>
      </c>
      <c r="E3405" t="s">
        <v>10</v>
      </c>
      <c r="F3405">
        <v>15201</v>
      </c>
    </row>
    <row r="3406" spans="1:6" x14ac:dyDescent="0.25">
      <c r="A3406" t="s">
        <v>6379</v>
      </c>
      <c r="B3406" t="s">
        <v>6380</v>
      </c>
      <c r="C3406" s="1">
        <v>44083</v>
      </c>
      <c r="D3406" t="b">
        <v>1</v>
      </c>
      <c r="E3406" t="s">
        <v>10</v>
      </c>
      <c r="F3406">
        <v>2852</v>
      </c>
    </row>
    <row r="3407" spans="1:6" x14ac:dyDescent="0.25">
      <c r="A3407" t="s">
        <v>6381</v>
      </c>
      <c r="B3407" t="s">
        <v>6382</v>
      </c>
      <c r="C3407" s="1">
        <v>44083</v>
      </c>
      <c r="D3407" t="b">
        <v>1</v>
      </c>
      <c r="E3407" t="s">
        <v>10</v>
      </c>
      <c r="F3407">
        <v>13357</v>
      </c>
    </row>
    <row r="3408" spans="1:6" x14ac:dyDescent="0.25">
      <c r="A3408" t="s">
        <v>6383</v>
      </c>
      <c r="B3408" t="s">
        <v>6384</v>
      </c>
      <c r="C3408" s="1">
        <v>44083</v>
      </c>
      <c r="D3408" t="b">
        <v>1</v>
      </c>
      <c r="E3408" t="s">
        <v>10</v>
      </c>
      <c r="F3408">
        <v>2853</v>
      </c>
    </row>
    <row r="3409" spans="1:6" x14ac:dyDescent="0.25">
      <c r="A3409" t="s">
        <v>6385</v>
      </c>
      <c r="B3409" t="s">
        <v>6386</v>
      </c>
      <c r="C3409" s="1">
        <v>44083</v>
      </c>
      <c r="D3409" t="b">
        <v>1</v>
      </c>
      <c r="E3409" t="s">
        <v>10</v>
      </c>
      <c r="F3409">
        <v>2854</v>
      </c>
    </row>
    <row r="3410" spans="1:6" x14ac:dyDescent="0.25">
      <c r="A3410" t="s">
        <v>6387</v>
      </c>
      <c r="B3410" t="s">
        <v>6388</v>
      </c>
      <c r="C3410" s="1">
        <v>44083</v>
      </c>
      <c r="D3410" t="b">
        <v>1</v>
      </c>
      <c r="E3410" t="s">
        <v>10</v>
      </c>
      <c r="F3410">
        <v>2855</v>
      </c>
    </row>
    <row r="3411" spans="1:6" x14ac:dyDescent="0.25">
      <c r="A3411" t="s">
        <v>6389</v>
      </c>
      <c r="B3411" t="s">
        <v>6390</v>
      </c>
      <c r="C3411" s="1">
        <v>44083</v>
      </c>
      <c r="D3411" t="b">
        <v>1</v>
      </c>
      <c r="E3411" t="s">
        <v>10</v>
      </c>
      <c r="F3411">
        <v>13005</v>
      </c>
    </row>
    <row r="3412" spans="1:6" x14ac:dyDescent="0.25">
      <c r="A3412" t="s">
        <v>6391</v>
      </c>
      <c r="B3412" t="s">
        <v>6392</v>
      </c>
      <c r="C3412" s="1">
        <v>44083</v>
      </c>
      <c r="D3412" t="b">
        <v>1</v>
      </c>
      <c r="E3412" t="s">
        <v>10</v>
      </c>
      <c r="F3412">
        <v>15701</v>
      </c>
    </row>
    <row r="3413" spans="1:6" x14ac:dyDescent="0.25">
      <c r="A3413" t="s">
        <v>6393</v>
      </c>
      <c r="B3413" t="s">
        <v>6394</v>
      </c>
      <c r="C3413" s="1">
        <v>44083</v>
      </c>
      <c r="D3413" t="b">
        <v>1</v>
      </c>
      <c r="E3413" t="s">
        <v>10</v>
      </c>
      <c r="F3413">
        <v>2858</v>
      </c>
    </row>
    <row r="3414" spans="1:6" x14ac:dyDescent="0.25">
      <c r="A3414" t="s">
        <v>6395</v>
      </c>
      <c r="B3414" t="s">
        <v>6396</v>
      </c>
      <c r="C3414" s="1">
        <v>44083</v>
      </c>
      <c r="D3414" t="b">
        <v>1</v>
      </c>
      <c r="E3414" t="s">
        <v>10</v>
      </c>
      <c r="F3414">
        <v>2859</v>
      </c>
    </row>
    <row r="3415" spans="1:6" x14ac:dyDescent="0.25">
      <c r="A3415" t="s">
        <v>6397</v>
      </c>
      <c r="B3415" t="s">
        <v>6398</v>
      </c>
      <c r="C3415" s="1">
        <v>44083</v>
      </c>
      <c r="D3415" t="b">
        <v>1</v>
      </c>
      <c r="E3415" t="s">
        <v>10</v>
      </c>
      <c r="F3415">
        <v>2860</v>
      </c>
    </row>
    <row r="3416" spans="1:6" x14ac:dyDescent="0.25">
      <c r="A3416" t="s">
        <v>6399</v>
      </c>
      <c r="B3416" t="s">
        <v>6400</v>
      </c>
      <c r="C3416" s="1">
        <v>44083</v>
      </c>
      <c r="D3416" t="b">
        <v>1</v>
      </c>
      <c r="E3416" t="s">
        <v>10</v>
      </c>
      <c r="F3416">
        <v>16900</v>
      </c>
    </row>
    <row r="3417" spans="1:6" x14ac:dyDescent="0.25">
      <c r="A3417" t="s">
        <v>6401</v>
      </c>
      <c r="C3417" s="1">
        <v>44083</v>
      </c>
      <c r="D3417" t="b">
        <v>1</v>
      </c>
      <c r="E3417" t="s">
        <v>10</v>
      </c>
      <c r="F3417">
        <v>16920</v>
      </c>
    </row>
    <row r="3418" spans="1:6" x14ac:dyDescent="0.25">
      <c r="A3418" t="s">
        <v>6402</v>
      </c>
      <c r="B3418" t="s">
        <v>6403</v>
      </c>
      <c r="C3418" s="1">
        <v>44083</v>
      </c>
      <c r="D3418" t="b">
        <v>1</v>
      </c>
      <c r="E3418" t="s">
        <v>10</v>
      </c>
      <c r="F3418">
        <v>16553</v>
      </c>
    </row>
    <row r="3419" spans="1:6" x14ac:dyDescent="0.25">
      <c r="A3419" t="s">
        <v>6404</v>
      </c>
      <c r="B3419" t="s">
        <v>6405</v>
      </c>
      <c r="C3419" s="1">
        <v>44083</v>
      </c>
      <c r="D3419" t="b">
        <v>1</v>
      </c>
      <c r="E3419" t="s">
        <v>10</v>
      </c>
      <c r="F3419">
        <v>2861</v>
      </c>
    </row>
    <row r="3420" spans="1:6" x14ac:dyDescent="0.25">
      <c r="A3420" t="s">
        <v>6406</v>
      </c>
      <c r="B3420" t="s">
        <v>6407</v>
      </c>
      <c r="C3420" s="1">
        <v>44083</v>
      </c>
      <c r="D3420" t="b">
        <v>1</v>
      </c>
      <c r="E3420" t="s">
        <v>10</v>
      </c>
      <c r="F3420">
        <v>2862</v>
      </c>
    </row>
    <row r="3421" spans="1:6" x14ac:dyDescent="0.25">
      <c r="A3421" t="s">
        <v>6408</v>
      </c>
      <c r="B3421" t="s">
        <v>6409</v>
      </c>
      <c r="C3421" s="1">
        <v>44083</v>
      </c>
      <c r="D3421" t="b">
        <v>1</v>
      </c>
      <c r="E3421" t="s">
        <v>10</v>
      </c>
      <c r="F3421">
        <v>2863</v>
      </c>
    </row>
    <row r="3422" spans="1:6" x14ac:dyDescent="0.25">
      <c r="A3422" t="s">
        <v>6410</v>
      </c>
      <c r="B3422" t="s">
        <v>6411</v>
      </c>
      <c r="C3422" s="1">
        <v>44083</v>
      </c>
      <c r="D3422" t="b">
        <v>1</v>
      </c>
      <c r="E3422" t="s">
        <v>10</v>
      </c>
      <c r="F3422">
        <v>2864</v>
      </c>
    </row>
    <row r="3423" spans="1:6" x14ac:dyDescent="0.25">
      <c r="A3423" t="s">
        <v>6412</v>
      </c>
      <c r="B3423" t="s">
        <v>6413</v>
      </c>
      <c r="C3423" s="1">
        <v>44083</v>
      </c>
      <c r="D3423" t="b">
        <v>1</v>
      </c>
      <c r="E3423" t="s">
        <v>10</v>
      </c>
      <c r="F3423">
        <v>2866</v>
      </c>
    </row>
    <row r="3424" spans="1:6" x14ac:dyDescent="0.25">
      <c r="A3424" t="s">
        <v>6414</v>
      </c>
      <c r="B3424" t="s">
        <v>6415</v>
      </c>
      <c r="C3424" s="1">
        <v>44083</v>
      </c>
      <c r="D3424" t="b">
        <v>1</v>
      </c>
      <c r="E3424" t="s">
        <v>10</v>
      </c>
      <c r="F3424">
        <v>15817</v>
      </c>
    </row>
    <row r="3425" spans="1:6" x14ac:dyDescent="0.25">
      <c r="A3425" t="s">
        <v>6416</v>
      </c>
      <c r="C3425" s="1">
        <v>44083</v>
      </c>
      <c r="D3425" t="b">
        <v>1</v>
      </c>
      <c r="E3425" t="s">
        <v>10</v>
      </c>
      <c r="F3425">
        <v>15895</v>
      </c>
    </row>
    <row r="3426" spans="1:6" x14ac:dyDescent="0.25">
      <c r="A3426" t="s">
        <v>6417</v>
      </c>
      <c r="B3426" t="s">
        <v>6415</v>
      </c>
      <c r="C3426" s="1">
        <v>44083</v>
      </c>
      <c r="D3426" t="b">
        <v>1</v>
      </c>
      <c r="E3426" t="s">
        <v>10</v>
      </c>
      <c r="F3426">
        <v>15720</v>
      </c>
    </row>
    <row r="3427" spans="1:6" x14ac:dyDescent="0.25">
      <c r="A3427" t="s">
        <v>6418</v>
      </c>
      <c r="B3427" t="s">
        <v>6419</v>
      </c>
      <c r="C3427" s="1">
        <v>44083</v>
      </c>
      <c r="D3427" t="b">
        <v>1</v>
      </c>
      <c r="E3427" t="s">
        <v>10</v>
      </c>
      <c r="F3427">
        <v>15896</v>
      </c>
    </row>
    <row r="3428" spans="1:6" x14ac:dyDescent="0.25">
      <c r="A3428" t="s">
        <v>6420</v>
      </c>
      <c r="C3428" s="1">
        <v>44083</v>
      </c>
      <c r="D3428" t="b">
        <v>1</v>
      </c>
      <c r="E3428" t="s">
        <v>10</v>
      </c>
      <c r="F3428">
        <v>2871</v>
      </c>
    </row>
    <row r="3429" spans="1:6" x14ac:dyDescent="0.25">
      <c r="A3429" t="s">
        <v>6421</v>
      </c>
      <c r="C3429" s="1">
        <v>44083</v>
      </c>
      <c r="D3429" t="b">
        <v>1</v>
      </c>
      <c r="E3429" t="s">
        <v>10</v>
      </c>
      <c r="F3429">
        <v>2876</v>
      </c>
    </row>
    <row r="3430" spans="1:6" x14ac:dyDescent="0.25">
      <c r="A3430" t="s">
        <v>6422</v>
      </c>
      <c r="C3430" s="1">
        <v>44083</v>
      </c>
      <c r="D3430" t="b">
        <v>1</v>
      </c>
      <c r="E3430" t="s">
        <v>10</v>
      </c>
      <c r="F3430">
        <v>2877</v>
      </c>
    </row>
    <row r="3431" spans="1:6" x14ac:dyDescent="0.25">
      <c r="A3431" t="s">
        <v>6423</v>
      </c>
      <c r="C3431" s="1">
        <v>44083</v>
      </c>
      <c r="D3431" t="b">
        <v>1</v>
      </c>
      <c r="E3431" t="s">
        <v>10</v>
      </c>
      <c r="F3431">
        <v>2878</v>
      </c>
    </row>
    <row r="3432" spans="1:6" x14ac:dyDescent="0.25">
      <c r="A3432" t="s">
        <v>6424</v>
      </c>
      <c r="C3432" s="1">
        <v>44083</v>
      </c>
      <c r="D3432" t="b">
        <v>1</v>
      </c>
      <c r="E3432" t="s">
        <v>10</v>
      </c>
      <c r="F3432">
        <v>2879</v>
      </c>
    </row>
    <row r="3433" spans="1:6" x14ac:dyDescent="0.25">
      <c r="A3433" t="s">
        <v>6425</v>
      </c>
      <c r="C3433" s="1">
        <v>44083</v>
      </c>
      <c r="D3433" t="b">
        <v>1</v>
      </c>
      <c r="E3433" t="s">
        <v>10</v>
      </c>
      <c r="F3433">
        <v>2880</v>
      </c>
    </row>
    <row r="3434" spans="1:6" x14ac:dyDescent="0.25">
      <c r="A3434" t="s">
        <v>6426</v>
      </c>
      <c r="B3434" t="s">
        <v>6427</v>
      </c>
      <c r="C3434" s="1">
        <v>44083</v>
      </c>
      <c r="D3434" t="b">
        <v>1</v>
      </c>
      <c r="E3434" t="s">
        <v>10</v>
      </c>
      <c r="F3434">
        <v>9989</v>
      </c>
    </row>
    <row r="3435" spans="1:6" x14ac:dyDescent="0.25">
      <c r="A3435" t="s">
        <v>6428</v>
      </c>
      <c r="B3435" t="s">
        <v>6429</v>
      </c>
      <c r="C3435" s="1">
        <v>44083</v>
      </c>
      <c r="D3435" t="b">
        <v>1</v>
      </c>
      <c r="E3435" t="s">
        <v>10</v>
      </c>
      <c r="F3435">
        <v>6837</v>
      </c>
    </row>
    <row r="3436" spans="1:6" x14ac:dyDescent="0.25">
      <c r="A3436" t="s">
        <v>6430</v>
      </c>
      <c r="C3436" s="1">
        <v>44083</v>
      </c>
      <c r="D3436" t="b">
        <v>1</v>
      </c>
      <c r="E3436" t="s">
        <v>10</v>
      </c>
      <c r="F3436">
        <v>11201</v>
      </c>
    </row>
    <row r="3437" spans="1:6" x14ac:dyDescent="0.25">
      <c r="A3437" t="s">
        <v>6431</v>
      </c>
      <c r="B3437" t="s">
        <v>6432</v>
      </c>
      <c r="C3437" s="1">
        <v>44083</v>
      </c>
      <c r="D3437" t="b">
        <v>1</v>
      </c>
      <c r="E3437" t="s">
        <v>10</v>
      </c>
      <c r="F3437">
        <v>2885</v>
      </c>
    </row>
    <row r="3438" spans="1:6" x14ac:dyDescent="0.25">
      <c r="A3438" t="s">
        <v>6433</v>
      </c>
      <c r="C3438" s="1">
        <v>44083</v>
      </c>
      <c r="D3438" t="b">
        <v>1</v>
      </c>
      <c r="E3438" t="s">
        <v>10</v>
      </c>
      <c r="F3438">
        <v>15213</v>
      </c>
    </row>
    <row r="3439" spans="1:6" x14ac:dyDescent="0.25">
      <c r="A3439" t="s">
        <v>6434</v>
      </c>
      <c r="C3439" s="1">
        <v>44083</v>
      </c>
      <c r="D3439" t="b">
        <v>1</v>
      </c>
      <c r="E3439" t="s">
        <v>10</v>
      </c>
      <c r="F3439">
        <v>16193</v>
      </c>
    </row>
    <row r="3440" spans="1:6" x14ac:dyDescent="0.25">
      <c r="A3440" t="s">
        <v>6435</v>
      </c>
      <c r="B3440" t="s">
        <v>6436</v>
      </c>
      <c r="C3440" s="1">
        <v>44083</v>
      </c>
      <c r="D3440" t="b">
        <v>1</v>
      </c>
      <c r="E3440" t="s">
        <v>10</v>
      </c>
      <c r="F3440">
        <v>2887</v>
      </c>
    </row>
    <row r="3441" spans="1:6" x14ac:dyDescent="0.25">
      <c r="A3441" t="s">
        <v>6437</v>
      </c>
      <c r="B3441" t="s">
        <v>6438</v>
      </c>
      <c r="C3441" s="1">
        <v>44083</v>
      </c>
      <c r="D3441" t="b">
        <v>1</v>
      </c>
      <c r="E3441" t="s">
        <v>10</v>
      </c>
      <c r="F3441">
        <v>2888</v>
      </c>
    </row>
    <row r="3442" spans="1:6" x14ac:dyDescent="0.25">
      <c r="A3442" t="s">
        <v>6439</v>
      </c>
      <c r="B3442" t="s">
        <v>6440</v>
      </c>
      <c r="C3442" s="1">
        <v>44083</v>
      </c>
      <c r="D3442" t="b">
        <v>1</v>
      </c>
      <c r="E3442" t="s">
        <v>10</v>
      </c>
      <c r="F3442">
        <v>5340</v>
      </c>
    </row>
    <row r="3443" spans="1:6" x14ac:dyDescent="0.25">
      <c r="A3443" t="s">
        <v>6441</v>
      </c>
      <c r="B3443" t="s">
        <v>6442</v>
      </c>
      <c r="C3443" s="1">
        <v>44083</v>
      </c>
      <c r="D3443" t="b">
        <v>1</v>
      </c>
      <c r="E3443" t="s">
        <v>10</v>
      </c>
      <c r="F3443">
        <v>2891</v>
      </c>
    </row>
    <row r="3444" spans="1:6" x14ac:dyDescent="0.25">
      <c r="A3444" t="s">
        <v>6443</v>
      </c>
      <c r="B3444" t="s">
        <v>6444</v>
      </c>
      <c r="C3444" s="1">
        <v>44083</v>
      </c>
      <c r="D3444" t="b">
        <v>1</v>
      </c>
      <c r="E3444" t="s">
        <v>10</v>
      </c>
      <c r="F3444">
        <v>2893</v>
      </c>
    </row>
    <row r="3445" spans="1:6" x14ac:dyDescent="0.25">
      <c r="A3445" t="s">
        <v>6445</v>
      </c>
      <c r="B3445" t="s">
        <v>6446</v>
      </c>
      <c r="C3445" s="1">
        <v>44083</v>
      </c>
      <c r="D3445" t="b">
        <v>1</v>
      </c>
      <c r="E3445" t="s">
        <v>10</v>
      </c>
      <c r="F3445">
        <v>2894</v>
      </c>
    </row>
    <row r="3446" spans="1:6" x14ac:dyDescent="0.25">
      <c r="A3446" t="s">
        <v>6447</v>
      </c>
      <c r="B3446" t="s">
        <v>6448</v>
      </c>
      <c r="C3446" s="1">
        <v>44083</v>
      </c>
      <c r="D3446" t="b">
        <v>1</v>
      </c>
      <c r="E3446" t="s">
        <v>10</v>
      </c>
      <c r="F3446">
        <v>14765</v>
      </c>
    </row>
    <row r="3447" spans="1:6" x14ac:dyDescent="0.25">
      <c r="A3447" t="s">
        <v>6449</v>
      </c>
      <c r="B3447" t="s">
        <v>6450</v>
      </c>
      <c r="C3447" s="1">
        <v>44083</v>
      </c>
      <c r="D3447" t="b">
        <v>1</v>
      </c>
      <c r="E3447" t="s">
        <v>10</v>
      </c>
      <c r="F3447">
        <v>16285</v>
      </c>
    </row>
    <row r="3448" spans="1:6" x14ac:dyDescent="0.25">
      <c r="A3448" t="s">
        <v>6451</v>
      </c>
      <c r="C3448" s="1">
        <v>44083</v>
      </c>
      <c r="D3448" t="b">
        <v>1</v>
      </c>
      <c r="E3448" t="s">
        <v>10</v>
      </c>
      <c r="F3448">
        <v>16298</v>
      </c>
    </row>
    <row r="3449" spans="1:6" x14ac:dyDescent="0.25">
      <c r="A3449" t="s">
        <v>6452</v>
      </c>
      <c r="B3449" t="s">
        <v>6450</v>
      </c>
      <c r="C3449" s="1">
        <v>44083</v>
      </c>
      <c r="D3449" t="b">
        <v>1</v>
      </c>
      <c r="E3449" t="s">
        <v>10</v>
      </c>
      <c r="F3449">
        <v>16153</v>
      </c>
    </row>
    <row r="3450" spans="1:6" x14ac:dyDescent="0.25">
      <c r="A3450" t="s">
        <v>6453</v>
      </c>
      <c r="B3450" t="s">
        <v>6454</v>
      </c>
      <c r="C3450" s="1">
        <v>44083</v>
      </c>
      <c r="D3450" t="b">
        <v>1</v>
      </c>
      <c r="E3450" t="s">
        <v>10</v>
      </c>
      <c r="F3450">
        <v>7738</v>
      </c>
    </row>
    <row r="3451" spans="1:6" x14ac:dyDescent="0.25">
      <c r="A3451" t="s">
        <v>6455</v>
      </c>
      <c r="B3451" t="s">
        <v>6456</v>
      </c>
      <c r="C3451" s="1">
        <v>44083</v>
      </c>
      <c r="D3451" t="b">
        <v>1</v>
      </c>
      <c r="E3451" t="s">
        <v>10</v>
      </c>
      <c r="F3451">
        <v>14215</v>
      </c>
    </row>
    <row r="3452" spans="1:6" x14ac:dyDescent="0.25">
      <c r="A3452" t="s">
        <v>6457</v>
      </c>
      <c r="C3452" s="1">
        <v>44083</v>
      </c>
      <c r="D3452" t="b">
        <v>1</v>
      </c>
      <c r="E3452" t="s">
        <v>10</v>
      </c>
      <c r="F3452">
        <v>14230</v>
      </c>
    </row>
    <row r="3453" spans="1:6" x14ac:dyDescent="0.25">
      <c r="A3453" t="s">
        <v>6458</v>
      </c>
      <c r="B3453" t="s">
        <v>6459</v>
      </c>
      <c r="C3453" s="1">
        <v>44083</v>
      </c>
      <c r="D3453" t="b">
        <v>1</v>
      </c>
      <c r="E3453" t="s">
        <v>10</v>
      </c>
      <c r="F3453">
        <v>15752</v>
      </c>
    </row>
    <row r="3454" spans="1:6" x14ac:dyDescent="0.25">
      <c r="A3454" t="s">
        <v>6460</v>
      </c>
      <c r="B3454" t="s">
        <v>6461</v>
      </c>
      <c r="C3454" s="1">
        <v>44083</v>
      </c>
      <c r="D3454" t="b">
        <v>1</v>
      </c>
      <c r="E3454" t="s">
        <v>10</v>
      </c>
      <c r="F3454">
        <v>6148</v>
      </c>
    </row>
    <row r="3455" spans="1:6" x14ac:dyDescent="0.25">
      <c r="A3455" t="s">
        <v>6462</v>
      </c>
      <c r="B3455" t="s">
        <v>6463</v>
      </c>
      <c r="C3455" s="1">
        <v>44083</v>
      </c>
      <c r="D3455" t="b">
        <v>1</v>
      </c>
      <c r="E3455" t="s">
        <v>10</v>
      </c>
      <c r="F3455">
        <v>2897</v>
      </c>
    </row>
    <row r="3456" spans="1:6" x14ac:dyDescent="0.25">
      <c r="A3456" t="s">
        <v>6464</v>
      </c>
      <c r="B3456" t="s">
        <v>6465</v>
      </c>
      <c r="C3456" s="1">
        <v>44083</v>
      </c>
      <c r="D3456" t="b">
        <v>1</v>
      </c>
      <c r="E3456" t="s">
        <v>10</v>
      </c>
      <c r="F3456">
        <v>8378</v>
      </c>
    </row>
    <row r="3457" spans="1:6" x14ac:dyDescent="0.25">
      <c r="A3457" t="s">
        <v>6466</v>
      </c>
      <c r="B3457" t="s">
        <v>6467</v>
      </c>
      <c r="C3457" s="1">
        <v>44083</v>
      </c>
      <c r="D3457" t="b">
        <v>1</v>
      </c>
      <c r="E3457" t="s">
        <v>10</v>
      </c>
      <c r="F3457">
        <v>2898</v>
      </c>
    </row>
    <row r="3458" spans="1:6" x14ac:dyDescent="0.25">
      <c r="A3458" t="s">
        <v>6468</v>
      </c>
      <c r="B3458" t="s">
        <v>6469</v>
      </c>
      <c r="C3458" s="1">
        <v>44083</v>
      </c>
      <c r="D3458" t="b">
        <v>1</v>
      </c>
      <c r="E3458" t="s">
        <v>10</v>
      </c>
      <c r="F3458">
        <v>2899</v>
      </c>
    </row>
    <row r="3459" spans="1:6" x14ac:dyDescent="0.25">
      <c r="A3459" t="s">
        <v>6470</v>
      </c>
      <c r="B3459" t="s">
        <v>6471</v>
      </c>
      <c r="C3459" s="1">
        <v>44083</v>
      </c>
      <c r="D3459" t="b">
        <v>1</v>
      </c>
      <c r="E3459" t="s">
        <v>10</v>
      </c>
      <c r="F3459">
        <v>7836</v>
      </c>
    </row>
    <row r="3460" spans="1:6" x14ac:dyDescent="0.25">
      <c r="A3460" t="s">
        <v>6472</v>
      </c>
      <c r="B3460" t="s">
        <v>6473</v>
      </c>
      <c r="C3460" s="1">
        <v>44083</v>
      </c>
      <c r="D3460" t="b">
        <v>1</v>
      </c>
      <c r="E3460" t="s">
        <v>10</v>
      </c>
      <c r="F3460">
        <v>2900</v>
      </c>
    </row>
    <row r="3461" spans="1:6" x14ac:dyDescent="0.25">
      <c r="A3461" t="s">
        <v>6474</v>
      </c>
      <c r="C3461" s="1">
        <v>44083</v>
      </c>
      <c r="D3461" t="b">
        <v>1</v>
      </c>
      <c r="E3461" t="s">
        <v>10</v>
      </c>
      <c r="F3461">
        <v>14595</v>
      </c>
    </row>
    <row r="3462" spans="1:6" x14ac:dyDescent="0.25">
      <c r="A3462" t="s">
        <v>6475</v>
      </c>
      <c r="B3462" t="s">
        <v>6476</v>
      </c>
      <c r="C3462" s="1">
        <v>44083</v>
      </c>
      <c r="D3462" t="b">
        <v>1</v>
      </c>
      <c r="E3462" t="s">
        <v>10</v>
      </c>
      <c r="F3462">
        <v>8537</v>
      </c>
    </row>
    <row r="3463" spans="1:6" x14ac:dyDescent="0.25">
      <c r="A3463" t="s">
        <v>6477</v>
      </c>
      <c r="C3463" s="1">
        <v>44083</v>
      </c>
      <c r="D3463" t="b">
        <v>1</v>
      </c>
      <c r="E3463" t="s">
        <v>10</v>
      </c>
      <c r="F3463">
        <v>14596</v>
      </c>
    </row>
    <row r="3464" spans="1:6" x14ac:dyDescent="0.25">
      <c r="A3464" t="s">
        <v>6478</v>
      </c>
      <c r="C3464" s="1">
        <v>44083</v>
      </c>
      <c r="D3464" t="b">
        <v>1</v>
      </c>
      <c r="E3464" t="s">
        <v>10</v>
      </c>
      <c r="F3464">
        <v>14597</v>
      </c>
    </row>
    <row r="3465" spans="1:6" x14ac:dyDescent="0.25">
      <c r="A3465" t="s">
        <v>6479</v>
      </c>
      <c r="C3465" s="1">
        <v>44083</v>
      </c>
      <c r="D3465" t="b">
        <v>1</v>
      </c>
      <c r="E3465" t="s">
        <v>10</v>
      </c>
      <c r="F3465">
        <v>15241</v>
      </c>
    </row>
    <row r="3466" spans="1:6" x14ac:dyDescent="0.25">
      <c r="A3466" t="s">
        <v>6480</v>
      </c>
      <c r="B3466" t="s">
        <v>6481</v>
      </c>
      <c r="C3466" s="1">
        <v>44083</v>
      </c>
      <c r="D3466" t="b">
        <v>1</v>
      </c>
      <c r="E3466" t="s">
        <v>10</v>
      </c>
      <c r="F3466">
        <v>2902</v>
      </c>
    </row>
    <row r="3467" spans="1:6" x14ac:dyDescent="0.25">
      <c r="A3467" t="s">
        <v>6482</v>
      </c>
      <c r="C3467" s="1">
        <v>44083</v>
      </c>
      <c r="D3467" t="b">
        <v>1</v>
      </c>
      <c r="E3467" t="s">
        <v>10</v>
      </c>
      <c r="F3467">
        <v>14923</v>
      </c>
    </row>
    <row r="3468" spans="1:6" x14ac:dyDescent="0.25">
      <c r="A3468" t="s">
        <v>6483</v>
      </c>
      <c r="B3468" t="s">
        <v>6484</v>
      </c>
      <c r="C3468" s="1">
        <v>44083</v>
      </c>
      <c r="D3468" t="b">
        <v>1</v>
      </c>
      <c r="E3468" t="s">
        <v>10</v>
      </c>
      <c r="F3468">
        <v>9994</v>
      </c>
    </row>
    <row r="3469" spans="1:6" x14ac:dyDescent="0.25">
      <c r="A3469" t="s">
        <v>6485</v>
      </c>
      <c r="B3469" t="s">
        <v>6486</v>
      </c>
      <c r="C3469" s="1">
        <v>44083</v>
      </c>
      <c r="D3469" t="b">
        <v>1</v>
      </c>
      <c r="E3469" t="s">
        <v>10</v>
      </c>
      <c r="F3469">
        <v>8076</v>
      </c>
    </row>
    <row r="3470" spans="1:6" x14ac:dyDescent="0.25">
      <c r="A3470" t="s">
        <v>6487</v>
      </c>
      <c r="B3470" t="s">
        <v>6488</v>
      </c>
      <c r="C3470" s="1">
        <v>44083</v>
      </c>
      <c r="D3470" t="b">
        <v>1</v>
      </c>
      <c r="E3470" t="s">
        <v>10</v>
      </c>
      <c r="F3470">
        <v>2904</v>
      </c>
    </row>
    <row r="3471" spans="1:6" x14ac:dyDescent="0.25">
      <c r="A3471" t="s">
        <v>6489</v>
      </c>
      <c r="B3471" t="s">
        <v>6490</v>
      </c>
      <c r="C3471" s="1">
        <v>44083</v>
      </c>
      <c r="D3471" t="b">
        <v>1</v>
      </c>
      <c r="E3471" t="s">
        <v>10</v>
      </c>
      <c r="F3471">
        <v>2905</v>
      </c>
    </row>
    <row r="3472" spans="1:6" x14ac:dyDescent="0.25">
      <c r="A3472" t="s">
        <v>6491</v>
      </c>
      <c r="B3472" t="s">
        <v>6492</v>
      </c>
      <c r="C3472" s="1">
        <v>44083</v>
      </c>
      <c r="D3472" t="b">
        <v>1</v>
      </c>
      <c r="E3472" t="s">
        <v>10</v>
      </c>
      <c r="F3472">
        <v>2906</v>
      </c>
    </row>
    <row r="3473" spans="1:6" x14ac:dyDescent="0.25">
      <c r="A3473" t="s">
        <v>6493</v>
      </c>
      <c r="B3473" t="s">
        <v>6494</v>
      </c>
      <c r="C3473" s="1">
        <v>44083</v>
      </c>
      <c r="D3473" t="b">
        <v>1</v>
      </c>
      <c r="E3473" t="s">
        <v>10</v>
      </c>
      <c r="F3473">
        <v>2907</v>
      </c>
    </row>
    <row r="3474" spans="1:6" x14ac:dyDescent="0.25">
      <c r="A3474" t="s">
        <v>6495</v>
      </c>
      <c r="B3474" t="s">
        <v>6496</v>
      </c>
      <c r="C3474" s="1">
        <v>44083</v>
      </c>
      <c r="D3474" t="b">
        <v>1</v>
      </c>
      <c r="E3474" t="s">
        <v>10</v>
      </c>
      <c r="F3474">
        <v>2908</v>
      </c>
    </row>
    <row r="3475" spans="1:6" x14ac:dyDescent="0.25">
      <c r="A3475" t="s">
        <v>6497</v>
      </c>
      <c r="C3475" s="1">
        <v>44083</v>
      </c>
      <c r="D3475" t="b">
        <v>1</v>
      </c>
      <c r="E3475" t="s">
        <v>10</v>
      </c>
      <c r="F3475">
        <v>2909</v>
      </c>
    </row>
    <row r="3476" spans="1:6" x14ac:dyDescent="0.25">
      <c r="A3476" t="s">
        <v>6498</v>
      </c>
      <c r="C3476" s="1">
        <v>44083</v>
      </c>
      <c r="D3476" t="b">
        <v>1</v>
      </c>
      <c r="E3476" t="s">
        <v>10</v>
      </c>
      <c r="F3476">
        <v>15325</v>
      </c>
    </row>
    <row r="3477" spans="1:6" x14ac:dyDescent="0.25">
      <c r="A3477" t="s">
        <v>6499</v>
      </c>
      <c r="B3477" t="s">
        <v>6500</v>
      </c>
      <c r="C3477" s="1">
        <v>44083</v>
      </c>
      <c r="D3477" t="b">
        <v>1</v>
      </c>
      <c r="E3477" t="s">
        <v>10</v>
      </c>
      <c r="F3477">
        <v>2910</v>
      </c>
    </row>
    <row r="3478" spans="1:6" x14ac:dyDescent="0.25">
      <c r="A3478" t="s">
        <v>6501</v>
      </c>
      <c r="B3478" t="s">
        <v>6502</v>
      </c>
      <c r="C3478" s="1">
        <v>44083</v>
      </c>
      <c r="D3478" t="b">
        <v>1</v>
      </c>
      <c r="E3478" t="s">
        <v>10</v>
      </c>
      <c r="F3478">
        <v>2911</v>
      </c>
    </row>
    <row r="3479" spans="1:6" x14ac:dyDescent="0.25">
      <c r="A3479" t="s">
        <v>6503</v>
      </c>
      <c r="B3479" t="s">
        <v>6504</v>
      </c>
      <c r="C3479" s="1">
        <v>44083</v>
      </c>
      <c r="D3479" t="b">
        <v>1</v>
      </c>
      <c r="E3479" t="s">
        <v>10</v>
      </c>
      <c r="F3479">
        <v>2912</v>
      </c>
    </row>
    <row r="3480" spans="1:6" x14ac:dyDescent="0.25">
      <c r="A3480" t="s">
        <v>6505</v>
      </c>
      <c r="B3480" t="s">
        <v>6506</v>
      </c>
      <c r="C3480" s="1">
        <v>44083</v>
      </c>
      <c r="D3480" t="b">
        <v>1</v>
      </c>
      <c r="E3480" t="s">
        <v>10</v>
      </c>
      <c r="F3480">
        <v>8075</v>
      </c>
    </row>
    <row r="3481" spans="1:6" x14ac:dyDescent="0.25">
      <c r="A3481" t="s">
        <v>6507</v>
      </c>
      <c r="B3481" t="s">
        <v>6508</v>
      </c>
      <c r="C3481" s="1">
        <v>44083</v>
      </c>
      <c r="D3481" t="b">
        <v>1</v>
      </c>
      <c r="E3481" t="s">
        <v>10</v>
      </c>
      <c r="F3481">
        <v>2913</v>
      </c>
    </row>
    <row r="3482" spans="1:6" x14ac:dyDescent="0.25">
      <c r="A3482" t="s">
        <v>6509</v>
      </c>
      <c r="B3482" t="s">
        <v>6510</v>
      </c>
      <c r="C3482" s="1">
        <v>44083</v>
      </c>
      <c r="D3482" t="b">
        <v>1</v>
      </c>
      <c r="E3482" t="s">
        <v>10</v>
      </c>
      <c r="F3482">
        <v>15947</v>
      </c>
    </row>
    <row r="3483" spans="1:6" x14ac:dyDescent="0.25">
      <c r="A3483" t="s">
        <v>6511</v>
      </c>
      <c r="B3483" t="s">
        <v>6512</v>
      </c>
      <c r="C3483" s="1">
        <v>44083</v>
      </c>
      <c r="D3483" t="b">
        <v>1</v>
      </c>
      <c r="E3483" t="s">
        <v>10</v>
      </c>
      <c r="F3483">
        <v>15484</v>
      </c>
    </row>
    <row r="3484" spans="1:6" x14ac:dyDescent="0.25">
      <c r="A3484" t="s">
        <v>6513</v>
      </c>
      <c r="B3484" t="s">
        <v>6514</v>
      </c>
      <c r="C3484" s="1">
        <v>44083</v>
      </c>
      <c r="D3484" t="b">
        <v>1</v>
      </c>
      <c r="E3484" t="s">
        <v>10</v>
      </c>
      <c r="F3484">
        <v>16676</v>
      </c>
    </row>
    <row r="3485" spans="1:6" x14ac:dyDescent="0.25">
      <c r="A3485" t="s">
        <v>6515</v>
      </c>
      <c r="C3485" s="1">
        <v>44083</v>
      </c>
      <c r="D3485" t="b">
        <v>1</v>
      </c>
      <c r="E3485" t="s">
        <v>10</v>
      </c>
      <c r="F3485">
        <v>16664</v>
      </c>
    </row>
    <row r="3486" spans="1:6" x14ac:dyDescent="0.25">
      <c r="A3486" t="s">
        <v>6516</v>
      </c>
      <c r="B3486" t="s">
        <v>6517</v>
      </c>
      <c r="C3486" s="1">
        <v>44083</v>
      </c>
      <c r="D3486" t="b">
        <v>1</v>
      </c>
      <c r="E3486" t="s">
        <v>10</v>
      </c>
      <c r="F3486">
        <v>15089</v>
      </c>
    </row>
    <row r="3487" spans="1:6" x14ac:dyDescent="0.25">
      <c r="A3487" t="s">
        <v>6518</v>
      </c>
      <c r="B3487" t="s">
        <v>6519</v>
      </c>
      <c r="C3487" s="1">
        <v>44083</v>
      </c>
      <c r="D3487" t="b">
        <v>1</v>
      </c>
      <c r="E3487" t="s">
        <v>10</v>
      </c>
      <c r="F3487">
        <v>2918</v>
      </c>
    </row>
    <row r="3488" spans="1:6" x14ac:dyDescent="0.25">
      <c r="A3488" t="s">
        <v>6520</v>
      </c>
      <c r="B3488" t="s">
        <v>6521</v>
      </c>
      <c r="C3488" s="1">
        <v>44083</v>
      </c>
      <c r="D3488" t="b">
        <v>1</v>
      </c>
      <c r="E3488" t="s">
        <v>10</v>
      </c>
      <c r="F3488">
        <v>2919</v>
      </c>
    </row>
    <row r="3489" spans="1:6" x14ac:dyDescent="0.25">
      <c r="A3489" t="s">
        <v>6522</v>
      </c>
      <c r="B3489" t="s">
        <v>6523</v>
      </c>
      <c r="C3489" s="1">
        <v>44083</v>
      </c>
      <c r="D3489" t="b">
        <v>1</v>
      </c>
      <c r="E3489" t="s">
        <v>10</v>
      </c>
      <c r="F3489">
        <v>2921</v>
      </c>
    </row>
    <row r="3490" spans="1:6" x14ac:dyDescent="0.25">
      <c r="A3490" t="s">
        <v>6524</v>
      </c>
      <c r="B3490" t="s">
        <v>6525</v>
      </c>
      <c r="C3490" s="1">
        <v>44083</v>
      </c>
      <c r="D3490" t="b">
        <v>1</v>
      </c>
      <c r="E3490" t="s">
        <v>10</v>
      </c>
      <c r="F3490">
        <v>15546</v>
      </c>
    </row>
    <row r="3491" spans="1:6" x14ac:dyDescent="0.25">
      <c r="A3491" t="s">
        <v>6526</v>
      </c>
      <c r="B3491" t="s">
        <v>6527</v>
      </c>
      <c r="C3491" s="1">
        <v>44083</v>
      </c>
      <c r="D3491" t="b">
        <v>1</v>
      </c>
      <c r="E3491" t="s">
        <v>10</v>
      </c>
      <c r="F3491">
        <v>15308</v>
      </c>
    </row>
    <row r="3492" spans="1:6" x14ac:dyDescent="0.25">
      <c r="A3492" t="s">
        <v>6528</v>
      </c>
      <c r="C3492" s="1">
        <v>44083</v>
      </c>
      <c r="D3492" t="b">
        <v>1</v>
      </c>
      <c r="E3492" t="s">
        <v>10</v>
      </c>
      <c r="F3492">
        <v>15555</v>
      </c>
    </row>
    <row r="3493" spans="1:6" x14ac:dyDescent="0.25">
      <c r="A3493" t="s">
        <v>6529</v>
      </c>
      <c r="B3493" t="s">
        <v>6530</v>
      </c>
      <c r="C3493" s="1">
        <v>44083</v>
      </c>
      <c r="D3493" t="b">
        <v>1</v>
      </c>
      <c r="E3493" t="s">
        <v>10</v>
      </c>
      <c r="F3493">
        <v>2925</v>
      </c>
    </row>
    <row r="3494" spans="1:6" x14ac:dyDescent="0.25">
      <c r="A3494" t="s">
        <v>6531</v>
      </c>
      <c r="C3494" s="1">
        <v>44083</v>
      </c>
      <c r="D3494" t="b">
        <v>1</v>
      </c>
      <c r="E3494" t="s">
        <v>10</v>
      </c>
      <c r="F3494">
        <v>14598</v>
      </c>
    </row>
    <row r="3495" spans="1:6" x14ac:dyDescent="0.25">
      <c r="A3495" t="s">
        <v>6532</v>
      </c>
      <c r="B3495" t="s">
        <v>6533</v>
      </c>
      <c r="C3495" s="1">
        <v>44083</v>
      </c>
      <c r="D3495" t="b">
        <v>1</v>
      </c>
      <c r="E3495" t="s">
        <v>10</v>
      </c>
      <c r="F3495">
        <v>2928</v>
      </c>
    </row>
    <row r="3496" spans="1:6" x14ac:dyDescent="0.25">
      <c r="A3496" t="s">
        <v>6534</v>
      </c>
      <c r="B3496" t="s">
        <v>6535</v>
      </c>
      <c r="C3496" s="1">
        <v>44083</v>
      </c>
      <c r="D3496" t="b">
        <v>1</v>
      </c>
      <c r="E3496" t="s">
        <v>10</v>
      </c>
      <c r="F3496">
        <v>9459</v>
      </c>
    </row>
    <row r="3497" spans="1:6" x14ac:dyDescent="0.25">
      <c r="A3497" t="s">
        <v>6536</v>
      </c>
      <c r="B3497" t="s">
        <v>6537</v>
      </c>
      <c r="C3497" s="1">
        <v>44083</v>
      </c>
      <c r="D3497" t="b">
        <v>1</v>
      </c>
      <c r="E3497" t="s">
        <v>10</v>
      </c>
      <c r="F3497">
        <v>11551</v>
      </c>
    </row>
    <row r="3498" spans="1:6" x14ac:dyDescent="0.25">
      <c r="A3498" t="s">
        <v>6538</v>
      </c>
      <c r="C3498" s="1">
        <v>44083</v>
      </c>
      <c r="D3498" t="b">
        <v>1</v>
      </c>
      <c r="E3498" t="s">
        <v>10</v>
      </c>
      <c r="F3498">
        <v>13383</v>
      </c>
    </row>
    <row r="3499" spans="1:6" x14ac:dyDescent="0.25">
      <c r="A3499" t="s">
        <v>6539</v>
      </c>
      <c r="B3499" t="s">
        <v>6540</v>
      </c>
      <c r="C3499" s="1">
        <v>44083</v>
      </c>
      <c r="D3499" t="b">
        <v>1</v>
      </c>
      <c r="E3499" t="s">
        <v>10</v>
      </c>
      <c r="F3499">
        <v>10662</v>
      </c>
    </row>
    <row r="3500" spans="1:6" x14ac:dyDescent="0.25">
      <c r="A3500" t="s">
        <v>6541</v>
      </c>
      <c r="C3500" s="1">
        <v>44083</v>
      </c>
      <c r="D3500" t="b">
        <v>1</v>
      </c>
      <c r="E3500" t="s">
        <v>10</v>
      </c>
      <c r="F3500">
        <v>11346</v>
      </c>
    </row>
    <row r="3501" spans="1:6" x14ac:dyDescent="0.25">
      <c r="A3501" t="s">
        <v>6542</v>
      </c>
      <c r="B3501" t="s">
        <v>6543</v>
      </c>
      <c r="C3501" s="1">
        <v>44083</v>
      </c>
      <c r="D3501" t="b">
        <v>1</v>
      </c>
      <c r="E3501" t="s">
        <v>10</v>
      </c>
      <c r="F3501">
        <v>8136</v>
      </c>
    </row>
    <row r="3502" spans="1:6" x14ac:dyDescent="0.25">
      <c r="A3502" t="s">
        <v>6544</v>
      </c>
      <c r="B3502" t="s">
        <v>6545</v>
      </c>
      <c r="C3502" s="1">
        <v>44083</v>
      </c>
      <c r="D3502" t="b">
        <v>1</v>
      </c>
      <c r="E3502" t="s">
        <v>10</v>
      </c>
      <c r="F3502">
        <v>14888</v>
      </c>
    </row>
    <row r="3503" spans="1:6" x14ac:dyDescent="0.25">
      <c r="A3503" t="s">
        <v>6546</v>
      </c>
      <c r="B3503" t="s">
        <v>6547</v>
      </c>
      <c r="C3503" s="1">
        <v>44083</v>
      </c>
      <c r="D3503" t="b">
        <v>1</v>
      </c>
      <c r="E3503" t="s">
        <v>10</v>
      </c>
      <c r="F3503">
        <v>8256</v>
      </c>
    </row>
    <row r="3504" spans="1:6" x14ac:dyDescent="0.25">
      <c r="A3504" t="s">
        <v>6548</v>
      </c>
      <c r="B3504" t="s">
        <v>6549</v>
      </c>
      <c r="C3504" s="1">
        <v>44083</v>
      </c>
      <c r="D3504" t="b">
        <v>1</v>
      </c>
      <c r="E3504" t="s">
        <v>10</v>
      </c>
      <c r="F3504">
        <v>2934</v>
      </c>
    </row>
    <row r="3505" spans="1:6" x14ac:dyDescent="0.25">
      <c r="A3505" t="s">
        <v>6550</v>
      </c>
      <c r="C3505" s="1">
        <v>44083</v>
      </c>
      <c r="D3505" t="b">
        <v>1</v>
      </c>
      <c r="E3505" t="s">
        <v>10</v>
      </c>
      <c r="F3505">
        <v>2935</v>
      </c>
    </row>
    <row r="3506" spans="1:6" x14ac:dyDescent="0.25">
      <c r="A3506" t="s">
        <v>6551</v>
      </c>
      <c r="B3506" t="s">
        <v>6552</v>
      </c>
      <c r="C3506" s="1">
        <v>44083</v>
      </c>
      <c r="D3506" t="b">
        <v>1</v>
      </c>
      <c r="E3506" t="s">
        <v>10</v>
      </c>
      <c r="F3506">
        <v>15526</v>
      </c>
    </row>
    <row r="3507" spans="1:6" x14ac:dyDescent="0.25">
      <c r="A3507" t="s">
        <v>6553</v>
      </c>
      <c r="B3507" t="s">
        <v>6554</v>
      </c>
      <c r="C3507" s="1">
        <v>44083</v>
      </c>
      <c r="D3507" t="b">
        <v>1</v>
      </c>
      <c r="E3507" t="s">
        <v>10</v>
      </c>
      <c r="F3507">
        <v>10317</v>
      </c>
    </row>
    <row r="3508" spans="1:6" x14ac:dyDescent="0.25">
      <c r="A3508" t="s">
        <v>6555</v>
      </c>
      <c r="B3508" t="s">
        <v>6556</v>
      </c>
      <c r="C3508" s="1">
        <v>44083</v>
      </c>
      <c r="D3508" t="b">
        <v>1</v>
      </c>
      <c r="E3508" t="s">
        <v>10</v>
      </c>
      <c r="F3508">
        <v>10000</v>
      </c>
    </row>
    <row r="3509" spans="1:6" x14ac:dyDescent="0.25">
      <c r="A3509" t="s">
        <v>6557</v>
      </c>
      <c r="C3509" s="1">
        <v>44083</v>
      </c>
      <c r="D3509" t="b">
        <v>1</v>
      </c>
      <c r="E3509" t="s">
        <v>10</v>
      </c>
      <c r="F3509">
        <v>13384</v>
      </c>
    </row>
    <row r="3510" spans="1:6" x14ac:dyDescent="0.25">
      <c r="A3510" t="s">
        <v>6558</v>
      </c>
      <c r="C3510" s="1">
        <v>44083</v>
      </c>
      <c r="D3510" t="b">
        <v>1</v>
      </c>
      <c r="E3510" t="s">
        <v>10</v>
      </c>
      <c r="F3510">
        <v>16339</v>
      </c>
    </row>
    <row r="3511" spans="1:6" x14ac:dyDescent="0.25">
      <c r="A3511" t="s">
        <v>6559</v>
      </c>
      <c r="B3511" t="s">
        <v>6560</v>
      </c>
      <c r="C3511" s="1">
        <v>44083</v>
      </c>
      <c r="D3511" t="b">
        <v>1</v>
      </c>
      <c r="E3511" t="s">
        <v>10</v>
      </c>
      <c r="F3511">
        <v>15544</v>
      </c>
    </row>
    <row r="3512" spans="1:6" x14ac:dyDescent="0.25">
      <c r="A3512" t="s">
        <v>6561</v>
      </c>
      <c r="B3512" t="s">
        <v>6562</v>
      </c>
      <c r="C3512" s="1">
        <v>44083</v>
      </c>
      <c r="D3512" t="b">
        <v>1</v>
      </c>
      <c r="E3512" t="s">
        <v>10</v>
      </c>
      <c r="F3512">
        <v>2938</v>
      </c>
    </row>
    <row r="3513" spans="1:6" x14ac:dyDescent="0.25">
      <c r="A3513" t="s">
        <v>6563</v>
      </c>
      <c r="B3513" t="s">
        <v>6564</v>
      </c>
      <c r="C3513" s="1">
        <v>44083</v>
      </c>
      <c r="D3513" t="b">
        <v>1</v>
      </c>
      <c r="E3513" t="s">
        <v>10</v>
      </c>
      <c r="F3513">
        <v>2939</v>
      </c>
    </row>
    <row r="3514" spans="1:6" x14ac:dyDescent="0.25">
      <c r="A3514" t="s">
        <v>6565</v>
      </c>
      <c r="B3514" t="s">
        <v>6566</v>
      </c>
      <c r="C3514" s="1">
        <v>44083</v>
      </c>
      <c r="D3514" t="b">
        <v>1</v>
      </c>
      <c r="E3514" t="s">
        <v>10</v>
      </c>
      <c r="F3514">
        <v>15602</v>
      </c>
    </row>
    <row r="3515" spans="1:6" x14ac:dyDescent="0.25">
      <c r="A3515" t="s">
        <v>6567</v>
      </c>
      <c r="B3515" t="s">
        <v>6568</v>
      </c>
      <c r="C3515" s="1">
        <v>44083</v>
      </c>
      <c r="D3515" t="b">
        <v>1</v>
      </c>
      <c r="E3515" t="s">
        <v>10</v>
      </c>
      <c r="F3515">
        <v>14320</v>
      </c>
    </row>
    <row r="3516" spans="1:6" x14ac:dyDescent="0.25">
      <c r="A3516" t="s">
        <v>6569</v>
      </c>
      <c r="B3516" t="s">
        <v>6570</v>
      </c>
      <c r="C3516" s="1">
        <v>44083</v>
      </c>
      <c r="D3516" t="b">
        <v>1</v>
      </c>
      <c r="E3516" t="s">
        <v>10</v>
      </c>
      <c r="F3516">
        <v>2940</v>
      </c>
    </row>
    <row r="3517" spans="1:6" x14ac:dyDescent="0.25">
      <c r="A3517" t="s">
        <v>6571</v>
      </c>
      <c r="B3517" t="s">
        <v>6572</v>
      </c>
      <c r="C3517" s="1">
        <v>44083</v>
      </c>
      <c r="D3517" t="b">
        <v>1</v>
      </c>
      <c r="E3517" t="s">
        <v>10</v>
      </c>
      <c r="F3517">
        <v>2941</v>
      </c>
    </row>
    <row r="3518" spans="1:6" x14ac:dyDescent="0.25">
      <c r="A3518" t="s">
        <v>6573</v>
      </c>
      <c r="B3518" t="s">
        <v>6574</v>
      </c>
      <c r="C3518" s="1">
        <v>44083</v>
      </c>
      <c r="D3518" t="b">
        <v>1</v>
      </c>
      <c r="E3518" t="s">
        <v>10</v>
      </c>
      <c r="F3518">
        <v>16719</v>
      </c>
    </row>
    <row r="3519" spans="1:6" x14ac:dyDescent="0.25">
      <c r="A3519" t="s">
        <v>6575</v>
      </c>
      <c r="B3519" t="s">
        <v>6574</v>
      </c>
      <c r="C3519" s="1">
        <v>44083</v>
      </c>
      <c r="D3519" t="b">
        <v>1</v>
      </c>
      <c r="E3519" t="s">
        <v>10</v>
      </c>
      <c r="F3519">
        <v>16425</v>
      </c>
    </row>
    <row r="3520" spans="1:6" x14ac:dyDescent="0.25">
      <c r="A3520" t="s">
        <v>6576</v>
      </c>
      <c r="C3520" s="1">
        <v>44083</v>
      </c>
      <c r="D3520" t="b">
        <v>1</v>
      </c>
      <c r="E3520" t="s">
        <v>10</v>
      </c>
      <c r="F3520">
        <v>16725</v>
      </c>
    </row>
    <row r="3521" spans="1:6" x14ac:dyDescent="0.25">
      <c r="A3521" t="s">
        <v>6577</v>
      </c>
      <c r="B3521" t="s">
        <v>6578</v>
      </c>
      <c r="C3521" s="1">
        <v>44083</v>
      </c>
      <c r="D3521" t="b">
        <v>1</v>
      </c>
      <c r="E3521" t="s">
        <v>10</v>
      </c>
      <c r="F3521">
        <v>4157</v>
      </c>
    </row>
    <row r="3522" spans="1:6" x14ac:dyDescent="0.25">
      <c r="A3522" t="s">
        <v>6579</v>
      </c>
      <c r="B3522" t="s">
        <v>6580</v>
      </c>
      <c r="C3522" s="1">
        <v>44083</v>
      </c>
      <c r="D3522" t="b">
        <v>1</v>
      </c>
      <c r="E3522" t="s">
        <v>10</v>
      </c>
      <c r="F3522">
        <v>2942</v>
      </c>
    </row>
    <row r="3523" spans="1:6" x14ac:dyDescent="0.25">
      <c r="A3523" t="s">
        <v>6581</v>
      </c>
      <c r="C3523" s="1">
        <v>44083</v>
      </c>
      <c r="D3523" t="b">
        <v>1</v>
      </c>
      <c r="E3523" t="s">
        <v>10</v>
      </c>
      <c r="F3523">
        <v>13679</v>
      </c>
    </row>
    <row r="3524" spans="1:6" x14ac:dyDescent="0.25">
      <c r="A3524" t="s">
        <v>6582</v>
      </c>
      <c r="B3524" t="s">
        <v>6583</v>
      </c>
      <c r="C3524" s="1">
        <v>44083</v>
      </c>
      <c r="D3524" t="b">
        <v>1</v>
      </c>
      <c r="E3524" t="s">
        <v>10</v>
      </c>
      <c r="F3524">
        <v>2943</v>
      </c>
    </row>
    <row r="3525" spans="1:6" x14ac:dyDescent="0.25">
      <c r="A3525" t="s">
        <v>6584</v>
      </c>
      <c r="B3525" t="s">
        <v>6585</v>
      </c>
      <c r="C3525" s="1">
        <v>44083</v>
      </c>
      <c r="D3525" t="b">
        <v>1</v>
      </c>
      <c r="E3525" t="s">
        <v>10</v>
      </c>
      <c r="F3525">
        <v>12897</v>
      </c>
    </row>
    <row r="3526" spans="1:6" x14ac:dyDescent="0.25">
      <c r="A3526" t="s">
        <v>6586</v>
      </c>
      <c r="B3526" t="s">
        <v>6587</v>
      </c>
      <c r="C3526" s="1">
        <v>44083</v>
      </c>
      <c r="D3526" t="b">
        <v>1</v>
      </c>
      <c r="E3526" t="s">
        <v>10</v>
      </c>
      <c r="F3526">
        <v>12114</v>
      </c>
    </row>
    <row r="3527" spans="1:6" x14ac:dyDescent="0.25">
      <c r="A3527" t="s">
        <v>6588</v>
      </c>
      <c r="B3527" t="s">
        <v>6589</v>
      </c>
      <c r="C3527" s="1">
        <v>44083</v>
      </c>
      <c r="D3527" t="b">
        <v>1</v>
      </c>
      <c r="E3527" t="s">
        <v>10</v>
      </c>
      <c r="F3527">
        <v>2945</v>
      </c>
    </row>
    <row r="3528" spans="1:6" x14ac:dyDescent="0.25">
      <c r="A3528" t="s">
        <v>6590</v>
      </c>
      <c r="B3528" t="s">
        <v>6591</v>
      </c>
      <c r="C3528" s="1">
        <v>44083</v>
      </c>
      <c r="D3528" t="b">
        <v>1</v>
      </c>
      <c r="E3528" t="s">
        <v>10</v>
      </c>
      <c r="F3528">
        <v>15723</v>
      </c>
    </row>
    <row r="3529" spans="1:6" x14ac:dyDescent="0.25">
      <c r="A3529" t="s">
        <v>6592</v>
      </c>
      <c r="B3529" t="s">
        <v>6593</v>
      </c>
      <c r="C3529" s="1">
        <v>44083</v>
      </c>
      <c r="D3529" t="b">
        <v>1</v>
      </c>
      <c r="E3529" t="s">
        <v>10</v>
      </c>
      <c r="F3529">
        <v>17027</v>
      </c>
    </row>
    <row r="3530" spans="1:6" x14ac:dyDescent="0.25">
      <c r="A3530" t="s">
        <v>6594</v>
      </c>
      <c r="B3530" t="s">
        <v>6595</v>
      </c>
      <c r="C3530" s="1">
        <v>44083</v>
      </c>
      <c r="D3530" t="b">
        <v>1</v>
      </c>
      <c r="E3530" t="s">
        <v>10</v>
      </c>
      <c r="F3530">
        <v>15194</v>
      </c>
    </row>
    <row r="3531" spans="1:6" x14ac:dyDescent="0.25">
      <c r="A3531" t="s">
        <v>6596</v>
      </c>
      <c r="B3531" t="s">
        <v>6597</v>
      </c>
      <c r="C3531" s="1">
        <v>44083</v>
      </c>
      <c r="D3531" t="b">
        <v>1</v>
      </c>
      <c r="E3531" t="s">
        <v>10</v>
      </c>
      <c r="F3531">
        <v>13076</v>
      </c>
    </row>
    <row r="3532" spans="1:6" x14ac:dyDescent="0.25">
      <c r="A3532" t="s">
        <v>6598</v>
      </c>
      <c r="B3532" t="s">
        <v>6599</v>
      </c>
      <c r="C3532" s="1">
        <v>44083</v>
      </c>
      <c r="D3532" t="b">
        <v>1</v>
      </c>
      <c r="E3532" t="s">
        <v>10</v>
      </c>
      <c r="F3532">
        <v>16861</v>
      </c>
    </row>
    <row r="3533" spans="1:6" x14ac:dyDescent="0.25">
      <c r="A3533" t="s">
        <v>6600</v>
      </c>
      <c r="B3533" t="s">
        <v>6601</v>
      </c>
      <c r="C3533" s="1">
        <v>44083</v>
      </c>
      <c r="D3533" t="b">
        <v>1</v>
      </c>
      <c r="E3533" t="s">
        <v>10</v>
      </c>
      <c r="F3533">
        <v>16683</v>
      </c>
    </row>
    <row r="3534" spans="1:6" x14ac:dyDescent="0.25">
      <c r="A3534" t="s">
        <v>6602</v>
      </c>
      <c r="B3534" t="s">
        <v>6603</v>
      </c>
      <c r="C3534" s="1">
        <v>44083</v>
      </c>
      <c r="D3534" t="b">
        <v>1</v>
      </c>
      <c r="E3534" t="s">
        <v>10</v>
      </c>
      <c r="F3534">
        <v>2895</v>
      </c>
    </row>
    <row r="3535" spans="1:6" x14ac:dyDescent="0.25">
      <c r="A3535" t="s">
        <v>6604</v>
      </c>
      <c r="B3535" t="s">
        <v>6605</v>
      </c>
      <c r="C3535" s="1">
        <v>44083</v>
      </c>
      <c r="D3535" t="b">
        <v>1</v>
      </c>
      <c r="E3535" t="s">
        <v>10</v>
      </c>
      <c r="F3535">
        <v>2946</v>
      </c>
    </row>
    <row r="3536" spans="1:6" x14ac:dyDescent="0.25">
      <c r="A3536" t="s">
        <v>6606</v>
      </c>
      <c r="B3536" t="s">
        <v>6607</v>
      </c>
      <c r="C3536" s="1">
        <v>44083</v>
      </c>
      <c r="D3536" t="b">
        <v>1</v>
      </c>
      <c r="E3536" t="s">
        <v>10</v>
      </c>
      <c r="F3536">
        <v>7285</v>
      </c>
    </row>
    <row r="3537" spans="1:6" x14ac:dyDescent="0.25">
      <c r="A3537" t="s">
        <v>6608</v>
      </c>
      <c r="B3537" t="s">
        <v>6609</v>
      </c>
      <c r="C3537" s="1">
        <v>44083</v>
      </c>
      <c r="D3537" t="b">
        <v>1</v>
      </c>
      <c r="E3537" t="s">
        <v>10</v>
      </c>
      <c r="F3537">
        <v>2947</v>
      </c>
    </row>
    <row r="3538" spans="1:6" x14ac:dyDescent="0.25">
      <c r="A3538" t="s">
        <v>6610</v>
      </c>
      <c r="B3538" t="s">
        <v>6611</v>
      </c>
      <c r="C3538" s="1">
        <v>44083</v>
      </c>
      <c r="D3538" t="b">
        <v>1</v>
      </c>
      <c r="E3538" t="s">
        <v>10</v>
      </c>
      <c r="F3538">
        <v>2948</v>
      </c>
    </row>
    <row r="3539" spans="1:6" x14ac:dyDescent="0.25">
      <c r="A3539" t="s">
        <v>6612</v>
      </c>
      <c r="B3539" t="s">
        <v>6613</v>
      </c>
      <c r="C3539" s="1">
        <v>44083</v>
      </c>
      <c r="D3539" t="b">
        <v>1</v>
      </c>
      <c r="E3539" t="s">
        <v>10</v>
      </c>
      <c r="F3539">
        <v>39</v>
      </c>
    </row>
    <row r="3540" spans="1:6" x14ac:dyDescent="0.25">
      <c r="A3540" t="s">
        <v>6614</v>
      </c>
      <c r="B3540" t="s">
        <v>6615</v>
      </c>
      <c r="C3540" s="1">
        <v>44083</v>
      </c>
      <c r="D3540" t="b">
        <v>1</v>
      </c>
      <c r="E3540" t="s">
        <v>10</v>
      </c>
      <c r="F3540">
        <v>11695</v>
      </c>
    </row>
    <row r="3541" spans="1:6" x14ac:dyDescent="0.25">
      <c r="A3541" t="s">
        <v>6616</v>
      </c>
      <c r="B3541" t="s">
        <v>6617</v>
      </c>
      <c r="C3541" s="1">
        <v>44083</v>
      </c>
      <c r="D3541" t="b">
        <v>1</v>
      </c>
      <c r="E3541" t="s">
        <v>10</v>
      </c>
      <c r="F3541">
        <v>2951</v>
      </c>
    </row>
    <row r="3542" spans="1:6" x14ac:dyDescent="0.25">
      <c r="A3542" t="s">
        <v>6618</v>
      </c>
      <c r="C3542" s="1">
        <v>44083</v>
      </c>
      <c r="D3542" t="b">
        <v>1</v>
      </c>
      <c r="E3542" t="s">
        <v>10</v>
      </c>
      <c r="F3542">
        <v>11442</v>
      </c>
    </row>
    <row r="3543" spans="1:6" x14ac:dyDescent="0.25">
      <c r="A3543" t="s">
        <v>6619</v>
      </c>
      <c r="C3543" s="1">
        <v>44083</v>
      </c>
      <c r="D3543" t="b">
        <v>1</v>
      </c>
      <c r="E3543" t="s">
        <v>10</v>
      </c>
      <c r="F3543">
        <v>16162</v>
      </c>
    </row>
    <row r="3544" spans="1:6" x14ac:dyDescent="0.25">
      <c r="A3544" t="s">
        <v>6620</v>
      </c>
      <c r="B3544" t="s">
        <v>6621</v>
      </c>
      <c r="C3544" s="1">
        <v>44083</v>
      </c>
      <c r="D3544" t="b">
        <v>1</v>
      </c>
      <c r="E3544" t="s">
        <v>10</v>
      </c>
      <c r="F3544">
        <v>10656</v>
      </c>
    </row>
    <row r="3545" spans="1:6" x14ac:dyDescent="0.25">
      <c r="A3545" t="s">
        <v>6622</v>
      </c>
      <c r="B3545" t="s">
        <v>6623</v>
      </c>
      <c r="C3545" s="1">
        <v>44083</v>
      </c>
      <c r="D3545" t="b">
        <v>1</v>
      </c>
      <c r="E3545" t="s">
        <v>10</v>
      </c>
      <c r="F3545">
        <v>10657</v>
      </c>
    </row>
    <row r="3546" spans="1:6" x14ac:dyDescent="0.25">
      <c r="A3546" t="s">
        <v>6624</v>
      </c>
      <c r="B3546" t="s">
        <v>6625</v>
      </c>
      <c r="C3546" s="1">
        <v>44083</v>
      </c>
      <c r="D3546" t="b">
        <v>1</v>
      </c>
      <c r="E3546" t="s">
        <v>10</v>
      </c>
      <c r="F3546">
        <v>12463</v>
      </c>
    </row>
    <row r="3547" spans="1:6" x14ac:dyDescent="0.25">
      <c r="A3547" t="s">
        <v>6626</v>
      </c>
      <c r="B3547" t="s">
        <v>6627</v>
      </c>
      <c r="C3547" s="1">
        <v>44083</v>
      </c>
      <c r="D3547" t="b">
        <v>1</v>
      </c>
      <c r="E3547" t="s">
        <v>10</v>
      </c>
      <c r="F3547">
        <v>2956</v>
      </c>
    </row>
    <row r="3548" spans="1:6" x14ac:dyDescent="0.25">
      <c r="A3548" t="s">
        <v>6628</v>
      </c>
      <c r="B3548" t="s">
        <v>6629</v>
      </c>
      <c r="C3548" s="1">
        <v>44083</v>
      </c>
      <c r="D3548" t="b">
        <v>1</v>
      </c>
      <c r="E3548" t="s">
        <v>10</v>
      </c>
      <c r="F3548">
        <v>15330</v>
      </c>
    </row>
    <row r="3549" spans="1:6" x14ac:dyDescent="0.25">
      <c r="A3549" t="s">
        <v>6630</v>
      </c>
      <c r="B3549" t="s">
        <v>6631</v>
      </c>
      <c r="C3549" s="1">
        <v>44083</v>
      </c>
      <c r="D3549" t="b">
        <v>1</v>
      </c>
      <c r="E3549" t="s">
        <v>10</v>
      </c>
      <c r="F3549">
        <v>2958</v>
      </c>
    </row>
    <row r="3550" spans="1:6" x14ac:dyDescent="0.25">
      <c r="A3550" t="s">
        <v>6632</v>
      </c>
      <c r="B3550" t="s">
        <v>6633</v>
      </c>
      <c r="C3550" s="1">
        <v>44083</v>
      </c>
      <c r="D3550" t="b">
        <v>1</v>
      </c>
      <c r="E3550" t="s">
        <v>10</v>
      </c>
      <c r="F3550">
        <v>17151</v>
      </c>
    </row>
    <row r="3551" spans="1:6" x14ac:dyDescent="0.25">
      <c r="A3551" t="s">
        <v>6634</v>
      </c>
      <c r="B3551" t="s">
        <v>6635</v>
      </c>
      <c r="C3551" s="1">
        <v>44083</v>
      </c>
      <c r="D3551" t="b">
        <v>1</v>
      </c>
      <c r="E3551" t="s">
        <v>10</v>
      </c>
      <c r="F3551">
        <v>2959</v>
      </c>
    </row>
    <row r="3552" spans="1:6" x14ac:dyDescent="0.25">
      <c r="A3552" t="s">
        <v>6636</v>
      </c>
      <c r="B3552" t="s">
        <v>6637</v>
      </c>
      <c r="C3552" s="1">
        <v>44083</v>
      </c>
      <c r="D3552" t="b">
        <v>1</v>
      </c>
      <c r="E3552" t="s">
        <v>10</v>
      </c>
      <c r="F3552">
        <v>2961</v>
      </c>
    </row>
    <row r="3553" spans="1:6" x14ac:dyDescent="0.25">
      <c r="A3553" t="s">
        <v>6638</v>
      </c>
      <c r="C3553" s="1">
        <v>44083</v>
      </c>
      <c r="D3553" t="b">
        <v>1</v>
      </c>
      <c r="E3553" t="s">
        <v>10</v>
      </c>
      <c r="F3553">
        <v>13452</v>
      </c>
    </row>
    <row r="3554" spans="1:6" x14ac:dyDescent="0.25">
      <c r="A3554" t="s">
        <v>6639</v>
      </c>
      <c r="B3554" t="s">
        <v>6640</v>
      </c>
      <c r="C3554" s="1">
        <v>44083</v>
      </c>
      <c r="D3554" t="b">
        <v>1</v>
      </c>
      <c r="E3554" t="s">
        <v>10</v>
      </c>
      <c r="F3554">
        <v>2963</v>
      </c>
    </row>
    <row r="3555" spans="1:6" x14ac:dyDescent="0.25">
      <c r="A3555" t="s">
        <v>6641</v>
      </c>
      <c r="B3555" t="s">
        <v>6642</v>
      </c>
      <c r="C3555" s="1">
        <v>44083</v>
      </c>
      <c r="D3555" t="b">
        <v>1</v>
      </c>
      <c r="E3555" t="s">
        <v>10</v>
      </c>
      <c r="F3555">
        <v>2964</v>
      </c>
    </row>
    <row r="3556" spans="1:6" x14ac:dyDescent="0.25">
      <c r="A3556" t="s">
        <v>6643</v>
      </c>
      <c r="B3556" t="s">
        <v>6644</v>
      </c>
      <c r="C3556" s="1">
        <v>44083</v>
      </c>
      <c r="D3556" t="b">
        <v>1</v>
      </c>
      <c r="E3556" t="s">
        <v>10</v>
      </c>
      <c r="F3556">
        <v>2965</v>
      </c>
    </row>
    <row r="3557" spans="1:6" x14ac:dyDescent="0.25">
      <c r="A3557" t="s">
        <v>6645</v>
      </c>
      <c r="B3557" t="s">
        <v>6646</v>
      </c>
      <c r="C3557" s="1">
        <v>44083</v>
      </c>
      <c r="D3557" t="b">
        <v>1</v>
      </c>
      <c r="E3557" t="s">
        <v>10</v>
      </c>
      <c r="F3557">
        <v>13055</v>
      </c>
    </row>
    <row r="3558" spans="1:6" x14ac:dyDescent="0.25">
      <c r="A3558" t="s">
        <v>6647</v>
      </c>
      <c r="B3558" t="s">
        <v>6648</v>
      </c>
      <c r="C3558" s="1">
        <v>44083</v>
      </c>
      <c r="D3558" t="b">
        <v>1</v>
      </c>
      <c r="E3558" t="s">
        <v>10</v>
      </c>
      <c r="F3558">
        <v>2966</v>
      </c>
    </row>
    <row r="3559" spans="1:6" x14ac:dyDescent="0.25">
      <c r="A3559" t="s">
        <v>6649</v>
      </c>
      <c r="B3559" t="s">
        <v>6650</v>
      </c>
      <c r="C3559" s="1">
        <v>44083</v>
      </c>
      <c r="D3559" t="b">
        <v>1</v>
      </c>
      <c r="E3559" t="s">
        <v>10</v>
      </c>
      <c r="F3559">
        <v>2967</v>
      </c>
    </row>
    <row r="3560" spans="1:6" x14ac:dyDescent="0.25">
      <c r="A3560" t="s">
        <v>6651</v>
      </c>
      <c r="B3560" t="s">
        <v>6652</v>
      </c>
      <c r="C3560" s="1">
        <v>44083</v>
      </c>
      <c r="D3560" t="b">
        <v>1</v>
      </c>
      <c r="E3560" t="s">
        <v>10</v>
      </c>
      <c r="F3560">
        <v>10016</v>
      </c>
    </row>
    <row r="3561" spans="1:6" x14ac:dyDescent="0.25">
      <c r="A3561" t="s">
        <v>6653</v>
      </c>
      <c r="B3561" t="s">
        <v>6654</v>
      </c>
      <c r="C3561" s="1">
        <v>44083</v>
      </c>
      <c r="D3561" t="b">
        <v>1</v>
      </c>
      <c r="E3561" t="s">
        <v>10</v>
      </c>
      <c r="F3561">
        <v>2970</v>
      </c>
    </row>
    <row r="3562" spans="1:6" x14ac:dyDescent="0.25">
      <c r="A3562" t="s">
        <v>6655</v>
      </c>
      <c r="B3562" t="s">
        <v>6656</v>
      </c>
      <c r="C3562" s="1">
        <v>44083</v>
      </c>
      <c r="D3562" t="b">
        <v>1</v>
      </c>
      <c r="E3562" t="s">
        <v>10</v>
      </c>
      <c r="F3562">
        <v>8274</v>
      </c>
    </row>
    <row r="3563" spans="1:6" x14ac:dyDescent="0.25">
      <c r="A3563" t="s">
        <v>6657</v>
      </c>
      <c r="B3563" t="s">
        <v>6658</v>
      </c>
      <c r="C3563" s="1">
        <v>44083</v>
      </c>
      <c r="D3563" t="b">
        <v>1</v>
      </c>
      <c r="E3563" t="s">
        <v>10</v>
      </c>
      <c r="F3563">
        <v>8659</v>
      </c>
    </row>
    <row r="3564" spans="1:6" x14ac:dyDescent="0.25">
      <c r="A3564" t="s">
        <v>6659</v>
      </c>
      <c r="B3564" t="s">
        <v>6660</v>
      </c>
      <c r="C3564" s="1">
        <v>44083</v>
      </c>
      <c r="D3564" t="b">
        <v>1</v>
      </c>
      <c r="E3564" t="s">
        <v>10</v>
      </c>
      <c r="F3564">
        <v>2971</v>
      </c>
    </row>
    <row r="3565" spans="1:6" x14ac:dyDescent="0.25">
      <c r="A3565" t="s">
        <v>6661</v>
      </c>
      <c r="B3565" t="s">
        <v>6662</v>
      </c>
      <c r="C3565" s="1">
        <v>44083</v>
      </c>
      <c r="D3565" t="b">
        <v>1</v>
      </c>
      <c r="E3565" t="s">
        <v>10</v>
      </c>
      <c r="F3565">
        <v>2974</v>
      </c>
    </row>
    <row r="3566" spans="1:6" x14ac:dyDescent="0.25">
      <c r="A3566" t="s">
        <v>6663</v>
      </c>
      <c r="B3566" t="s">
        <v>6664</v>
      </c>
      <c r="C3566" s="1">
        <v>44083</v>
      </c>
      <c r="D3566" t="b">
        <v>1</v>
      </c>
      <c r="E3566" t="s">
        <v>10</v>
      </c>
      <c r="F3566">
        <v>8090</v>
      </c>
    </row>
    <row r="3567" spans="1:6" x14ac:dyDescent="0.25">
      <c r="A3567" t="s">
        <v>6665</v>
      </c>
      <c r="B3567" t="s">
        <v>6666</v>
      </c>
      <c r="C3567" s="1">
        <v>44083</v>
      </c>
      <c r="D3567" t="b">
        <v>1</v>
      </c>
      <c r="E3567" t="s">
        <v>10</v>
      </c>
      <c r="F3567">
        <v>2975</v>
      </c>
    </row>
    <row r="3568" spans="1:6" x14ac:dyDescent="0.25">
      <c r="A3568" t="s">
        <v>6667</v>
      </c>
      <c r="B3568" t="s">
        <v>6668</v>
      </c>
      <c r="C3568" s="1">
        <v>44083</v>
      </c>
      <c r="D3568" t="b">
        <v>1</v>
      </c>
      <c r="E3568" t="s">
        <v>10</v>
      </c>
      <c r="F3568">
        <v>15048</v>
      </c>
    </row>
    <row r="3569" spans="1:6" x14ac:dyDescent="0.25">
      <c r="A3569" t="s">
        <v>6669</v>
      </c>
      <c r="C3569" s="1">
        <v>44083</v>
      </c>
      <c r="D3569" t="b">
        <v>1</v>
      </c>
      <c r="E3569" t="s">
        <v>10</v>
      </c>
      <c r="F3569">
        <v>15179</v>
      </c>
    </row>
    <row r="3570" spans="1:6" x14ac:dyDescent="0.25">
      <c r="A3570" t="s">
        <v>6670</v>
      </c>
      <c r="B3570" t="s">
        <v>6668</v>
      </c>
      <c r="C3570" s="1">
        <v>44083</v>
      </c>
      <c r="D3570" t="b">
        <v>1</v>
      </c>
      <c r="E3570" t="s">
        <v>10</v>
      </c>
      <c r="F3570">
        <v>15039</v>
      </c>
    </row>
    <row r="3571" spans="1:6" x14ac:dyDescent="0.25">
      <c r="A3571" t="s">
        <v>6671</v>
      </c>
      <c r="B3571" t="s">
        <v>6672</v>
      </c>
      <c r="C3571" s="1">
        <v>44083</v>
      </c>
      <c r="D3571" t="b">
        <v>1</v>
      </c>
      <c r="E3571" t="s">
        <v>10</v>
      </c>
      <c r="F3571">
        <v>2976</v>
      </c>
    </row>
    <row r="3572" spans="1:6" x14ac:dyDescent="0.25">
      <c r="A3572" t="s">
        <v>6673</v>
      </c>
      <c r="B3572" t="s">
        <v>6674</v>
      </c>
      <c r="C3572" s="1">
        <v>44083</v>
      </c>
      <c r="D3572" t="b">
        <v>1</v>
      </c>
      <c r="E3572" t="s">
        <v>10</v>
      </c>
      <c r="F3572">
        <v>753</v>
      </c>
    </row>
    <row r="3573" spans="1:6" x14ac:dyDescent="0.25">
      <c r="A3573" t="s">
        <v>6675</v>
      </c>
      <c r="B3573" t="s">
        <v>6676</v>
      </c>
      <c r="C3573" s="1">
        <v>44083</v>
      </c>
      <c r="D3573" t="b">
        <v>1</v>
      </c>
      <c r="E3573" t="s">
        <v>10</v>
      </c>
      <c r="F3573">
        <v>2977</v>
      </c>
    </row>
    <row r="3574" spans="1:6" x14ac:dyDescent="0.25">
      <c r="A3574" t="s">
        <v>6677</v>
      </c>
      <c r="B3574" t="s">
        <v>6678</v>
      </c>
      <c r="C3574" s="1">
        <v>44083</v>
      </c>
      <c r="D3574" t="b">
        <v>1</v>
      </c>
      <c r="E3574" t="s">
        <v>10</v>
      </c>
      <c r="F3574">
        <v>17144</v>
      </c>
    </row>
    <row r="3575" spans="1:6" x14ac:dyDescent="0.25">
      <c r="A3575" t="s">
        <v>6679</v>
      </c>
      <c r="B3575" t="s">
        <v>6678</v>
      </c>
      <c r="C3575" s="1">
        <v>44083</v>
      </c>
      <c r="D3575" t="b">
        <v>1</v>
      </c>
      <c r="E3575" t="s">
        <v>10</v>
      </c>
      <c r="F3575">
        <v>16862</v>
      </c>
    </row>
    <row r="3576" spans="1:6" x14ac:dyDescent="0.25">
      <c r="A3576" t="s">
        <v>6680</v>
      </c>
      <c r="C3576" s="1">
        <v>44083</v>
      </c>
      <c r="D3576" t="b">
        <v>1</v>
      </c>
      <c r="E3576" t="s">
        <v>10</v>
      </c>
      <c r="F3576">
        <v>17152</v>
      </c>
    </row>
    <row r="3577" spans="1:6" x14ac:dyDescent="0.25">
      <c r="A3577" t="s">
        <v>6681</v>
      </c>
      <c r="B3577" t="s">
        <v>6682</v>
      </c>
      <c r="C3577" s="1">
        <v>44083</v>
      </c>
      <c r="D3577" t="b">
        <v>1</v>
      </c>
      <c r="E3577" t="s">
        <v>10</v>
      </c>
      <c r="F3577">
        <v>2978</v>
      </c>
    </row>
    <row r="3578" spans="1:6" x14ac:dyDescent="0.25">
      <c r="A3578" t="s">
        <v>6683</v>
      </c>
      <c r="B3578" t="s">
        <v>6684</v>
      </c>
      <c r="C3578" s="1">
        <v>44083</v>
      </c>
      <c r="D3578" t="b">
        <v>1</v>
      </c>
      <c r="E3578" t="s">
        <v>10</v>
      </c>
      <c r="F3578">
        <v>2979</v>
      </c>
    </row>
    <row r="3579" spans="1:6" x14ac:dyDescent="0.25">
      <c r="A3579" t="s">
        <v>6685</v>
      </c>
      <c r="B3579" t="s">
        <v>6686</v>
      </c>
      <c r="C3579" s="1">
        <v>44083</v>
      </c>
      <c r="D3579" t="b">
        <v>1</v>
      </c>
      <c r="E3579" t="s">
        <v>10</v>
      </c>
      <c r="F3579">
        <v>2980</v>
      </c>
    </row>
    <row r="3580" spans="1:6" x14ac:dyDescent="0.25">
      <c r="A3580" t="s">
        <v>6687</v>
      </c>
      <c r="B3580" t="s">
        <v>6688</v>
      </c>
      <c r="C3580" s="1">
        <v>44083</v>
      </c>
      <c r="D3580" t="b">
        <v>1</v>
      </c>
      <c r="E3580" t="s">
        <v>10</v>
      </c>
      <c r="F3580">
        <v>2982</v>
      </c>
    </row>
    <row r="3581" spans="1:6" x14ac:dyDescent="0.25">
      <c r="A3581" t="s">
        <v>6689</v>
      </c>
      <c r="B3581" t="s">
        <v>6690</v>
      </c>
      <c r="C3581" s="1">
        <v>44083</v>
      </c>
      <c r="D3581" t="b">
        <v>1</v>
      </c>
      <c r="E3581" t="s">
        <v>10</v>
      </c>
      <c r="F3581">
        <v>2986</v>
      </c>
    </row>
    <row r="3582" spans="1:6" x14ac:dyDescent="0.25">
      <c r="A3582" t="s">
        <v>6691</v>
      </c>
      <c r="B3582" t="s">
        <v>6692</v>
      </c>
      <c r="C3582" s="1">
        <v>44083</v>
      </c>
      <c r="D3582" t="b">
        <v>1</v>
      </c>
      <c r="E3582" t="s">
        <v>10</v>
      </c>
      <c r="F3582">
        <v>2987</v>
      </c>
    </row>
    <row r="3583" spans="1:6" x14ac:dyDescent="0.25">
      <c r="A3583" t="s">
        <v>6693</v>
      </c>
      <c r="B3583" t="s">
        <v>6694</v>
      </c>
      <c r="C3583" s="1">
        <v>44083</v>
      </c>
      <c r="D3583" t="b">
        <v>1</v>
      </c>
      <c r="E3583" t="s">
        <v>10</v>
      </c>
      <c r="F3583">
        <v>13936</v>
      </c>
    </row>
    <row r="3584" spans="1:6" x14ac:dyDescent="0.25">
      <c r="A3584" t="s">
        <v>6695</v>
      </c>
      <c r="B3584" t="s">
        <v>6696</v>
      </c>
      <c r="C3584" s="1">
        <v>44083</v>
      </c>
      <c r="D3584" t="b">
        <v>1</v>
      </c>
      <c r="E3584" t="s">
        <v>10</v>
      </c>
      <c r="F3584">
        <v>14741</v>
      </c>
    </row>
    <row r="3585" spans="1:6" x14ac:dyDescent="0.25">
      <c r="A3585" t="s">
        <v>6697</v>
      </c>
      <c r="B3585" t="s">
        <v>6698</v>
      </c>
      <c r="C3585" s="1">
        <v>44083</v>
      </c>
      <c r="D3585" t="b">
        <v>1</v>
      </c>
      <c r="E3585" t="s">
        <v>10</v>
      </c>
      <c r="F3585">
        <v>2988</v>
      </c>
    </row>
    <row r="3586" spans="1:6" x14ac:dyDescent="0.25">
      <c r="A3586" t="s">
        <v>6699</v>
      </c>
      <c r="B3586" t="s">
        <v>6700</v>
      </c>
      <c r="C3586" s="1">
        <v>44083</v>
      </c>
      <c r="D3586" t="b">
        <v>1</v>
      </c>
      <c r="E3586" t="s">
        <v>10</v>
      </c>
      <c r="F3586">
        <v>16057</v>
      </c>
    </row>
    <row r="3587" spans="1:6" x14ac:dyDescent="0.25">
      <c r="A3587" t="s">
        <v>6701</v>
      </c>
      <c r="B3587" t="s">
        <v>6702</v>
      </c>
      <c r="C3587" s="1">
        <v>44083</v>
      </c>
      <c r="D3587" t="b">
        <v>1</v>
      </c>
      <c r="E3587" t="s">
        <v>10</v>
      </c>
      <c r="F3587">
        <v>12428</v>
      </c>
    </row>
    <row r="3588" spans="1:6" x14ac:dyDescent="0.25">
      <c r="A3588" t="s">
        <v>6703</v>
      </c>
      <c r="B3588" t="s">
        <v>6704</v>
      </c>
      <c r="C3588" s="1">
        <v>44083</v>
      </c>
      <c r="D3588" t="b">
        <v>1</v>
      </c>
      <c r="E3588" t="s">
        <v>10</v>
      </c>
      <c r="F3588">
        <v>14732</v>
      </c>
    </row>
    <row r="3589" spans="1:6" x14ac:dyDescent="0.25">
      <c r="A3589" t="s">
        <v>6705</v>
      </c>
      <c r="B3589" t="s">
        <v>6706</v>
      </c>
      <c r="C3589" s="1">
        <v>44083</v>
      </c>
      <c r="D3589" t="b">
        <v>1</v>
      </c>
      <c r="E3589" t="s">
        <v>10</v>
      </c>
      <c r="F3589">
        <v>16357</v>
      </c>
    </row>
    <row r="3590" spans="1:6" x14ac:dyDescent="0.25">
      <c r="A3590" t="s">
        <v>6707</v>
      </c>
      <c r="B3590" t="s">
        <v>6708</v>
      </c>
      <c r="C3590" s="1">
        <v>44083</v>
      </c>
      <c r="D3590" t="b">
        <v>1</v>
      </c>
      <c r="E3590" t="s">
        <v>10</v>
      </c>
      <c r="F3590">
        <v>16358</v>
      </c>
    </row>
    <row r="3591" spans="1:6" x14ac:dyDescent="0.25">
      <c r="A3591" t="s">
        <v>6709</v>
      </c>
      <c r="B3591" t="s">
        <v>6706</v>
      </c>
      <c r="C3591" s="1">
        <v>44083</v>
      </c>
      <c r="D3591" t="b">
        <v>1</v>
      </c>
      <c r="E3591" t="s">
        <v>10</v>
      </c>
      <c r="F3591">
        <v>16286</v>
      </c>
    </row>
    <row r="3592" spans="1:6" x14ac:dyDescent="0.25">
      <c r="A3592" t="s">
        <v>6710</v>
      </c>
      <c r="C3592" s="1">
        <v>44083</v>
      </c>
      <c r="D3592" t="b">
        <v>1</v>
      </c>
      <c r="E3592" t="s">
        <v>10</v>
      </c>
      <c r="F3592">
        <v>16361</v>
      </c>
    </row>
    <row r="3593" spans="1:6" x14ac:dyDescent="0.25">
      <c r="A3593" t="s">
        <v>6711</v>
      </c>
      <c r="B3593" t="s">
        <v>6712</v>
      </c>
      <c r="C3593" s="1">
        <v>44083</v>
      </c>
      <c r="D3593" t="b">
        <v>1</v>
      </c>
      <c r="E3593" t="s">
        <v>10</v>
      </c>
      <c r="F3593">
        <v>2991</v>
      </c>
    </row>
    <row r="3594" spans="1:6" x14ac:dyDescent="0.25">
      <c r="A3594" t="s">
        <v>6713</v>
      </c>
      <c r="B3594" t="s">
        <v>6714</v>
      </c>
      <c r="C3594" s="1">
        <v>44083</v>
      </c>
      <c r="D3594" t="b">
        <v>1</v>
      </c>
      <c r="E3594" t="s">
        <v>10</v>
      </c>
      <c r="F3594">
        <v>2992</v>
      </c>
    </row>
    <row r="3595" spans="1:6" x14ac:dyDescent="0.25">
      <c r="A3595" t="s">
        <v>6715</v>
      </c>
      <c r="B3595" t="s">
        <v>6716</v>
      </c>
      <c r="C3595" s="1">
        <v>44083</v>
      </c>
      <c r="D3595" t="b">
        <v>1</v>
      </c>
      <c r="E3595" t="s">
        <v>10</v>
      </c>
      <c r="F3595">
        <v>2993</v>
      </c>
    </row>
    <row r="3596" spans="1:6" x14ac:dyDescent="0.25">
      <c r="A3596" t="s">
        <v>6717</v>
      </c>
      <c r="B3596" t="s">
        <v>6718</v>
      </c>
      <c r="C3596" s="1">
        <v>44083</v>
      </c>
      <c r="D3596" t="b">
        <v>1</v>
      </c>
      <c r="E3596" t="s">
        <v>10</v>
      </c>
      <c r="F3596">
        <v>16997</v>
      </c>
    </row>
    <row r="3597" spans="1:6" x14ac:dyDescent="0.25">
      <c r="A3597" t="s">
        <v>6719</v>
      </c>
      <c r="B3597" t="s">
        <v>6720</v>
      </c>
      <c r="C3597" s="1">
        <v>44083</v>
      </c>
      <c r="D3597" t="b">
        <v>1</v>
      </c>
      <c r="E3597" t="s">
        <v>10</v>
      </c>
      <c r="F3597">
        <v>14949</v>
      </c>
    </row>
    <row r="3598" spans="1:6" x14ac:dyDescent="0.25">
      <c r="A3598" t="s">
        <v>6721</v>
      </c>
      <c r="B3598" t="s">
        <v>6722</v>
      </c>
      <c r="C3598" s="1">
        <v>44083</v>
      </c>
      <c r="D3598" t="b">
        <v>1</v>
      </c>
      <c r="E3598" t="s">
        <v>10</v>
      </c>
      <c r="F3598">
        <v>16190</v>
      </c>
    </row>
    <row r="3599" spans="1:6" x14ac:dyDescent="0.25">
      <c r="A3599" t="s">
        <v>6723</v>
      </c>
      <c r="B3599" t="s">
        <v>6724</v>
      </c>
      <c r="C3599" s="1">
        <v>44083</v>
      </c>
      <c r="D3599" t="b">
        <v>1</v>
      </c>
      <c r="E3599" t="s">
        <v>10</v>
      </c>
      <c r="F3599">
        <v>2999</v>
      </c>
    </row>
    <row r="3600" spans="1:6" x14ac:dyDescent="0.25">
      <c r="A3600" t="s">
        <v>6725</v>
      </c>
      <c r="B3600" t="s">
        <v>6726</v>
      </c>
      <c r="C3600" s="1">
        <v>44083</v>
      </c>
      <c r="D3600" t="b">
        <v>1</v>
      </c>
      <c r="E3600" t="s">
        <v>10</v>
      </c>
      <c r="F3600">
        <v>8315</v>
      </c>
    </row>
    <row r="3601" spans="1:6" x14ac:dyDescent="0.25">
      <c r="A3601" t="s">
        <v>6727</v>
      </c>
      <c r="B3601" t="s">
        <v>6728</v>
      </c>
      <c r="C3601" s="1">
        <v>44083</v>
      </c>
      <c r="D3601" t="b">
        <v>1</v>
      </c>
      <c r="E3601" t="s">
        <v>10</v>
      </c>
      <c r="F3601">
        <v>3000</v>
      </c>
    </row>
    <row r="3602" spans="1:6" x14ac:dyDescent="0.25">
      <c r="A3602" t="s">
        <v>6729</v>
      </c>
      <c r="B3602" t="s">
        <v>6730</v>
      </c>
      <c r="C3602" s="1">
        <v>44083</v>
      </c>
      <c r="D3602" t="b">
        <v>1</v>
      </c>
      <c r="E3602" t="s">
        <v>10</v>
      </c>
      <c r="F3602">
        <v>16344</v>
      </c>
    </row>
    <row r="3603" spans="1:6" x14ac:dyDescent="0.25">
      <c r="A3603" t="s">
        <v>6731</v>
      </c>
      <c r="B3603" t="s">
        <v>6732</v>
      </c>
      <c r="C3603" s="1">
        <v>44083</v>
      </c>
      <c r="D3603" t="b">
        <v>1</v>
      </c>
      <c r="E3603" t="s">
        <v>10</v>
      </c>
      <c r="F3603">
        <v>3002</v>
      </c>
    </row>
    <row r="3604" spans="1:6" x14ac:dyDescent="0.25">
      <c r="A3604" t="s">
        <v>6733</v>
      </c>
      <c r="C3604" s="1">
        <v>44083</v>
      </c>
      <c r="D3604" t="b">
        <v>1</v>
      </c>
      <c r="E3604" t="s">
        <v>10</v>
      </c>
      <c r="F3604">
        <v>9332</v>
      </c>
    </row>
    <row r="3605" spans="1:6" x14ac:dyDescent="0.25">
      <c r="A3605" t="s">
        <v>6734</v>
      </c>
      <c r="B3605" t="s">
        <v>6735</v>
      </c>
      <c r="C3605" s="1">
        <v>44083</v>
      </c>
      <c r="D3605" t="b">
        <v>1</v>
      </c>
      <c r="E3605" t="s">
        <v>10</v>
      </c>
      <c r="F3605">
        <v>3004</v>
      </c>
    </row>
    <row r="3606" spans="1:6" x14ac:dyDescent="0.25">
      <c r="A3606" t="s">
        <v>6736</v>
      </c>
      <c r="C3606" s="1">
        <v>44083</v>
      </c>
      <c r="D3606" t="b">
        <v>1</v>
      </c>
      <c r="E3606" t="s">
        <v>10</v>
      </c>
      <c r="F3606">
        <v>3005</v>
      </c>
    </row>
    <row r="3607" spans="1:6" x14ac:dyDescent="0.25">
      <c r="A3607" t="s">
        <v>6737</v>
      </c>
      <c r="C3607" s="1">
        <v>44083</v>
      </c>
      <c r="D3607" t="b">
        <v>1</v>
      </c>
      <c r="E3607" t="s">
        <v>10</v>
      </c>
      <c r="F3607">
        <v>3007</v>
      </c>
    </row>
    <row r="3608" spans="1:6" x14ac:dyDescent="0.25">
      <c r="A3608" t="s">
        <v>6738</v>
      </c>
      <c r="C3608" s="1">
        <v>44083</v>
      </c>
      <c r="D3608" t="b">
        <v>1</v>
      </c>
      <c r="E3608" t="s">
        <v>10</v>
      </c>
      <c r="F3608">
        <v>3008</v>
      </c>
    </row>
    <row r="3609" spans="1:6" x14ac:dyDescent="0.25">
      <c r="A3609" t="s">
        <v>6739</v>
      </c>
      <c r="C3609" s="1">
        <v>44083</v>
      </c>
      <c r="D3609" t="b">
        <v>1</v>
      </c>
      <c r="E3609" t="s">
        <v>10</v>
      </c>
      <c r="F3609">
        <v>3010</v>
      </c>
    </row>
    <row r="3610" spans="1:6" x14ac:dyDescent="0.25">
      <c r="A3610" t="s">
        <v>6740</v>
      </c>
      <c r="C3610" s="1">
        <v>44083</v>
      </c>
      <c r="D3610" t="b">
        <v>1</v>
      </c>
      <c r="E3610" t="s">
        <v>10</v>
      </c>
      <c r="F3610">
        <v>8593</v>
      </c>
    </row>
    <row r="3611" spans="1:6" x14ac:dyDescent="0.25">
      <c r="A3611" t="s">
        <v>6741</v>
      </c>
      <c r="C3611" s="1">
        <v>44083</v>
      </c>
      <c r="D3611" t="b">
        <v>1</v>
      </c>
      <c r="E3611" t="s">
        <v>10</v>
      </c>
      <c r="F3611">
        <v>11106</v>
      </c>
    </row>
    <row r="3612" spans="1:6" x14ac:dyDescent="0.25">
      <c r="A3612" t="s">
        <v>6742</v>
      </c>
      <c r="B3612" t="s">
        <v>6743</v>
      </c>
      <c r="C3612" s="1">
        <v>44083</v>
      </c>
      <c r="D3612" t="b">
        <v>1</v>
      </c>
      <c r="E3612" t="s">
        <v>10</v>
      </c>
      <c r="F3612">
        <v>17094</v>
      </c>
    </row>
    <row r="3613" spans="1:6" x14ac:dyDescent="0.25">
      <c r="A3613" t="s">
        <v>6744</v>
      </c>
      <c r="C3613" s="1">
        <v>44083</v>
      </c>
      <c r="D3613" t="b">
        <v>1</v>
      </c>
      <c r="E3613" t="s">
        <v>10</v>
      </c>
      <c r="F3613">
        <v>17111</v>
      </c>
    </row>
    <row r="3614" spans="1:6" x14ac:dyDescent="0.25">
      <c r="A3614" t="s">
        <v>6745</v>
      </c>
      <c r="B3614" t="s">
        <v>6746</v>
      </c>
      <c r="C3614" s="1">
        <v>44083</v>
      </c>
      <c r="D3614" t="b">
        <v>1</v>
      </c>
      <c r="E3614" t="s">
        <v>10</v>
      </c>
      <c r="F3614">
        <v>16818</v>
      </c>
    </row>
    <row r="3615" spans="1:6" x14ac:dyDescent="0.25">
      <c r="A3615" t="s">
        <v>6747</v>
      </c>
      <c r="B3615" t="s">
        <v>6748</v>
      </c>
      <c r="C3615" s="1">
        <v>44083</v>
      </c>
      <c r="D3615" t="b">
        <v>1</v>
      </c>
      <c r="E3615" t="s">
        <v>10</v>
      </c>
      <c r="F3615">
        <v>8562</v>
      </c>
    </row>
    <row r="3616" spans="1:6" x14ac:dyDescent="0.25">
      <c r="A3616" t="s">
        <v>6749</v>
      </c>
      <c r="B3616" t="s">
        <v>6750</v>
      </c>
      <c r="C3616" s="1">
        <v>44083</v>
      </c>
      <c r="D3616" t="b">
        <v>1</v>
      </c>
      <c r="E3616" t="s">
        <v>10</v>
      </c>
      <c r="F3616">
        <v>3013</v>
      </c>
    </row>
    <row r="3617" spans="1:6" x14ac:dyDescent="0.25">
      <c r="A3617" t="s">
        <v>6751</v>
      </c>
      <c r="B3617" t="s">
        <v>6752</v>
      </c>
      <c r="C3617" s="1">
        <v>44083</v>
      </c>
      <c r="D3617" t="b">
        <v>1</v>
      </c>
      <c r="E3617" t="s">
        <v>10</v>
      </c>
      <c r="F3617">
        <v>9831</v>
      </c>
    </row>
    <row r="3618" spans="1:6" x14ac:dyDescent="0.25">
      <c r="A3618" t="s">
        <v>6753</v>
      </c>
      <c r="B3618" t="s">
        <v>6754</v>
      </c>
      <c r="C3618" s="1">
        <v>44083</v>
      </c>
      <c r="D3618" t="b">
        <v>1</v>
      </c>
      <c r="E3618" t="s">
        <v>10</v>
      </c>
      <c r="F3618">
        <v>16731</v>
      </c>
    </row>
    <row r="3619" spans="1:6" x14ac:dyDescent="0.25">
      <c r="A3619" t="s">
        <v>6755</v>
      </c>
      <c r="B3619" t="s">
        <v>6756</v>
      </c>
      <c r="C3619" s="1">
        <v>44083</v>
      </c>
      <c r="D3619" t="b">
        <v>1</v>
      </c>
      <c r="E3619" t="s">
        <v>10</v>
      </c>
      <c r="F3619">
        <v>11116</v>
      </c>
    </row>
    <row r="3620" spans="1:6" x14ac:dyDescent="0.25">
      <c r="A3620" t="s">
        <v>6757</v>
      </c>
      <c r="B3620" t="s">
        <v>6758</v>
      </c>
      <c r="C3620" s="1">
        <v>44083</v>
      </c>
      <c r="D3620" t="b">
        <v>1</v>
      </c>
      <c r="E3620" t="s">
        <v>10</v>
      </c>
      <c r="F3620">
        <v>13374</v>
      </c>
    </row>
    <row r="3621" spans="1:6" x14ac:dyDescent="0.25">
      <c r="A3621" t="s">
        <v>6759</v>
      </c>
      <c r="B3621" t="s">
        <v>6760</v>
      </c>
      <c r="C3621" s="1">
        <v>44083</v>
      </c>
      <c r="D3621" t="b">
        <v>1</v>
      </c>
      <c r="E3621" t="s">
        <v>10</v>
      </c>
      <c r="F3621">
        <v>3017</v>
      </c>
    </row>
    <row r="3622" spans="1:6" x14ac:dyDescent="0.25">
      <c r="A3622" t="s">
        <v>6761</v>
      </c>
      <c r="B3622" t="s">
        <v>6762</v>
      </c>
      <c r="C3622" s="1">
        <v>44083</v>
      </c>
      <c r="D3622" t="b">
        <v>1</v>
      </c>
      <c r="E3622" t="s">
        <v>10</v>
      </c>
      <c r="F3622">
        <v>3019</v>
      </c>
    </row>
    <row r="3623" spans="1:6" x14ac:dyDescent="0.25">
      <c r="A3623" t="s">
        <v>6763</v>
      </c>
      <c r="B3623" t="s">
        <v>6764</v>
      </c>
      <c r="C3623" s="1">
        <v>44083</v>
      </c>
      <c r="D3623" t="b">
        <v>1</v>
      </c>
      <c r="E3623" t="s">
        <v>10</v>
      </c>
      <c r="F3623">
        <v>14339</v>
      </c>
    </row>
    <row r="3624" spans="1:6" x14ac:dyDescent="0.25">
      <c r="A3624" t="s">
        <v>6765</v>
      </c>
      <c r="B3624" t="s">
        <v>6766</v>
      </c>
      <c r="C3624" s="1">
        <v>44083</v>
      </c>
      <c r="D3624" t="b">
        <v>1</v>
      </c>
      <c r="E3624" t="s">
        <v>10</v>
      </c>
      <c r="F3624">
        <v>16732</v>
      </c>
    </row>
    <row r="3625" spans="1:6" x14ac:dyDescent="0.25">
      <c r="A3625" t="s">
        <v>6767</v>
      </c>
      <c r="B3625" t="s">
        <v>6768</v>
      </c>
      <c r="C3625" s="1">
        <v>44083</v>
      </c>
      <c r="D3625" t="b">
        <v>1</v>
      </c>
      <c r="E3625" t="s">
        <v>10</v>
      </c>
      <c r="F3625">
        <v>10822</v>
      </c>
    </row>
    <row r="3626" spans="1:6" x14ac:dyDescent="0.25">
      <c r="A3626" t="s">
        <v>6769</v>
      </c>
      <c r="B3626" t="s">
        <v>6770</v>
      </c>
      <c r="C3626" s="1">
        <v>44083</v>
      </c>
      <c r="D3626" t="b">
        <v>0</v>
      </c>
      <c r="E3626" t="s">
        <v>10</v>
      </c>
      <c r="F3626">
        <v>16946</v>
      </c>
    </row>
    <row r="3627" spans="1:6" x14ac:dyDescent="0.25">
      <c r="A3627" t="s">
        <v>6771</v>
      </c>
      <c r="B3627" t="s">
        <v>6772</v>
      </c>
      <c r="C3627" s="1">
        <v>44083</v>
      </c>
      <c r="D3627" t="b">
        <v>1</v>
      </c>
      <c r="E3627" t="s">
        <v>10</v>
      </c>
      <c r="F3627">
        <v>3022</v>
      </c>
    </row>
    <row r="3628" spans="1:6" x14ac:dyDescent="0.25">
      <c r="A3628" t="s">
        <v>6773</v>
      </c>
      <c r="B3628" t="s">
        <v>6774</v>
      </c>
      <c r="C3628" s="1">
        <v>44083</v>
      </c>
      <c r="D3628" t="b">
        <v>1</v>
      </c>
      <c r="E3628" t="s">
        <v>10</v>
      </c>
      <c r="F3628">
        <v>11117</v>
      </c>
    </row>
    <row r="3629" spans="1:6" x14ac:dyDescent="0.25">
      <c r="A3629" t="s">
        <v>6775</v>
      </c>
      <c r="B3629" t="s">
        <v>6776</v>
      </c>
      <c r="C3629" s="1">
        <v>44083</v>
      </c>
      <c r="D3629" t="b">
        <v>1</v>
      </c>
      <c r="E3629" t="s">
        <v>10</v>
      </c>
      <c r="F3629">
        <v>3025</v>
      </c>
    </row>
    <row r="3630" spans="1:6" x14ac:dyDescent="0.25">
      <c r="A3630" t="s">
        <v>6777</v>
      </c>
      <c r="B3630" t="s">
        <v>6778</v>
      </c>
      <c r="C3630" s="1">
        <v>44083</v>
      </c>
      <c r="D3630" t="b">
        <v>1</v>
      </c>
      <c r="E3630" t="s">
        <v>10</v>
      </c>
      <c r="F3630">
        <v>14545</v>
      </c>
    </row>
    <row r="3631" spans="1:6" x14ac:dyDescent="0.25">
      <c r="A3631" t="s">
        <v>6779</v>
      </c>
      <c r="B3631" t="s">
        <v>6780</v>
      </c>
      <c r="C3631" s="1">
        <v>44083</v>
      </c>
      <c r="D3631" t="b">
        <v>1</v>
      </c>
      <c r="E3631" t="s">
        <v>10</v>
      </c>
      <c r="F3631">
        <v>3026</v>
      </c>
    </row>
    <row r="3632" spans="1:6" x14ac:dyDescent="0.25">
      <c r="A3632" t="s">
        <v>6781</v>
      </c>
      <c r="C3632" s="1">
        <v>44083</v>
      </c>
      <c r="D3632" t="b">
        <v>1</v>
      </c>
      <c r="E3632" t="s">
        <v>10</v>
      </c>
      <c r="F3632">
        <v>14599</v>
      </c>
    </row>
    <row r="3633" spans="1:6" x14ac:dyDescent="0.25">
      <c r="A3633" t="s">
        <v>6782</v>
      </c>
      <c r="B3633" t="s">
        <v>6783</v>
      </c>
      <c r="C3633" s="1">
        <v>44083</v>
      </c>
      <c r="D3633" t="b">
        <v>1</v>
      </c>
      <c r="E3633" t="s">
        <v>10</v>
      </c>
      <c r="F3633">
        <v>10547</v>
      </c>
    </row>
    <row r="3634" spans="1:6" x14ac:dyDescent="0.25">
      <c r="A3634" t="s">
        <v>6784</v>
      </c>
      <c r="C3634" s="1">
        <v>44083</v>
      </c>
      <c r="D3634" t="b">
        <v>1</v>
      </c>
      <c r="E3634" t="s">
        <v>10</v>
      </c>
      <c r="F3634">
        <v>16326</v>
      </c>
    </row>
    <row r="3635" spans="1:6" x14ac:dyDescent="0.25">
      <c r="A3635" t="s">
        <v>6785</v>
      </c>
      <c r="B3635" t="s">
        <v>6786</v>
      </c>
      <c r="C3635" s="1">
        <v>44083</v>
      </c>
      <c r="D3635" t="b">
        <v>1</v>
      </c>
      <c r="E3635" t="s">
        <v>10</v>
      </c>
      <c r="F3635">
        <v>10971</v>
      </c>
    </row>
    <row r="3636" spans="1:6" x14ac:dyDescent="0.25">
      <c r="A3636" t="s">
        <v>6787</v>
      </c>
      <c r="B3636" t="s">
        <v>6788</v>
      </c>
      <c r="C3636" s="1">
        <v>44083</v>
      </c>
      <c r="D3636" t="b">
        <v>1</v>
      </c>
      <c r="E3636" t="s">
        <v>10</v>
      </c>
      <c r="F3636">
        <v>15004</v>
      </c>
    </row>
    <row r="3637" spans="1:6" x14ac:dyDescent="0.25">
      <c r="A3637" t="s">
        <v>6789</v>
      </c>
      <c r="C3637" s="1">
        <v>44083</v>
      </c>
      <c r="D3637" t="b">
        <v>1</v>
      </c>
      <c r="E3637" t="s">
        <v>10</v>
      </c>
      <c r="F3637">
        <v>15015</v>
      </c>
    </row>
    <row r="3638" spans="1:6" x14ac:dyDescent="0.25">
      <c r="A3638" t="s">
        <v>6790</v>
      </c>
      <c r="B3638" t="s">
        <v>6791</v>
      </c>
      <c r="C3638" s="1">
        <v>44083</v>
      </c>
      <c r="D3638" t="b">
        <v>1</v>
      </c>
      <c r="E3638" t="s">
        <v>10</v>
      </c>
      <c r="F3638">
        <v>3030</v>
      </c>
    </row>
    <row r="3639" spans="1:6" x14ac:dyDescent="0.25">
      <c r="A3639" t="s">
        <v>6792</v>
      </c>
      <c r="B3639" t="s">
        <v>6793</v>
      </c>
      <c r="C3639" s="1">
        <v>44083</v>
      </c>
      <c r="D3639" t="b">
        <v>1</v>
      </c>
      <c r="E3639" t="s">
        <v>10</v>
      </c>
      <c r="F3639">
        <v>3032</v>
      </c>
    </row>
    <row r="3640" spans="1:6" x14ac:dyDescent="0.25">
      <c r="A3640" t="s">
        <v>6794</v>
      </c>
      <c r="B3640" t="s">
        <v>6795</v>
      </c>
      <c r="C3640" s="1">
        <v>44083</v>
      </c>
      <c r="D3640" t="b">
        <v>1</v>
      </c>
      <c r="E3640" t="s">
        <v>10</v>
      </c>
      <c r="F3640">
        <v>13084</v>
      </c>
    </row>
    <row r="3641" spans="1:6" x14ac:dyDescent="0.25">
      <c r="A3641" t="s">
        <v>6796</v>
      </c>
      <c r="B3641" t="s">
        <v>6797</v>
      </c>
      <c r="C3641" s="1">
        <v>44083</v>
      </c>
      <c r="D3641" t="b">
        <v>1</v>
      </c>
      <c r="E3641" t="s">
        <v>10</v>
      </c>
      <c r="F3641">
        <v>15633</v>
      </c>
    </row>
    <row r="3642" spans="1:6" x14ac:dyDescent="0.25">
      <c r="A3642" t="s">
        <v>6798</v>
      </c>
      <c r="B3642" t="s">
        <v>6799</v>
      </c>
      <c r="C3642" s="1">
        <v>44083</v>
      </c>
      <c r="D3642" t="b">
        <v>1</v>
      </c>
      <c r="E3642" t="s">
        <v>10</v>
      </c>
      <c r="F3642">
        <v>11765</v>
      </c>
    </row>
    <row r="3643" spans="1:6" x14ac:dyDescent="0.25">
      <c r="A3643" t="s">
        <v>6800</v>
      </c>
      <c r="B3643" t="s">
        <v>6801</v>
      </c>
      <c r="C3643" s="1">
        <v>44083</v>
      </c>
      <c r="D3643" t="b">
        <v>1</v>
      </c>
      <c r="E3643" t="s">
        <v>10</v>
      </c>
      <c r="F3643">
        <v>16733</v>
      </c>
    </row>
    <row r="3644" spans="1:6" x14ac:dyDescent="0.25">
      <c r="A3644" t="s">
        <v>6802</v>
      </c>
      <c r="B3644" t="s">
        <v>6803</v>
      </c>
      <c r="C3644" s="1">
        <v>44083</v>
      </c>
      <c r="D3644" t="b">
        <v>1</v>
      </c>
      <c r="E3644" t="s">
        <v>10</v>
      </c>
      <c r="F3644">
        <v>3035</v>
      </c>
    </row>
    <row r="3645" spans="1:6" x14ac:dyDescent="0.25">
      <c r="A3645" t="s">
        <v>6804</v>
      </c>
      <c r="B3645" t="s">
        <v>6805</v>
      </c>
      <c r="C3645" s="1">
        <v>44083</v>
      </c>
      <c r="D3645" t="b">
        <v>1</v>
      </c>
      <c r="E3645" t="s">
        <v>10</v>
      </c>
      <c r="F3645">
        <v>15724</v>
      </c>
    </row>
    <row r="3646" spans="1:6" x14ac:dyDescent="0.25">
      <c r="A3646" t="s">
        <v>6806</v>
      </c>
      <c r="B3646" t="s">
        <v>6807</v>
      </c>
      <c r="C3646" s="1">
        <v>44083</v>
      </c>
      <c r="D3646" t="b">
        <v>1</v>
      </c>
      <c r="E3646" t="s">
        <v>10</v>
      </c>
      <c r="F3646">
        <v>14391</v>
      </c>
    </row>
    <row r="3647" spans="1:6" x14ac:dyDescent="0.25">
      <c r="A3647" t="s">
        <v>6808</v>
      </c>
      <c r="B3647" t="s">
        <v>6809</v>
      </c>
      <c r="C3647" s="1">
        <v>44083</v>
      </c>
      <c r="D3647" t="b">
        <v>1</v>
      </c>
      <c r="E3647" t="s">
        <v>10</v>
      </c>
      <c r="F3647">
        <v>3038</v>
      </c>
    </row>
    <row r="3648" spans="1:6" x14ac:dyDescent="0.25">
      <c r="A3648" t="s">
        <v>6810</v>
      </c>
      <c r="B3648" t="s">
        <v>6811</v>
      </c>
      <c r="C3648" s="1">
        <v>44083</v>
      </c>
      <c r="D3648" t="b">
        <v>1</v>
      </c>
      <c r="E3648" t="s">
        <v>10</v>
      </c>
      <c r="F3648">
        <v>3041</v>
      </c>
    </row>
    <row r="3649" spans="1:6" x14ac:dyDescent="0.25">
      <c r="A3649" t="s">
        <v>6812</v>
      </c>
      <c r="B3649" t="s">
        <v>6813</v>
      </c>
      <c r="C3649" s="1">
        <v>44083</v>
      </c>
      <c r="D3649" t="b">
        <v>1</v>
      </c>
      <c r="E3649" t="s">
        <v>10</v>
      </c>
      <c r="F3649">
        <v>14893</v>
      </c>
    </row>
    <row r="3650" spans="1:6" x14ac:dyDescent="0.25">
      <c r="A3650" t="s">
        <v>6814</v>
      </c>
      <c r="B3650" t="s">
        <v>6815</v>
      </c>
      <c r="C3650" s="1">
        <v>44083</v>
      </c>
      <c r="D3650" t="b">
        <v>1</v>
      </c>
      <c r="E3650" t="s">
        <v>10</v>
      </c>
      <c r="F3650">
        <v>13966</v>
      </c>
    </row>
    <row r="3651" spans="1:6" x14ac:dyDescent="0.25">
      <c r="A3651" t="s">
        <v>6816</v>
      </c>
      <c r="B3651" t="s">
        <v>6817</v>
      </c>
      <c r="C3651" s="1">
        <v>44083</v>
      </c>
      <c r="D3651" t="b">
        <v>1</v>
      </c>
      <c r="E3651" t="s">
        <v>10</v>
      </c>
      <c r="F3651">
        <v>16322</v>
      </c>
    </row>
    <row r="3652" spans="1:6" x14ac:dyDescent="0.25">
      <c r="A3652" t="s">
        <v>6818</v>
      </c>
      <c r="B3652" t="s">
        <v>6819</v>
      </c>
      <c r="C3652" s="1">
        <v>44083</v>
      </c>
      <c r="D3652" t="b">
        <v>1</v>
      </c>
      <c r="E3652" t="s">
        <v>10</v>
      </c>
      <c r="F3652">
        <v>12792</v>
      </c>
    </row>
    <row r="3653" spans="1:6" x14ac:dyDescent="0.25">
      <c r="A3653" t="s">
        <v>6820</v>
      </c>
      <c r="B3653" t="s">
        <v>6821</v>
      </c>
      <c r="C3653" s="1">
        <v>44083</v>
      </c>
      <c r="D3653" t="b">
        <v>1</v>
      </c>
      <c r="E3653" t="s">
        <v>10</v>
      </c>
      <c r="F3653">
        <v>3043</v>
      </c>
    </row>
    <row r="3654" spans="1:6" x14ac:dyDescent="0.25">
      <c r="A3654" t="s">
        <v>6822</v>
      </c>
      <c r="B3654" t="s">
        <v>6823</v>
      </c>
      <c r="C3654" s="1">
        <v>44083</v>
      </c>
      <c r="D3654" t="b">
        <v>1</v>
      </c>
      <c r="E3654" t="s">
        <v>10</v>
      </c>
      <c r="F3654">
        <v>15109</v>
      </c>
    </row>
    <row r="3655" spans="1:6" x14ac:dyDescent="0.25">
      <c r="A3655" t="s">
        <v>6824</v>
      </c>
      <c r="B3655" t="s">
        <v>6825</v>
      </c>
      <c r="C3655" s="1">
        <v>44083</v>
      </c>
      <c r="D3655" t="b">
        <v>1</v>
      </c>
      <c r="E3655" t="s">
        <v>10</v>
      </c>
      <c r="F3655">
        <v>3046</v>
      </c>
    </row>
    <row r="3656" spans="1:6" x14ac:dyDescent="0.25">
      <c r="A3656" t="s">
        <v>6826</v>
      </c>
      <c r="B3656" t="s">
        <v>6827</v>
      </c>
      <c r="C3656" s="1">
        <v>44083</v>
      </c>
      <c r="D3656" t="b">
        <v>1</v>
      </c>
      <c r="E3656" t="s">
        <v>10</v>
      </c>
      <c r="F3656">
        <v>3047</v>
      </c>
    </row>
    <row r="3657" spans="1:6" x14ac:dyDescent="0.25">
      <c r="A3657" t="s">
        <v>6828</v>
      </c>
      <c r="B3657" t="s">
        <v>6829</v>
      </c>
      <c r="C3657" s="1">
        <v>44083</v>
      </c>
      <c r="D3657" t="b">
        <v>1</v>
      </c>
      <c r="E3657" t="s">
        <v>10</v>
      </c>
      <c r="F3657">
        <v>3048</v>
      </c>
    </row>
    <row r="3658" spans="1:6" x14ac:dyDescent="0.25">
      <c r="A3658" t="s">
        <v>6830</v>
      </c>
      <c r="B3658" t="s">
        <v>6831</v>
      </c>
      <c r="C3658" s="1">
        <v>44083</v>
      </c>
      <c r="D3658" t="b">
        <v>1</v>
      </c>
      <c r="E3658" t="s">
        <v>10</v>
      </c>
      <c r="F3658">
        <v>14392</v>
      </c>
    </row>
    <row r="3659" spans="1:6" x14ac:dyDescent="0.25">
      <c r="A3659" t="s">
        <v>6832</v>
      </c>
      <c r="B3659" t="s">
        <v>6833</v>
      </c>
      <c r="C3659" s="1">
        <v>44083</v>
      </c>
      <c r="D3659" t="b">
        <v>1</v>
      </c>
      <c r="E3659" t="s">
        <v>10</v>
      </c>
      <c r="F3659">
        <v>3050</v>
      </c>
    </row>
    <row r="3660" spans="1:6" x14ac:dyDescent="0.25">
      <c r="A3660" t="s">
        <v>6834</v>
      </c>
      <c r="B3660" t="s">
        <v>6835</v>
      </c>
      <c r="C3660" s="1">
        <v>44083</v>
      </c>
      <c r="D3660" t="b">
        <v>1</v>
      </c>
      <c r="E3660" t="s">
        <v>10</v>
      </c>
      <c r="F3660">
        <v>3051</v>
      </c>
    </row>
    <row r="3661" spans="1:6" x14ac:dyDescent="0.25">
      <c r="A3661" t="s">
        <v>6836</v>
      </c>
      <c r="B3661" t="s">
        <v>6837</v>
      </c>
      <c r="C3661" s="1">
        <v>44083</v>
      </c>
      <c r="D3661" t="b">
        <v>1</v>
      </c>
      <c r="E3661" t="s">
        <v>10</v>
      </c>
      <c r="F3661">
        <v>15029</v>
      </c>
    </row>
    <row r="3662" spans="1:6" x14ac:dyDescent="0.25">
      <c r="A3662" t="s">
        <v>6838</v>
      </c>
      <c r="B3662" t="s">
        <v>6839</v>
      </c>
      <c r="C3662" s="1">
        <v>44083</v>
      </c>
      <c r="D3662" t="b">
        <v>1</v>
      </c>
      <c r="E3662" t="s">
        <v>10</v>
      </c>
      <c r="F3662">
        <v>3055</v>
      </c>
    </row>
    <row r="3663" spans="1:6" x14ac:dyDescent="0.25">
      <c r="A3663" t="s">
        <v>6840</v>
      </c>
      <c r="B3663" t="s">
        <v>6841</v>
      </c>
      <c r="C3663" s="1">
        <v>44083</v>
      </c>
      <c r="D3663" t="b">
        <v>1</v>
      </c>
      <c r="E3663" t="s">
        <v>10</v>
      </c>
      <c r="F3663">
        <v>15453</v>
      </c>
    </row>
    <row r="3664" spans="1:6" x14ac:dyDescent="0.25">
      <c r="A3664" t="s">
        <v>6842</v>
      </c>
      <c r="B3664" t="s">
        <v>6843</v>
      </c>
      <c r="C3664" s="1">
        <v>44083</v>
      </c>
      <c r="D3664" t="b">
        <v>1</v>
      </c>
      <c r="E3664" t="s">
        <v>10</v>
      </c>
      <c r="F3664">
        <v>13669</v>
      </c>
    </row>
    <row r="3665" spans="1:6" x14ac:dyDescent="0.25">
      <c r="A3665" t="s">
        <v>6844</v>
      </c>
      <c r="B3665" t="s">
        <v>6845</v>
      </c>
      <c r="C3665" s="1">
        <v>44083</v>
      </c>
      <c r="D3665" t="b">
        <v>1</v>
      </c>
      <c r="E3665" t="s">
        <v>10</v>
      </c>
      <c r="F3665">
        <v>3059</v>
      </c>
    </row>
    <row r="3666" spans="1:6" x14ac:dyDescent="0.25">
      <c r="A3666" t="s">
        <v>6846</v>
      </c>
      <c r="B3666" t="s">
        <v>6847</v>
      </c>
      <c r="C3666" s="1">
        <v>44083</v>
      </c>
      <c r="D3666" t="b">
        <v>1</v>
      </c>
      <c r="E3666" t="s">
        <v>10</v>
      </c>
      <c r="F3666">
        <v>3061</v>
      </c>
    </row>
    <row r="3667" spans="1:6" x14ac:dyDescent="0.25">
      <c r="A3667" t="s">
        <v>6848</v>
      </c>
      <c r="B3667" t="s">
        <v>6849</v>
      </c>
      <c r="C3667" s="1">
        <v>44083</v>
      </c>
      <c r="D3667" t="b">
        <v>1</v>
      </c>
      <c r="E3667" t="s">
        <v>10</v>
      </c>
      <c r="F3667">
        <v>3062</v>
      </c>
    </row>
    <row r="3668" spans="1:6" x14ac:dyDescent="0.25">
      <c r="A3668" t="s">
        <v>6850</v>
      </c>
      <c r="B3668" t="s">
        <v>4101</v>
      </c>
      <c r="C3668" s="1">
        <v>44083</v>
      </c>
      <c r="D3668" t="b">
        <v>1</v>
      </c>
      <c r="E3668" t="s">
        <v>10</v>
      </c>
      <c r="F3668">
        <v>10030</v>
      </c>
    </row>
    <row r="3669" spans="1:6" x14ac:dyDescent="0.25">
      <c r="A3669" t="s">
        <v>6851</v>
      </c>
      <c r="B3669" t="s">
        <v>6852</v>
      </c>
      <c r="C3669" s="1">
        <v>44083</v>
      </c>
      <c r="D3669" t="b">
        <v>1</v>
      </c>
      <c r="E3669" t="s">
        <v>10</v>
      </c>
      <c r="F3669">
        <v>3063</v>
      </c>
    </row>
    <row r="3670" spans="1:6" x14ac:dyDescent="0.25">
      <c r="A3670" t="s">
        <v>6853</v>
      </c>
      <c r="C3670" s="1">
        <v>44083</v>
      </c>
      <c r="D3670" t="b">
        <v>1</v>
      </c>
      <c r="E3670" t="s">
        <v>10</v>
      </c>
      <c r="F3670">
        <v>3064</v>
      </c>
    </row>
    <row r="3671" spans="1:6" x14ac:dyDescent="0.25">
      <c r="A3671" t="s">
        <v>6854</v>
      </c>
      <c r="C3671" s="1">
        <v>44083</v>
      </c>
      <c r="D3671" t="b">
        <v>1</v>
      </c>
      <c r="E3671" t="s">
        <v>10</v>
      </c>
      <c r="F3671">
        <v>11435</v>
      </c>
    </row>
    <row r="3672" spans="1:6" x14ac:dyDescent="0.25">
      <c r="A3672" t="s">
        <v>6855</v>
      </c>
      <c r="B3672" t="s">
        <v>6856</v>
      </c>
      <c r="C3672" s="1">
        <v>44083</v>
      </c>
      <c r="D3672" t="b">
        <v>1</v>
      </c>
      <c r="E3672" t="s">
        <v>10</v>
      </c>
      <c r="F3672">
        <v>3065</v>
      </c>
    </row>
    <row r="3673" spans="1:6" x14ac:dyDescent="0.25">
      <c r="A3673" t="s">
        <v>6857</v>
      </c>
      <c r="B3673" t="s">
        <v>6858</v>
      </c>
      <c r="C3673" s="1">
        <v>44083</v>
      </c>
      <c r="D3673" t="b">
        <v>1</v>
      </c>
      <c r="E3673" t="s">
        <v>10</v>
      </c>
      <c r="F3673">
        <v>3066</v>
      </c>
    </row>
    <row r="3674" spans="1:6" x14ac:dyDescent="0.25">
      <c r="A3674" t="s">
        <v>6859</v>
      </c>
      <c r="B3674" t="s">
        <v>6860</v>
      </c>
      <c r="C3674" s="1">
        <v>44083</v>
      </c>
      <c r="D3674" t="b">
        <v>1</v>
      </c>
      <c r="E3674" t="s">
        <v>10</v>
      </c>
      <c r="F3674">
        <v>8387</v>
      </c>
    </row>
    <row r="3675" spans="1:6" x14ac:dyDescent="0.25">
      <c r="A3675" t="s">
        <v>6861</v>
      </c>
      <c r="B3675" t="s">
        <v>6862</v>
      </c>
      <c r="C3675" s="1">
        <v>44083</v>
      </c>
      <c r="D3675" t="b">
        <v>1</v>
      </c>
      <c r="E3675" t="s">
        <v>10</v>
      </c>
      <c r="F3675">
        <v>3067</v>
      </c>
    </row>
    <row r="3676" spans="1:6" x14ac:dyDescent="0.25">
      <c r="A3676" t="s">
        <v>6863</v>
      </c>
      <c r="B3676" t="s">
        <v>6864</v>
      </c>
      <c r="C3676" s="1">
        <v>44083</v>
      </c>
      <c r="D3676" t="b">
        <v>1</v>
      </c>
      <c r="E3676" t="s">
        <v>10</v>
      </c>
      <c r="F3676">
        <v>12051</v>
      </c>
    </row>
    <row r="3677" spans="1:6" x14ac:dyDescent="0.25">
      <c r="A3677" t="s">
        <v>6865</v>
      </c>
      <c r="B3677" t="s">
        <v>6866</v>
      </c>
      <c r="C3677" s="1">
        <v>44083</v>
      </c>
      <c r="D3677" t="b">
        <v>1</v>
      </c>
      <c r="E3677" t="s">
        <v>10</v>
      </c>
      <c r="F3677">
        <v>3068</v>
      </c>
    </row>
    <row r="3678" spans="1:6" x14ac:dyDescent="0.25">
      <c r="A3678" t="s">
        <v>6867</v>
      </c>
      <c r="B3678" t="s">
        <v>6868</v>
      </c>
      <c r="C3678" s="1">
        <v>44083</v>
      </c>
      <c r="D3678" t="b">
        <v>1</v>
      </c>
      <c r="E3678" t="s">
        <v>10</v>
      </c>
      <c r="F3678">
        <v>9317</v>
      </c>
    </row>
    <row r="3679" spans="1:6" x14ac:dyDescent="0.25">
      <c r="A3679" t="s">
        <v>6869</v>
      </c>
      <c r="B3679" t="s">
        <v>6870</v>
      </c>
      <c r="C3679" s="1">
        <v>44083</v>
      </c>
      <c r="D3679" t="b">
        <v>1</v>
      </c>
      <c r="E3679" t="s">
        <v>10</v>
      </c>
      <c r="F3679">
        <v>8575</v>
      </c>
    </row>
    <row r="3680" spans="1:6" x14ac:dyDescent="0.25">
      <c r="A3680" t="s">
        <v>6871</v>
      </c>
      <c r="B3680" t="s">
        <v>6872</v>
      </c>
      <c r="C3680" s="1">
        <v>44083</v>
      </c>
      <c r="D3680" t="b">
        <v>1</v>
      </c>
      <c r="E3680" t="s">
        <v>10</v>
      </c>
      <c r="F3680">
        <v>3072</v>
      </c>
    </row>
    <row r="3681" spans="1:6" x14ac:dyDescent="0.25">
      <c r="A3681" t="s">
        <v>6873</v>
      </c>
      <c r="B3681" t="s">
        <v>6874</v>
      </c>
      <c r="C3681" s="1">
        <v>44083</v>
      </c>
      <c r="D3681" t="b">
        <v>1</v>
      </c>
      <c r="E3681" t="s">
        <v>10</v>
      </c>
      <c r="F3681">
        <v>3074</v>
      </c>
    </row>
    <row r="3682" spans="1:6" x14ac:dyDescent="0.25">
      <c r="A3682" t="s">
        <v>6875</v>
      </c>
      <c r="B3682" t="s">
        <v>6876</v>
      </c>
      <c r="C3682" s="1">
        <v>44083</v>
      </c>
      <c r="D3682" t="b">
        <v>1</v>
      </c>
      <c r="E3682" t="s">
        <v>10</v>
      </c>
      <c r="F3682">
        <v>11298</v>
      </c>
    </row>
    <row r="3683" spans="1:6" x14ac:dyDescent="0.25">
      <c r="A3683" t="s">
        <v>6877</v>
      </c>
      <c r="B3683" t="s">
        <v>6878</v>
      </c>
      <c r="C3683" s="1">
        <v>44083</v>
      </c>
      <c r="D3683" t="b">
        <v>1</v>
      </c>
      <c r="E3683" t="s">
        <v>10</v>
      </c>
      <c r="F3683">
        <v>3076</v>
      </c>
    </row>
    <row r="3684" spans="1:6" x14ac:dyDescent="0.25">
      <c r="A3684" t="s">
        <v>6879</v>
      </c>
      <c r="B3684" t="s">
        <v>6880</v>
      </c>
      <c r="C3684" s="1">
        <v>44083</v>
      </c>
      <c r="D3684" t="b">
        <v>1</v>
      </c>
      <c r="E3684" t="s">
        <v>10</v>
      </c>
      <c r="F3684">
        <v>3077</v>
      </c>
    </row>
    <row r="3685" spans="1:6" x14ac:dyDescent="0.25">
      <c r="A3685" t="s">
        <v>6881</v>
      </c>
      <c r="B3685" t="s">
        <v>6882</v>
      </c>
      <c r="C3685" s="1">
        <v>44083</v>
      </c>
      <c r="D3685" t="b">
        <v>1</v>
      </c>
      <c r="E3685" t="s">
        <v>10</v>
      </c>
      <c r="F3685">
        <v>3078</v>
      </c>
    </row>
    <row r="3686" spans="1:6" x14ac:dyDescent="0.25">
      <c r="A3686" t="s">
        <v>6883</v>
      </c>
      <c r="B3686" t="s">
        <v>6884</v>
      </c>
      <c r="C3686" s="1">
        <v>44083</v>
      </c>
      <c r="D3686" t="b">
        <v>1</v>
      </c>
      <c r="E3686" t="s">
        <v>10</v>
      </c>
      <c r="F3686">
        <v>3079</v>
      </c>
    </row>
    <row r="3687" spans="1:6" x14ac:dyDescent="0.25">
      <c r="A3687" t="s">
        <v>6885</v>
      </c>
      <c r="B3687" t="s">
        <v>6886</v>
      </c>
      <c r="C3687" s="1">
        <v>44083</v>
      </c>
      <c r="D3687" t="b">
        <v>1</v>
      </c>
      <c r="E3687" t="s">
        <v>10</v>
      </c>
      <c r="F3687">
        <v>3080</v>
      </c>
    </row>
    <row r="3688" spans="1:6" x14ac:dyDescent="0.25">
      <c r="A3688" t="s">
        <v>6887</v>
      </c>
      <c r="B3688" t="s">
        <v>6888</v>
      </c>
      <c r="C3688" s="1">
        <v>44083</v>
      </c>
      <c r="D3688" t="b">
        <v>1</v>
      </c>
      <c r="E3688" t="s">
        <v>10</v>
      </c>
      <c r="F3688">
        <v>15927</v>
      </c>
    </row>
    <row r="3689" spans="1:6" x14ac:dyDescent="0.25">
      <c r="A3689" t="s">
        <v>6889</v>
      </c>
      <c r="B3689" t="s">
        <v>6890</v>
      </c>
      <c r="C3689" s="1">
        <v>44083</v>
      </c>
      <c r="D3689" t="b">
        <v>1</v>
      </c>
      <c r="E3689" t="s">
        <v>10</v>
      </c>
      <c r="F3689">
        <v>15675</v>
      </c>
    </row>
    <row r="3690" spans="1:6" x14ac:dyDescent="0.25">
      <c r="A3690" t="s">
        <v>6891</v>
      </c>
      <c r="C3690" s="1">
        <v>44083</v>
      </c>
      <c r="D3690" t="b">
        <v>1</v>
      </c>
      <c r="E3690" t="s">
        <v>10</v>
      </c>
      <c r="F3690">
        <v>15932</v>
      </c>
    </row>
    <row r="3691" spans="1:6" x14ac:dyDescent="0.25">
      <c r="A3691" t="s">
        <v>6892</v>
      </c>
      <c r="B3691" t="s">
        <v>6893</v>
      </c>
      <c r="C3691" s="1">
        <v>44083</v>
      </c>
      <c r="D3691" t="b">
        <v>1</v>
      </c>
      <c r="E3691" t="s">
        <v>10</v>
      </c>
      <c r="F3691">
        <v>16233</v>
      </c>
    </row>
    <row r="3692" spans="1:6" x14ac:dyDescent="0.25">
      <c r="A3692" t="s">
        <v>6894</v>
      </c>
      <c r="C3692" s="1">
        <v>44083</v>
      </c>
      <c r="D3692" t="b">
        <v>1</v>
      </c>
      <c r="E3692" t="s">
        <v>10</v>
      </c>
      <c r="F3692">
        <v>3087</v>
      </c>
    </row>
    <row r="3693" spans="1:6" x14ac:dyDescent="0.25">
      <c r="A3693" t="s">
        <v>6895</v>
      </c>
      <c r="B3693" t="s">
        <v>6896</v>
      </c>
      <c r="C3693" s="1">
        <v>44083</v>
      </c>
      <c r="D3693" t="b">
        <v>1</v>
      </c>
      <c r="E3693" t="s">
        <v>10</v>
      </c>
      <c r="F3693">
        <v>3088</v>
      </c>
    </row>
    <row r="3694" spans="1:6" x14ac:dyDescent="0.25">
      <c r="A3694" t="s">
        <v>6897</v>
      </c>
      <c r="B3694" t="s">
        <v>6898</v>
      </c>
      <c r="C3694" s="1">
        <v>44083</v>
      </c>
      <c r="D3694" t="b">
        <v>1</v>
      </c>
      <c r="E3694" t="s">
        <v>10</v>
      </c>
      <c r="F3694">
        <v>10473</v>
      </c>
    </row>
    <row r="3695" spans="1:6" x14ac:dyDescent="0.25">
      <c r="A3695" t="s">
        <v>6899</v>
      </c>
      <c r="B3695" t="s">
        <v>6900</v>
      </c>
      <c r="C3695" s="1">
        <v>44083</v>
      </c>
      <c r="D3695" t="b">
        <v>1</v>
      </c>
      <c r="E3695" t="s">
        <v>10</v>
      </c>
      <c r="F3695">
        <v>3091</v>
      </c>
    </row>
    <row r="3696" spans="1:6" x14ac:dyDescent="0.25">
      <c r="A3696" t="s">
        <v>6901</v>
      </c>
      <c r="B3696" t="s">
        <v>6902</v>
      </c>
      <c r="C3696" s="1">
        <v>44083</v>
      </c>
      <c r="D3696" t="b">
        <v>1</v>
      </c>
      <c r="E3696" t="s">
        <v>10</v>
      </c>
      <c r="F3696">
        <v>3092</v>
      </c>
    </row>
    <row r="3697" spans="1:6" x14ac:dyDescent="0.25">
      <c r="A3697" t="s">
        <v>6903</v>
      </c>
      <c r="B3697" t="s">
        <v>6904</v>
      </c>
      <c r="C3697" s="1">
        <v>44083</v>
      </c>
      <c r="D3697" t="b">
        <v>1</v>
      </c>
      <c r="E3697" t="s">
        <v>10</v>
      </c>
      <c r="F3697">
        <v>9489</v>
      </c>
    </row>
    <row r="3698" spans="1:6" x14ac:dyDescent="0.25">
      <c r="A3698" t="s">
        <v>6905</v>
      </c>
      <c r="B3698" t="s">
        <v>6906</v>
      </c>
      <c r="C3698" s="1">
        <v>44083</v>
      </c>
      <c r="D3698" t="b">
        <v>1</v>
      </c>
      <c r="E3698" t="s">
        <v>10</v>
      </c>
      <c r="F3698">
        <v>3093</v>
      </c>
    </row>
    <row r="3699" spans="1:6" x14ac:dyDescent="0.25">
      <c r="A3699" t="s">
        <v>6907</v>
      </c>
      <c r="B3699" t="s">
        <v>6908</v>
      </c>
      <c r="C3699" s="1">
        <v>44083</v>
      </c>
      <c r="D3699" t="b">
        <v>1</v>
      </c>
      <c r="E3699" t="s">
        <v>10</v>
      </c>
      <c r="F3699">
        <v>3094</v>
      </c>
    </row>
    <row r="3700" spans="1:6" x14ac:dyDescent="0.25">
      <c r="A3700" t="s">
        <v>6909</v>
      </c>
      <c r="B3700" t="s">
        <v>6910</v>
      </c>
      <c r="C3700" s="1">
        <v>44083</v>
      </c>
      <c r="D3700" t="b">
        <v>1</v>
      </c>
      <c r="E3700" t="s">
        <v>10</v>
      </c>
      <c r="F3700">
        <v>13959</v>
      </c>
    </row>
    <row r="3701" spans="1:6" x14ac:dyDescent="0.25">
      <c r="A3701" t="s">
        <v>6911</v>
      </c>
      <c r="B3701" t="s">
        <v>6912</v>
      </c>
      <c r="C3701" s="1">
        <v>44083</v>
      </c>
      <c r="D3701" t="b">
        <v>1</v>
      </c>
      <c r="E3701" t="s">
        <v>10</v>
      </c>
      <c r="F3701">
        <v>3095</v>
      </c>
    </row>
    <row r="3702" spans="1:6" x14ac:dyDescent="0.25">
      <c r="A3702" t="s">
        <v>6913</v>
      </c>
      <c r="B3702" t="s">
        <v>6914</v>
      </c>
      <c r="C3702" s="1">
        <v>44083</v>
      </c>
      <c r="D3702" t="b">
        <v>1</v>
      </c>
      <c r="E3702" t="s">
        <v>10</v>
      </c>
      <c r="F3702">
        <v>3096</v>
      </c>
    </row>
    <row r="3703" spans="1:6" x14ac:dyDescent="0.25">
      <c r="A3703" t="s">
        <v>6915</v>
      </c>
      <c r="B3703" t="s">
        <v>6916</v>
      </c>
      <c r="C3703" s="1">
        <v>44083</v>
      </c>
      <c r="D3703" t="b">
        <v>1</v>
      </c>
      <c r="E3703" t="s">
        <v>10</v>
      </c>
      <c r="F3703">
        <v>3097</v>
      </c>
    </row>
    <row r="3704" spans="1:6" x14ac:dyDescent="0.25">
      <c r="A3704" t="s">
        <v>6917</v>
      </c>
      <c r="B3704" t="s">
        <v>6918</v>
      </c>
      <c r="C3704" s="1">
        <v>44083</v>
      </c>
      <c r="D3704" t="b">
        <v>1</v>
      </c>
      <c r="E3704" t="s">
        <v>10</v>
      </c>
      <c r="F3704">
        <v>3098</v>
      </c>
    </row>
    <row r="3705" spans="1:6" x14ac:dyDescent="0.25">
      <c r="A3705" t="s">
        <v>6919</v>
      </c>
      <c r="B3705" t="s">
        <v>6920</v>
      </c>
      <c r="C3705" s="1">
        <v>44083</v>
      </c>
      <c r="D3705" t="b">
        <v>1</v>
      </c>
      <c r="E3705" t="s">
        <v>10</v>
      </c>
      <c r="F3705">
        <v>3100</v>
      </c>
    </row>
    <row r="3706" spans="1:6" x14ac:dyDescent="0.25">
      <c r="A3706" t="s">
        <v>6921</v>
      </c>
      <c r="B3706" t="s">
        <v>6922</v>
      </c>
      <c r="C3706" s="1">
        <v>44083</v>
      </c>
      <c r="D3706" t="b">
        <v>1</v>
      </c>
      <c r="E3706" t="s">
        <v>10</v>
      </c>
      <c r="F3706">
        <v>15508</v>
      </c>
    </row>
    <row r="3707" spans="1:6" x14ac:dyDescent="0.25">
      <c r="A3707" t="s">
        <v>6923</v>
      </c>
      <c r="B3707" t="s">
        <v>6924</v>
      </c>
      <c r="C3707" s="1">
        <v>44083</v>
      </c>
      <c r="D3707" t="b">
        <v>1</v>
      </c>
      <c r="E3707" t="s">
        <v>10</v>
      </c>
      <c r="F3707">
        <v>15342</v>
      </c>
    </row>
    <row r="3708" spans="1:6" x14ac:dyDescent="0.25">
      <c r="A3708" t="s">
        <v>6925</v>
      </c>
      <c r="B3708" t="s">
        <v>6926</v>
      </c>
      <c r="C3708" s="1">
        <v>44083</v>
      </c>
      <c r="D3708" t="b">
        <v>1</v>
      </c>
      <c r="E3708" t="s">
        <v>10</v>
      </c>
      <c r="F3708">
        <v>3103</v>
      </c>
    </row>
    <row r="3709" spans="1:6" x14ac:dyDescent="0.25">
      <c r="A3709" t="s">
        <v>6927</v>
      </c>
      <c r="B3709" t="s">
        <v>6928</v>
      </c>
      <c r="C3709" s="1">
        <v>44083</v>
      </c>
      <c r="D3709" t="b">
        <v>1</v>
      </c>
      <c r="E3709" t="s">
        <v>10</v>
      </c>
      <c r="F3709">
        <v>3104</v>
      </c>
    </row>
    <row r="3710" spans="1:6" x14ac:dyDescent="0.25">
      <c r="A3710" t="s">
        <v>6929</v>
      </c>
      <c r="B3710" t="s">
        <v>6930</v>
      </c>
      <c r="C3710" s="1">
        <v>44083</v>
      </c>
      <c r="D3710" t="b">
        <v>1</v>
      </c>
      <c r="E3710" t="s">
        <v>10</v>
      </c>
      <c r="F3710">
        <v>7828</v>
      </c>
    </row>
    <row r="3711" spans="1:6" x14ac:dyDescent="0.25">
      <c r="A3711" t="s">
        <v>6931</v>
      </c>
      <c r="B3711" t="s">
        <v>6932</v>
      </c>
      <c r="C3711" s="1">
        <v>44083</v>
      </c>
      <c r="D3711" t="b">
        <v>1</v>
      </c>
      <c r="E3711" t="s">
        <v>10</v>
      </c>
      <c r="F3711">
        <v>10244</v>
      </c>
    </row>
    <row r="3712" spans="1:6" x14ac:dyDescent="0.25">
      <c r="A3712" t="s">
        <v>6933</v>
      </c>
      <c r="B3712" t="s">
        <v>6934</v>
      </c>
      <c r="C3712" s="1">
        <v>44083</v>
      </c>
      <c r="D3712" t="b">
        <v>1</v>
      </c>
      <c r="E3712" t="s">
        <v>10</v>
      </c>
      <c r="F3712">
        <v>3109</v>
      </c>
    </row>
    <row r="3713" spans="1:6" x14ac:dyDescent="0.25">
      <c r="A3713" t="s">
        <v>6935</v>
      </c>
      <c r="B3713" t="s">
        <v>6936</v>
      </c>
      <c r="C3713" s="1">
        <v>44083</v>
      </c>
      <c r="D3713" t="b">
        <v>1</v>
      </c>
      <c r="E3713" t="s">
        <v>10</v>
      </c>
      <c r="F3713">
        <v>3115</v>
      </c>
    </row>
    <row r="3714" spans="1:6" x14ac:dyDescent="0.25">
      <c r="A3714" t="s">
        <v>6937</v>
      </c>
      <c r="C3714" s="1">
        <v>44083</v>
      </c>
      <c r="D3714" t="b">
        <v>1</v>
      </c>
      <c r="E3714" t="s">
        <v>10</v>
      </c>
      <c r="F3714">
        <v>11724</v>
      </c>
    </row>
    <row r="3715" spans="1:6" x14ac:dyDescent="0.25">
      <c r="A3715" t="s">
        <v>6938</v>
      </c>
      <c r="C3715" s="1">
        <v>44083</v>
      </c>
      <c r="D3715" t="b">
        <v>1</v>
      </c>
      <c r="E3715" t="s">
        <v>10</v>
      </c>
      <c r="F3715">
        <v>11192</v>
      </c>
    </row>
    <row r="3716" spans="1:6" x14ac:dyDescent="0.25">
      <c r="A3716" t="s">
        <v>6939</v>
      </c>
      <c r="B3716" t="s">
        <v>6940</v>
      </c>
      <c r="C3716" s="1">
        <v>44083</v>
      </c>
      <c r="D3716" t="b">
        <v>1</v>
      </c>
      <c r="E3716" t="s">
        <v>10</v>
      </c>
      <c r="F3716">
        <v>13453</v>
      </c>
    </row>
    <row r="3717" spans="1:6" x14ac:dyDescent="0.25">
      <c r="A3717" t="s">
        <v>6941</v>
      </c>
      <c r="B3717" t="s">
        <v>6942</v>
      </c>
      <c r="C3717" s="1">
        <v>44083</v>
      </c>
      <c r="D3717" t="b">
        <v>1</v>
      </c>
      <c r="E3717" t="s">
        <v>10</v>
      </c>
      <c r="F3717">
        <v>3118</v>
      </c>
    </row>
    <row r="3718" spans="1:6" x14ac:dyDescent="0.25">
      <c r="A3718" t="s">
        <v>6943</v>
      </c>
      <c r="B3718" t="s">
        <v>6944</v>
      </c>
      <c r="C3718" s="1">
        <v>44083</v>
      </c>
      <c r="D3718" t="b">
        <v>1</v>
      </c>
      <c r="E3718" t="s">
        <v>10</v>
      </c>
      <c r="F3718">
        <v>3120</v>
      </c>
    </row>
    <row r="3719" spans="1:6" x14ac:dyDescent="0.25">
      <c r="A3719" t="s">
        <v>6945</v>
      </c>
      <c r="B3719" t="s">
        <v>6946</v>
      </c>
      <c r="C3719" s="1">
        <v>44083</v>
      </c>
      <c r="D3719" t="b">
        <v>1</v>
      </c>
      <c r="E3719" t="s">
        <v>10</v>
      </c>
      <c r="F3719">
        <v>3121</v>
      </c>
    </row>
    <row r="3720" spans="1:6" x14ac:dyDescent="0.25">
      <c r="A3720" t="s">
        <v>6947</v>
      </c>
      <c r="B3720" t="s">
        <v>6948</v>
      </c>
      <c r="C3720" s="1">
        <v>44083</v>
      </c>
      <c r="D3720" t="b">
        <v>1</v>
      </c>
      <c r="E3720" t="s">
        <v>10</v>
      </c>
      <c r="F3720">
        <v>3123</v>
      </c>
    </row>
    <row r="3721" spans="1:6" x14ac:dyDescent="0.25">
      <c r="A3721" t="s">
        <v>6949</v>
      </c>
      <c r="B3721" t="s">
        <v>6950</v>
      </c>
      <c r="C3721" s="1">
        <v>44083</v>
      </c>
      <c r="D3721" t="b">
        <v>1</v>
      </c>
      <c r="E3721" t="s">
        <v>10</v>
      </c>
      <c r="F3721">
        <v>3124</v>
      </c>
    </row>
    <row r="3722" spans="1:6" x14ac:dyDescent="0.25">
      <c r="A3722" t="s">
        <v>6951</v>
      </c>
      <c r="B3722" t="s">
        <v>6952</v>
      </c>
      <c r="C3722" s="1">
        <v>44083</v>
      </c>
      <c r="D3722" t="b">
        <v>1</v>
      </c>
      <c r="E3722" t="s">
        <v>10</v>
      </c>
      <c r="F3722">
        <v>3125</v>
      </c>
    </row>
    <row r="3723" spans="1:6" x14ac:dyDescent="0.25">
      <c r="A3723" t="s">
        <v>6953</v>
      </c>
      <c r="B3723" t="s">
        <v>6954</v>
      </c>
      <c r="C3723" s="1">
        <v>44083</v>
      </c>
      <c r="D3723" t="b">
        <v>1</v>
      </c>
      <c r="E3723" t="s">
        <v>10</v>
      </c>
      <c r="F3723">
        <v>8152</v>
      </c>
    </row>
    <row r="3724" spans="1:6" x14ac:dyDescent="0.25">
      <c r="A3724" t="s">
        <v>6955</v>
      </c>
      <c r="B3724" t="s">
        <v>6956</v>
      </c>
      <c r="C3724" s="1">
        <v>44083</v>
      </c>
      <c r="D3724" t="b">
        <v>1</v>
      </c>
      <c r="E3724" t="s">
        <v>10</v>
      </c>
      <c r="F3724">
        <v>16074</v>
      </c>
    </row>
    <row r="3725" spans="1:6" x14ac:dyDescent="0.25">
      <c r="A3725" t="s">
        <v>6957</v>
      </c>
      <c r="B3725" t="s">
        <v>6958</v>
      </c>
      <c r="C3725" s="1">
        <v>44083</v>
      </c>
      <c r="D3725" t="b">
        <v>1</v>
      </c>
      <c r="E3725" t="s">
        <v>10</v>
      </c>
      <c r="F3725">
        <v>3128</v>
      </c>
    </row>
    <row r="3726" spans="1:6" x14ac:dyDescent="0.25">
      <c r="A3726" t="s">
        <v>6959</v>
      </c>
      <c r="B3726" t="s">
        <v>6960</v>
      </c>
      <c r="C3726" s="1">
        <v>44083</v>
      </c>
      <c r="D3726" t="b">
        <v>1</v>
      </c>
      <c r="E3726" t="s">
        <v>10</v>
      </c>
      <c r="F3726">
        <v>15445</v>
      </c>
    </row>
    <row r="3727" spans="1:6" x14ac:dyDescent="0.25">
      <c r="A3727" t="s">
        <v>6961</v>
      </c>
      <c r="B3727" t="s">
        <v>6962</v>
      </c>
      <c r="C3727" s="1">
        <v>44083</v>
      </c>
      <c r="D3727" t="b">
        <v>1</v>
      </c>
      <c r="E3727" t="s">
        <v>10</v>
      </c>
      <c r="F3727">
        <v>15446</v>
      </c>
    </row>
    <row r="3728" spans="1:6" x14ac:dyDescent="0.25">
      <c r="A3728" t="s">
        <v>6963</v>
      </c>
      <c r="C3728" s="1">
        <v>44083</v>
      </c>
      <c r="D3728" t="b">
        <v>1</v>
      </c>
      <c r="E3728" t="s">
        <v>10</v>
      </c>
      <c r="F3728">
        <v>15643</v>
      </c>
    </row>
    <row r="3729" spans="1:6" x14ac:dyDescent="0.25">
      <c r="A3729" t="s">
        <v>6964</v>
      </c>
      <c r="B3729" t="s">
        <v>6965</v>
      </c>
      <c r="C3729" s="1">
        <v>44083</v>
      </c>
      <c r="D3729" t="b">
        <v>1</v>
      </c>
      <c r="E3729" t="s">
        <v>10</v>
      </c>
      <c r="F3729">
        <v>3129</v>
      </c>
    </row>
    <row r="3730" spans="1:6" x14ac:dyDescent="0.25">
      <c r="A3730" t="s">
        <v>6966</v>
      </c>
      <c r="C3730" s="1">
        <v>44083</v>
      </c>
      <c r="D3730" t="b">
        <v>1</v>
      </c>
      <c r="E3730" t="s">
        <v>10</v>
      </c>
      <c r="F3730">
        <v>13330</v>
      </c>
    </row>
    <row r="3731" spans="1:6" x14ac:dyDescent="0.25">
      <c r="A3731" t="s">
        <v>6967</v>
      </c>
      <c r="B3731" t="s">
        <v>6968</v>
      </c>
      <c r="C3731" s="1">
        <v>44083</v>
      </c>
      <c r="D3731" t="b">
        <v>1</v>
      </c>
      <c r="E3731" t="s">
        <v>10</v>
      </c>
      <c r="F3731">
        <v>15928</v>
      </c>
    </row>
    <row r="3732" spans="1:6" x14ac:dyDescent="0.25">
      <c r="A3732" t="s">
        <v>6969</v>
      </c>
      <c r="B3732" t="s">
        <v>6970</v>
      </c>
      <c r="C3732" s="1">
        <v>44083</v>
      </c>
      <c r="D3732" t="b">
        <v>1</v>
      </c>
      <c r="E3732" t="s">
        <v>10</v>
      </c>
      <c r="F3732">
        <v>12757</v>
      </c>
    </row>
    <row r="3733" spans="1:6" x14ac:dyDescent="0.25">
      <c r="A3733" t="s">
        <v>6971</v>
      </c>
      <c r="B3733" t="s">
        <v>6972</v>
      </c>
      <c r="C3733" s="1">
        <v>44083</v>
      </c>
      <c r="D3733" t="b">
        <v>1</v>
      </c>
      <c r="E3733" t="s">
        <v>10</v>
      </c>
      <c r="F3733">
        <v>14833</v>
      </c>
    </row>
    <row r="3734" spans="1:6" x14ac:dyDescent="0.25">
      <c r="A3734" t="s">
        <v>6973</v>
      </c>
      <c r="B3734" t="s">
        <v>6974</v>
      </c>
      <c r="C3734" s="1">
        <v>44083</v>
      </c>
      <c r="D3734" t="b">
        <v>1</v>
      </c>
      <c r="E3734" t="s">
        <v>10</v>
      </c>
      <c r="F3734">
        <v>14834</v>
      </c>
    </row>
    <row r="3735" spans="1:6" x14ac:dyDescent="0.25">
      <c r="A3735" t="s">
        <v>6975</v>
      </c>
      <c r="B3735" t="s">
        <v>6972</v>
      </c>
      <c r="C3735" s="1">
        <v>44083</v>
      </c>
      <c r="D3735" t="b">
        <v>1</v>
      </c>
      <c r="E3735" t="s">
        <v>10</v>
      </c>
      <c r="F3735">
        <v>14720</v>
      </c>
    </row>
    <row r="3736" spans="1:6" x14ac:dyDescent="0.25">
      <c r="A3736" t="s">
        <v>6976</v>
      </c>
      <c r="C3736" s="1">
        <v>44083</v>
      </c>
      <c r="D3736" t="b">
        <v>1</v>
      </c>
      <c r="E3736" t="s">
        <v>10</v>
      </c>
      <c r="F3736">
        <v>14842</v>
      </c>
    </row>
    <row r="3737" spans="1:6" x14ac:dyDescent="0.25">
      <c r="A3737" t="s">
        <v>6977</v>
      </c>
      <c r="B3737" t="s">
        <v>6978</v>
      </c>
      <c r="C3737" s="1">
        <v>44083</v>
      </c>
      <c r="D3737" t="b">
        <v>1</v>
      </c>
      <c r="E3737" t="s">
        <v>10</v>
      </c>
      <c r="F3737">
        <v>3132</v>
      </c>
    </row>
    <row r="3738" spans="1:6" x14ac:dyDescent="0.25">
      <c r="A3738" t="s">
        <v>6979</v>
      </c>
      <c r="B3738" t="s">
        <v>6980</v>
      </c>
      <c r="C3738" s="1">
        <v>44083</v>
      </c>
      <c r="D3738" t="b">
        <v>1</v>
      </c>
      <c r="E3738" t="s">
        <v>10</v>
      </c>
      <c r="F3738">
        <v>16486</v>
      </c>
    </row>
    <row r="3739" spans="1:6" x14ac:dyDescent="0.25">
      <c r="A3739" t="s">
        <v>6981</v>
      </c>
      <c r="B3739" t="s">
        <v>6982</v>
      </c>
      <c r="C3739" s="1">
        <v>44083</v>
      </c>
      <c r="D3739" t="b">
        <v>1</v>
      </c>
      <c r="E3739" t="s">
        <v>10</v>
      </c>
      <c r="F3739">
        <v>16330</v>
      </c>
    </row>
    <row r="3740" spans="1:6" x14ac:dyDescent="0.25">
      <c r="A3740" t="s">
        <v>6983</v>
      </c>
      <c r="C3740" s="1">
        <v>44083</v>
      </c>
      <c r="D3740" t="b">
        <v>1</v>
      </c>
      <c r="E3740" t="s">
        <v>10</v>
      </c>
      <c r="F3740">
        <v>16488</v>
      </c>
    </row>
    <row r="3741" spans="1:6" x14ac:dyDescent="0.25">
      <c r="A3741" t="s">
        <v>6984</v>
      </c>
      <c r="B3741" t="s">
        <v>6985</v>
      </c>
      <c r="C3741" s="1">
        <v>44083</v>
      </c>
      <c r="D3741" t="b">
        <v>1</v>
      </c>
      <c r="E3741" t="s">
        <v>10</v>
      </c>
      <c r="F3741">
        <v>16648</v>
      </c>
    </row>
    <row r="3742" spans="1:6" x14ac:dyDescent="0.25">
      <c r="A3742" t="s">
        <v>6986</v>
      </c>
      <c r="B3742" t="s">
        <v>6987</v>
      </c>
      <c r="C3742" s="1">
        <v>44083</v>
      </c>
      <c r="D3742" t="b">
        <v>1</v>
      </c>
      <c r="E3742" t="s">
        <v>10</v>
      </c>
      <c r="F3742">
        <v>5076</v>
      </c>
    </row>
    <row r="3743" spans="1:6" x14ac:dyDescent="0.25">
      <c r="A3743" t="s">
        <v>6988</v>
      </c>
      <c r="B3743" t="s">
        <v>6989</v>
      </c>
      <c r="C3743" s="1">
        <v>44083</v>
      </c>
      <c r="D3743" t="b">
        <v>1</v>
      </c>
      <c r="E3743" t="s">
        <v>10</v>
      </c>
      <c r="F3743">
        <v>5644</v>
      </c>
    </row>
    <row r="3744" spans="1:6" x14ac:dyDescent="0.25">
      <c r="A3744" t="s">
        <v>6990</v>
      </c>
      <c r="B3744" t="s">
        <v>6991</v>
      </c>
      <c r="C3744" s="1">
        <v>44083</v>
      </c>
      <c r="D3744" t="b">
        <v>1</v>
      </c>
      <c r="E3744" t="s">
        <v>10</v>
      </c>
      <c r="F3744">
        <v>3133</v>
      </c>
    </row>
    <row r="3745" spans="1:6" x14ac:dyDescent="0.25">
      <c r="A3745" t="s">
        <v>6992</v>
      </c>
      <c r="B3745" t="s">
        <v>6993</v>
      </c>
      <c r="C3745" s="1">
        <v>44083</v>
      </c>
      <c r="D3745" t="b">
        <v>1</v>
      </c>
      <c r="E3745" t="s">
        <v>10</v>
      </c>
      <c r="F3745">
        <v>3136</v>
      </c>
    </row>
    <row r="3746" spans="1:6" x14ac:dyDescent="0.25">
      <c r="A3746" t="s">
        <v>6994</v>
      </c>
      <c r="B3746" t="s">
        <v>6995</v>
      </c>
      <c r="C3746" s="1">
        <v>44083</v>
      </c>
      <c r="D3746" t="b">
        <v>1</v>
      </c>
      <c r="E3746" t="s">
        <v>10</v>
      </c>
      <c r="F3746">
        <v>11158</v>
      </c>
    </row>
    <row r="3747" spans="1:6" x14ac:dyDescent="0.25">
      <c r="A3747" t="s">
        <v>6996</v>
      </c>
      <c r="B3747" t="s">
        <v>6997</v>
      </c>
      <c r="C3747" s="1">
        <v>44083</v>
      </c>
      <c r="D3747" t="b">
        <v>1</v>
      </c>
      <c r="E3747" t="s">
        <v>10</v>
      </c>
      <c r="F3747">
        <v>16537</v>
      </c>
    </row>
    <row r="3748" spans="1:6" x14ac:dyDescent="0.25">
      <c r="A3748" t="s">
        <v>6998</v>
      </c>
      <c r="B3748" t="s">
        <v>6999</v>
      </c>
      <c r="C3748" s="1">
        <v>44083</v>
      </c>
      <c r="D3748" t="b">
        <v>1</v>
      </c>
      <c r="E3748" t="s">
        <v>10</v>
      </c>
      <c r="F3748">
        <v>3143</v>
      </c>
    </row>
    <row r="3749" spans="1:6" x14ac:dyDescent="0.25">
      <c r="A3749" t="s">
        <v>7000</v>
      </c>
      <c r="C3749" s="1">
        <v>44083</v>
      </c>
      <c r="D3749" t="b">
        <v>1</v>
      </c>
      <c r="E3749" t="s">
        <v>10</v>
      </c>
      <c r="F3749">
        <v>15084</v>
      </c>
    </row>
    <row r="3750" spans="1:6" x14ac:dyDescent="0.25">
      <c r="A3750" t="s">
        <v>7001</v>
      </c>
      <c r="C3750" s="1">
        <v>44083</v>
      </c>
      <c r="D3750" t="b">
        <v>1</v>
      </c>
      <c r="E3750" t="s">
        <v>10</v>
      </c>
      <c r="F3750">
        <v>14518</v>
      </c>
    </row>
    <row r="3751" spans="1:6" x14ac:dyDescent="0.25">
      <c r="A3751" t="s">
        <v>7002</v>
      </c>
      <c r="B3751" t="s">
        <v>7003</v>
      </c>
      <c r="C3751" s="1">
        <v>44083</v>
      </c>
      <c r="D3751" t="b">
        <v>1</v>
      </c>
      <c r="E3751" t="s">
        <v>10</v>
      </c>
      <c r="F3751">
        <v>3144</v>
      </c>
    </row>
    <row r="3752" spans="1:6" x14ac:dyDescent="0.25">
      <c r="A3752" t="s">
        <v>7004</v>
      </c>
      <c r="B3752" t="s">
        <v>3663</v>
      </c>
      <c r="C3752" s="1">
        <v>44083</v>
      </c>
      <c r="D3752" t="b">
        <v>1</v>
      </c>
      <c r="E3752" t="s">
        <v>10</v>
      </c>
      <c r="F3752">
        <v>10387</v>
      </c>
    </row>
    <row r="3753" spans="1:6" x14ac:dyDescent="0.25">
      <c r="A3753" t="s">
        <v>7005</v>
      </c>
      <c r="B3753" t="s">
        <v>7006</v>
      </c>
      <c r="C3753" s="1">
        <v>44083</v>
      </c>
      <c r="D3753" t="b">
        <v>1</v>
      </c>
      <c r="E3753" t="s">
        <v>10</v>
      </c>
      <c r="F3753">
        <v>3145</v>
      </c>
    </row>
    <row r="3754" spans="1:6" x14ac:dyDescent="0.25">
      <c r="A3754" t="s">
        <v>7007</v>
      </c>
      <c r="B3754" t="s">
        <v>7008</v>
      </c>
      <c r="C3754" s="1">
        <v>44083</v>
      </c>
      <c r="D3754" t="b">
        <v>1</v>
      </c>
      <c r="E3754" t="s">
        <v>10</v>
      </c>
      <c r="F3754">
        <v>10389</v>
      </c>
    </row>
    <row r="3755" spans="1:6" x14ac:dyDescent="0.25">
      <c r="A3755" t="s">
        <v>7009</v>
      </c>
      <c r="B3755" t="s">
        <v>7010</v>
      </c>
      <c r="C3755" s="1">
        <v>44083</v>
      </c>
      <c r="D3755" t="b">
        <v>1</v>
      </c>
      <c r="E3755" t="s">
        <v>10</v>
      </c>
      <c r="F3755">
        <v>3146</v>
      </c>
    </row>
    <row r="3756" spans="1:6" x14ac:dyDescent="0.25">
      <c r="A3756" t="s">
        <v>7011</v>
      </c>
      <c r="B3756" t="s">
        <v>7012</v>
      </c>
      <c r="C3756" s="1">
        <v>44083</v>
      </c>
      <c r="D3756" t="b">
        <v>1</v>
      </c>
      <c r="E3756" t="s">
        <v>10</v>
      </c>
      <c r="F3756">
        <v>3147</v>
      </c>
    </row>
    <row r="3757" spans="1:6" x14ac:dyDescent="0.25">
      <c r="A3757" t="s">
        <v>7013</v>
      </c>
      <c r="B3757" t="s">
        <v>7014</v>
      </c>
      <c r="C3757" s="1">
        <v>44083</v>
      </c>
      <c r="D3757" t="b">
        <v>1</v>
      </c>
      <c r="E3757" t="s">
        <v>10</v>
      </c>
      <c r="F3757">
        <v>16554</v>
      </c>
    </row>
    <row r="3758" spans="1:6" x14ac:dyDescent="0.25">
      <c r="A3758" t="s">
        <v>7015</v>
      </c>
      <c r="B3758" t="s">
        <v>7016</v>
      </c>
      <c r="C3758" s="1">
        <v>44083</v>
      </c>
      <c r="D3758" t="b">
        <v>1</v>
      </c>
      <c r="E3758" t="s">
        <v>10</v>
      </c>
      <c r="F3758">
        <v>16224</v>
      </c>
    </row>
    <row r="3759" spans="1:6" x14ac:dyDescent="0.25">
      <c r="A3759" t="s">
        <v>7017</v>
      </c>
      <c r="B3759" t="s">
        <v>7018</v>
      </c>
      <c r="C3759" s="1">
        <v>44083</v>
      </c>
      <c r="D3759" t="b">
        <v>1</v>
      </c>
      <c r="E3759" t="s">
        <v>10</v>
      </c>
      <c r="F3759">
        <v>11755</v>
      </c>
    </row>
    <row r="3760" spans="1:6" x14ac:dyDescent="0.25">
      <c r="A3760" t="s">
        <v>7019</v>
      </c>
      <c r="B3760" t="s">
        <v>7020</v>
      </c>
      <c r="C3760" s="1">
        <v>44083</v>
      </c>
      <c r="D3760" t="b">
        <v>1</v>
      </c>
      <c r="E3760" t="s">
        <v>10</v>
      </c>
      <c r="F3760">
        <v>3150</v>
      </c>
    </row>
    <row r="3761" spans="1:6" x14ac:dyDescent="0.25">
      <c r="A3761" t="s">
        <v>7021</v>
      </c>
      <c r="B3761" t="s">
        <v>7022</v>
      </c>
      <c r="C3761" s="1">
        <v>44083</v>
      </c>
      <c r="D3761" t="b">
        <v>1</v>
      </c>
      <c r="E3761" t="s">
        <v>10</v>
      </c>
      <c r="F3761">
        <v>3151</v>
      </c>
    </row>
    <row r="3762" spans="1:6" x14ac:dyDescent="0.25">
      <c r="A3762" t="s">
        <v>7023</v>
      </c>
      <c r="B3762" t="s">
        <v>7024</v>
      </c>
      <c r="C3762" s="1">
        <v>44083</v>
      </c>
      <c r="D3762" t="b">
        <v>1</v>
      </c>
      <c r="E3762" t="s">
        <v>10</v>
      </c>
      <c r="F3762">
        <v>3152</v>
      </c>
    </row>
    <row r="3763" spans="1:6" x14ac:dyDescent="0.25">
      <c r="A3763" t="s">
        <v>7025</v>
      </c>
      <c r="B3763" t="s">
        <v>7026</v>
      </c>
      <c r="C3763" s="1">
        <v>44083</v>
      </c>
      <c r="D3763" t="b">
        <v>1</v>
      </c>
      <c r="E3763" t="s">
        <v>10</v>
      </c>
      <c r="F3763">
        <v>3154</v>
      </c>
    </row>
    <row r="3764" spans="1:6" x14ac:dyDescent="0.25">
      <c r="A3764" t="s">
        <v>7027</v>
      </c>
      <c r="B3764" t="s">
        <v>7028</v>
      </c>
      <c r="C3764" s="1">
        <v>44083</v>
      </c>
      <c r="D3764" t="b">
        <v>1</v>
      </c>
      <c r="E3764" t="s">
        <v>10</v>
      </c>
      <c r="F3764">
        <v>5244</v>
      </c>
    </row>
    <row r="3765" spans="1:6" x14ac:dyDescent="0.25">
      <c r="A3765" t="s">
        <v>7029</v>
      </c>
      <c r="B3765" t="s">
        <v>7030</v>
      </c>
      <c r="C3765" s="1">
        <v>44083</v>
      </c>
      <c r="D3765" t="b">
        <v>1</v>
      </c>
      <c r="E3765" t="s">
        <v>10</v>
      </c>
      <c r="F3765">
        <v>10931</v>
      </c>
    </row>
    <row r="3766" spans="1:6" x14ac:dyDescent="0.25">
      <c r="A3766" t="s">
        <v>7031</v>
      </c>
      <c r="B3766" t="s">
        <v>7032</v>
      </c>
      <c r="C3766" s="1">
        <v>44083</v>
      </c>
      <c r="D3766" t="b">
        <v>1</v>
      </c>
      <c r="E3766" t="s">
        <v>10</v>
      </c>
      <c r="F3766">
        <v>17028</v>
      </c>
    </row>
    <row r="3767" spans="1:6" x14ac:dyDescent="0.25">
      <c r="A3767" t="s">
        <v>7033</v>
      </c>
      <c r="B3767" t="s">
        <v>7034</v>
      </c>
      <c r="C3767" s="1">
        <v>44083</v>
      </c>
      <c r="D3767" t="b">
        <v>1</v>
      </c>
      <c r="E3767" t="s">
        <v>10</v>
      </c>
      <c r="F3767">
        <v>16750</v>
      </c>
    </row>
    <row r="3768" spans="1:6" x14ac:dyDescent="0.25">
      <c r="A3768" t="s">
        <v>7035</v>
      </c>
      <c r="C3768" s="1">
        <v>44083</v>
      </c>
      <c r="D3768" t="b">
        <v>1</v>
      </c>
      <c r="E3768" t="s">
        <v>10</v>
      </c>
      <c r="F3768">
        <v>17031</v>
      </c>
    </row>
    <row r="3769" spans="1:6" x14ac:dyDescent="0.25">
      <c r="A3769" t="s">
        <v>7036</v>
      </c>
      <c r="B3769" t="s">
        <v>7037</v>
      </c>
      <c r="C3769" s="1">
        <v>44083</v>
      </c>
      <c r="D3769" t="b">
        <v>1</v>
      </c>
      <c r="E3769" t="s">
        <v>10</v>
      </c>
      <c r="F3769">
        <v>3158</v>
      </c>
    </row>
    <row r="3770" spans="1:6" x14ac:dyDescent="0.25">
      <c r="A3770" t="s">
        <v>7038</v>
      </c>
      <c r="B3770" t="s">
        <v>7039</v>
      </c>
      <c r="C3770" s="1">
        <v>44083</v>
      </c>
      <c r="D3770" t="b">
        <v>1</v>
      </c>
      <c r="E3770" t="s">
        <v>10</v>
      </c>
      <c r="F3770">
        <v>9304</v>
      </c>
    </row>
    <row r="3771" spans="1:6" x14ac:dyDescent="0.25">
      <c r="A3771" t="s">
        <v>7040</v>
      </c>
      <c r="B3771" t="s">
        <v>7041</v>
      </c>
      <c r="C3771" s="1">
        <v>44083</v>
      </c>
      <c r="D3771" t="b">
        <v>1</v>
      </c>
      <c r="E3771" t="s">
        <v>10</v>
      </c>
      <c r="F3771">
        <v>3159</v>
      </c>
    </row>
    <row r="3772" spans="1:6" x14ac:dyDescent="0.25">
      <c r="A3772" t="s">
        <v>7042</v>
      </c>
      <c r="B3772" t="s">
        <v>7043</v>
      </c>
      <c r="C3772" s="1">
        <v>44083</v>
      </c>
      <c r="D3772" t="b">
        <v>1</v>
      </c>
      <c r="E3772" t="s">
        <v>10</v>
      </c>
      <c r="F3772">
        <v>8288</v>
      </c>
    </row>
    <row r="3773" spans="1:6" x14ac:dyDescent="0.25">
      <c r="A3773" t="s">
        <v>7044</v>
      </c>
      <c r="B3773" t="s">
        <v>7045</v>
      </c>
      <c r="C3773" s="1">
        <v>44083</v>
      </c>
      <c r="D3773" t="b">
        <v>1</v>
      </c>
      <c r="E3773" t="s">
        <v>10</v>
      </c>
      <c r="F3773">
        <v>3160</v>
      </c>
    </row>
    <row r="3774" spans="1:6" x14ac:dyDescent="0.25">
      <c r="A3774" t="s">
        <v>7046</v>
      </c>
      <c r="B3774" t="s">
        <v>7047</v>
      </c>
      <c r="C3774" s="1">
        <v>44083</v>
      </c>
      <c r="D3774" t="b">
        <v>1</v>
      </c>
      <c r="E3774" t="s">
        <v>10</v>
      </c>
      <c r="F3774">
        <v>3161</v>
      </c>
    </row>
    <row r="3775" spans="1:6" x14ac:dyDescent="0.25">
      <c r="A3775" t="s">
        <v>7048</v>
      </c>
      <c r="B3775" t="s">
        <v>7049</v>
      </c>
      <c r="C3775" s="1">
        <v>44083</v>
      </c>
      <c r="D3775" t="b">
        <v>1</v>
      </c>
      <c r="E3775" t="s">
        <v>10</v>
      </c>
      <c r="F3775">
        <v>3162</v>
      </c>
    </row>
    <row r="3776" spans="1:6" x14ac:dyDescent="0.25">
      <c r="A3776" t="s">
        <v>7050</v>
      </c>
      <c r="B3776" t="s">
        <v>7051</v>
      </c>
      <c r="C3776" s="1">
        <v>44083</v>
      </c>
      <c r="D3776" t="b">
        <v>1</v>
      </c>
      <c r="E3776" t="s">
        <v>10</v>
      </c>
      <c r="F3776">
        <v>16555</v>
      </c>
    </row>
    <row r="3777" spans="1:6" x14ac:dyDescent="0.25">
      <c r="A3777" t="s">
        <v>7052</v>
      </c>
      <c r="B3777" t="s">
        <v>7053</v>
      </c>
      <c r="C3777" s="1">
        <v>44083</v>
      </c>
      <c r="D3777" t="b">
        <v>1</v>
      </c>
      <c r="E3777" t="s">
        <v>10</v>
      </c>
      <c r="F3777">
        <v>3164</v>
      </c>
    </row>
    <row r="3778" spans="1:6" x14ac:dyDescent="0.25">
      <c r="A3778" t="s">
        <v>7054</v>
      </c>
      <c r="B3778" t="s">
        <v>7055</v>
      </c>
      <c r="C3778" s="1">
        <v>44083</v>
      </c>
      <c r="D3778" t="b">
        <v>1</v>
      </c>
      <c r="E3778" t="s">
        <v>10</v>
      </c>
      <c r="F3778">
        <v>9779</v>
      </c>
    </row>
    <row r="3779" spans="1:6" x14ac:dyDescent="0.25">
      <c r="A3779" t="s">
        <v>7056</v>
      </c>
      <c r="B3779" t="s">
        <v>7057</v>
      </c>
      <c r="C3779" s="1">
        <v>44083</v>
      </c>
      <c r="D3779" t="b">
        <v>1</v>
      </c>
      <c r="E3779" t="s">
        <v>10</v>
      </c>
      <c r="F3779">
        <v>3165</v>
      </c>
    </row>
    <row r="3780" spans="1:6" x14ac:dyDescent="0.25">
      <c r="A3780" t="s">
        <v>7058</v>
      </c>
      <c r="B3780" t="s">
        <v>7059</v>
      </c>
      <c r="C3780" s="1">
        <v>44083</v>
      </c>
      <c r="D3780" t="b">
        <v>1</v>
      </c>
      <c r="E3780" t="s">
        <v>10</v>
      </c>
      <c r="F3780">
        <v>15696</v>
      </c>
    </row>
    <row r="3781" spans="1:6" x14ac:dyDescent="0.25">
      <c r="A3781" t="s">
        <v>7060</v>
      </c>
      <c r="B3781" t="s">
        <v>7061</v>
      </c>
      <c r="C3781" s="1">
        <v>44083</v>
      </c>
      <c r="D3781" t="b">
        <v>1</v>
      </c>
      <c r="E3781" t="s">
        <v>10</v>
      </c>
      <c r="F3781">
        <v>16234</v>
      </c>
    </row>
    <row r="3782" spans="1:6" x14ac:dyDescent="0.25">
      <c r="A3782" t="s">
        <v>7062</v>
      </c>
      <c r="B3782" t="s">
        <v>7063</v>
      </c>
      <c r="C3782" s="1">
        <v>44083</v>
      </c>
      <c r="D3782" t="b">
        <v>1</v>
      </c>
      <c r="E3782" t="s">
        <v>10</v>
      </c>
      <c r="F3782">
        <v>3167</v>
      </c>
    </row>
    <row r="3783" spans="1:6" x14ac:dyDescent="0.25">
      <c r="A3783" t="s">
        <v>7064</v>
      </c>
      <c r="B3783" t="s">
        <v>7065</v>
      </c>
      <c r="C3783" s="1">
        <v>44083</v>
      </c>
      <c r="D3783" t="b">
        <v>1</v>
      </c>
      <c r="E3783" t="s">
        <v>10</v>
      </c>
      <c r="F3783">
        <v>16390</v>
      </c>
    </row>
    <row r="3784" spans="1:6" x14ac:dyDescent="0.25">
      <c r="A3784" t="s">
        <v>7066</v>
      </c>
      <c r="B3784" t="s">
        <v>7067</v>
      </c>
      <c r="C3784" s="1">
        <v>44083</v>
      </c>
      <c r="D3784" t="b">
        <v>1</v>
      </c>
      <c r="E3784" t="s">
        <v>10</v>
      </c>
      <c r="F3784">
        <v>10245</v>
      </c>
    </row>
    <row r="3785" spans="1:6" x14ac:dyDescent="0.25">
      <c r="A3785" t="s">
        <v>7068</v>
      </c>
      <c r="B3785" t="s">
        <v>7069</v>
      </c>
      <c r="C3785" s="1">
        <v>44083</v>
      </c>
      <c r="D3785" t="b">
        <v>1</v>
      </c>
      <c r="E3785" t="s">
        <v>10</v>
      </c>
      <c r="F3785">
        <v>8293</v>
      </c>
    </row>
    <row r="3786" spans="1:6" x14ac:dyDescent="0.25">
      <c r="A3786" t="s">
        <v>7070</v>
      </c>
      <c r="B3786" t="s">
        <v>7071</v>
      </c>
      <c r="C3786" s="1">
        <v>44083</v>
      </c>
      <c r="D3786" t="b">
        <v>1</v>
      </c>
      <c r="E3786" t="s">
        <v>10</v>
      </c>
      <c r="F3786">
        <v>8271</v>
      </c>
    </row>
    <row r="3787" spans="1:6" x14ac:dyDescent="0.25">
      <c r="A3787" t="s">
        <v>7072</v>
      </c>
      <c r="B3787" t="s">
        <v>7073</v>
      </c>
      <c r="C3787" s="1">
        <v>44083</v>
      </c>
      <c r="D3787" t="b">
        <v>1</v>
      </c>
      <c r="E3787" t="s">
        <v>10</v>
      </c>
      <c r="F3787">
        <v>10249</v>
      </c>
    </row>
    <row r="3788" spans="1:6" x14ac:dyDescent="0.25">
      <c r="A3788" t="s">
        <v>7074</v>
      </c>
      <c r="B3788" t="s">
        <v>7075</v>
      </c>
      <c r="C3788" s="1">
        <v>44083</v>
      </c>
      <c r="D3788" t="b">
        <v>1</v>
      </c>
      <c r="E3788" t="s">
        <v>10</v>
      </c>
      <c r="F3788">
        <v>10250</v>
      </c>
    </row>
    <row r="3789" spans="1:6" x14ac:dyDescent="0.25">
      <c r="A3789" t="s">
        <v>7076</v>
      </c>
      <c r="B3789" t="s">
        <v>7077</v>
      </c>
      <c r="C3789" s="1">
        <v>44083</v>
      </c>
      <c r="D3789" t="b">
        <v>1</v>
      </c>
      <c r="E3789" t="s">
        <v>10</v>
      </c>
      <c r="F3789">
        <v>15405</v>
      </c>
    </row>
    <row r="3790" spans="1:6" x14ac:dyDescent="0.25">
      <c r="A3790" t="s">
        <v>7078</v>
      </c>
      <c r="B3790" t="s">
        <v>7079</v>
      </c>
      <c r="C3790" s="1">
        <v>44083</v>
      </c>
      <c r="D3790" t="b">
        <v>1</v>
      </c>
      <c r="E3790" t="s">
        <v>10</v>
      </c>
      <c r="F3790">
        <v>8940</v>
      </c>
    </row>
    <row r="3791" spans="1:6" x14ac:dyDescent="0.25">
      <c r="A3791" t="s">
        <v>7080</v>
      </c>
      <c r="B3791" t="s">
        <v>7081</v>
      </c>
      <c r="C3791" s="1">
        <v>44083</v>
      </c>
      <c r="D3791" t="b">
        <v>1</v>
      </c>
      <c r="E3791" t="s">
        <v>10</v>
      </c>
      <c r="F3791">
        <v>3171</v>
      </c>
    </row>
    <row r="3792" spans="1:6" x14ac:dyDescent="0.25">
      <c r="A3792" t="s">
        <v>7082</v>
      </c>
      <c r="B3792" t="s">
        <v>7083</v>
      </c>
      <c r="C3792" s="1">
        <v>44083</v>
      </c>
      <c r="D3792" t="b">
        <v>1</v>
      </c>
      <c r="E3792" t="s">
        <v>10</v>
      </c>
      <c r="F3792">
        <v>3172</v>
      </c>
    </row>
    <row r="3793" spans="1:6" x14ac:dyDescent="0.25">
      <c r="A3793" t="s">
        <v>7084</v>
      </c>
      <c r="B3793" t="s">
        <v>7085</v>
      </c>
      <c r="C3793" s="1">
        <v>44083</v>
      </c>
      <c r="D3793" t="b">
        <v>1</v>
      </c>
      <c r="E3793" t="s">
        <v>10</v>
      </c>
      <c r="F3793">
        <v>13353</v>
      </c>
    </row>
    <row r="3794" spans="1:6" x14ac:dyDescent="0.25">
      <c r="A3794" t="s">
        <v>7086</v>
      </c>
      <c r="B3794" t="s">
        <v>7087</v>
      </c>
      <c r="C3794" s="1">
        <v>44083</v>
      </c>
      <c r="D3794" t="b">
        <v>1</v>
      </c>
      <c r="E3794" t="s">
        <v>10</v>
      </c>
      <c r="F3794">
        <v>13727</v>
      </c>
    </row>
    <row r="3795" spans="1:6" x14ac:dyDescent="0.25">
      <c r="A3795" t="s">
        <v>7088</v>
      </c>
      <c r="C3795" s="1">
        <v>44083</v>
      </c>
      <c r="D3795" t="b">
        <v>1</v>
      </c>
      <c r="E3795" t="s">
        <v>10</v>
      </c>
      <c r="F3795">
        <v>15993</v>
      </c>
    </row>
    <row r="3796" spans="1:6" x14ac:dyDescent="0.25">
      <c r="A3796" t="s">
        <v>7089</v>
      </c>
      <c r="B3796" t="s">
        <v>7090</v>
      </c>
      <c r="C3796" s="1">
        <v>44083</v>
      </c>
      <c r="D3796" t="b">
        <v>1</v>
      </c>
      <c r="E3796" t="s">
        <v>10</v>
      </c>
      <c r="F3796">
        <v>3174</v>
      </c>
    </row>
    <row r="3797" spans="1:6" x14ac:dyDescent="0.25">
      <c r="A3797" t="s">
        <v>7091</v>
      </c>
      <c r="B3797" t="s">
        <v>7092</v>
      </c>
      <c r="C3797" s="1">
        <v>44083</v>
      </c>
      <c r="D3797" t="b">
        <v>1</v>
      </c>
      <c r="E3797" t="s">
        <v>10</v>
      </c>
      <c r="F3797">
        <v>10319</v>
      </c>
    </row>
    <row r="3798" spans="1:6" x14ac:dyDescent="0.25">
      <c r="A3798" t="s">
        <v>7093</v>
      </c>
      <c r="B3798" t="s">
        <v>7094</v>
      </c>
      <c r="C3798" s="1">
        <v>44083</v>
      </c>
      <c r="D3798" t="b">
        <v>1</v>
      </c>
      <c r="E3798" t="s">
        <v>10</v>
      </c>
      <c r="F3798">
        <v>17163</v>
      </c>
    </row>
    <row r="3799" spans="1:6" x14ac:dyDescent="0.25">
      <c r="A3799" t="s">
        <v>7095</v>
      </c>
      <c r="C3799" s="1">
        <v>44083</v>
      </c>
      <c r="D3799" t="b">
        <v>1</v>
      </c>
      <c r="E3799" t="s">
        <v>10</v>
      </c>
      <c r="F3799">
        <v>3177</v>
      </c>
    </row>
    <row r="3800" spans="1:6" x14ac:dyDescent="0.25">
      <c r="A3800" t="s">
        <v>7096</v>
      </c>
      <c r="B3800" t="s">
        <v>7097</v>
      </c>
      <c r="C3800" s="1">
        <v>44083</v>
      </c>
      <c r="D3800" t="b">
        <v>1</v>
      </c>
      <c r="E3800" t="s">
        <v>10</v>
      </c>
      <c r="F3800">
        <v>15218</v>
      </c>
    </row>
    <row r="3801" spans="1:6" x14ac:dyDescent="0.25">
      <c r="A3801" t="s">
        <v>7098</v>
      </c>
      <c r="B3801" t="s">
        <v>7099</v>
      </c>
      <c r="C3801" s="1">
        <v>44083</v>
      </c>
      <c r="D3801" t="b">
        <v>1</v>
      </c>
      <c r="E3801" t="s">
        <v>10</v>
      </c>
      <c r="F3801">
        <v>3180</v>
      </c>
    </row>
    <row r="3802" spans="1:6" x14ac:dyDescent="0.25">
      <c r="A3802" t="s">
        <v>7100</v>
      </c>
      <c r="B3802" t="s">
        <v>7101</v>
      </c>
      <c r="C3802" s="1">
        <v>44083</v>
      </c>
      <c r="D3802" t="b">
        <v>1</v>
      </c>
      <c r="E3802" t="s">
        <v>10</v>
      </c>
      <c r="F3802">
        <v>12190</v>
      </c>
    </row>
    <row r="3803" spans="1:6" x14ac:dyDescent="0.25">
      <c r="A3803" t="s">
        <v>7102</v>
      </c>
      <c r="B3803" t="s">
        <v>7103</v>
      </c>
      <c r="C3803" s="1">
        <v>44083</v>
      </c>
      <c r="D3803" t="b">
        <v>1</v>
      </c>
      <c r="E3803" t="s">
        <v>10</v>
      </c>
      <c r="F3803">
        <v>3183</v>
      </c>
    </row>
    <row r="3804" spans="1:6" x14ac:dyDescent="0.25">
      <c r="A3804" t="s">
        <v>7104</v>
      </c>
      <c r="B3804" t="s">
        <v>7105</v>
      </c>
      <c r="C3804" s="1">
        <v>44083</v>
      </c>
      <c r="D3804" t="b">
        <v>1</v>
      </c>
      <c r="E3804" t="s">
        <v>10</v>
      </c>
      <c r="F3804">
        <v>14332</v>
      </c>
    </row>
    <row r="3805" spans="1:6" x14ac:dyDescent="0.25">
      <c r="A3805" t="s">
        <v>7106</v>
      </c>
      <c r="B3805" t="s">
        <v>7107</v>
      </c>
      <c r="C3805" s="1">
        <v>44083</v>
      </c>
      <c r="D3805" t="b">
        <v>1</v>
      </c>
      <c r="E3805" t="s">
        <v>10</v>
      </c>
      <c r="F3805">
        <v>15344</v>
      </c>
    </row>
    <row r="3806" spans="1:6" x14ac:dyDescent="0.25">
      <c r="A3806" t="s">
        <v>7108</v>
      </c>
      <c r="B3806" t="s">
        <v>7109</v>
      </c>
      <c r="C3806" s="1">
        <v>44083</v>
      </c>
      <c r="D3806" t="b">
        <v>1</v>
      </c>
      <c r="E3806" t="s">
        <v>10</v>
      </c>
      <c r="F3806">
        <v>3186</v>
      </c>
    </row>
    <row r="3807" spans="1:6" x14ac:dyDescent="0.25">
      <c r="A3807" t="s">
        <v>7110</v>
      </c>
      <c r="B3807" t="s">
        <v>7111</v>
      </c>
      <c r="C3807" s="1">
        <v>44083</v>
      </c>
      <c r="D3807" t="b">
        <v>1</v>
      </c>
      <c r="E3807" t="s">
        <v>10</v>
      </c>
      <c r="F3807">
        <v>3187</v>
      </c>
    </row>
    <row r="3808" spans="1:6" x14ac:dyDescent="0.25">
      <c r="A3808" t="s">
        <v>7112</v>
      </c>
      <c r="B3808" t="s">
        <v>7113</v>
      </c>
      <c r="C3808" s="1">
        <v>44083</v>
      </c>
      <c r="D3808" t="b">
        <v>1</v>
      </c>
      <c r="E3808" t="s">
        <v>10</v>
      </c>
      <c r="F3808">
        <v>16270</v>
      </c>
    </row>
    <row r="3809" spans="1:6" x14ac:dyDescent="0.25">
      <c r="A3809" t="s">
        <v>7114</v>
      </c>
      <c r="B3809" t="s">
        <v>7113</v>
      </c>
      <c r="C3809" s="1">
        <v>44083</v>
      </c>
      <c r="D3809" t="b">
        <v>1</v>
      </c>
      <c r="E3809" t="s">
        <v>10</v>
      </c>
      <c r="F3809">
        <v>16271</v>
      </c>
    </row>
    <row r="3810" spans="1:6" x14ac:dyDescent="0.25">
      <c r="A3810" t="s">
        <v>7115</v>
      </c>
      <c r="B3810" t="s">
        <v>7116</v>
      </c>
      <c r="C3810" s="1">
        <v>44083</v>
      </c>
      <c r="D3810" t="b">
        <v>1</v>
      </c>
      <c r="E3810" t="s">
        <v>10</v>
      </c>
      <c r="F3810">
        <v>9466</v>
      </c>
    </row>
    <row r="3811" spans="1:6" x14ac:dyDescent="0.25">
      <c r="A3811" t="s">
        <v>7117</v>
      </c>
      <c r="B3811" t="s">
        <v>7118</v>
      </c>
      <c r="C3811" s="1">
        <v>44083</v>
      </c>
      <c r="D3811" t="b">
        <v>1</v>
      </c>
      <c r="E3811" t="s">
        <v>10</v>
      </c>
      <c r="F3811">
        <v>3188</v>
      </c>
    </row>
    <row r="3812" spans="1:6" x14ac:dyDescent="0.25">
      <c r="A3812" t="s">
        <v>7119</v>
      </c>
      <c r="B3812" t="s">
        <v>7120</v>
      </c>
      <c r="C3812" s="1">
        <v>44083</v>
      </c>
      <c r="D3812" t="b">
        <v>1</v>
      </c>
      <c r="E3812" t="s">
        <v>10</v>
      </c>
      <c r="F3812">
        <v>3189</v>
      </c>
    </row>
    <row r="3813" spans="1:6" x14ac:dyDescent="0.25">
      <c r="A3813" t="s">
        <v>7121</v>
      </c>
      <c r="C3813" s="1">
        <v>44083</v>
      </c>
      <c r="D3813" t="b">
        <v>1</v>
      </c>
      <c r="E3813" t="s">
        <v>10</v>
      </c>
      <c r="F3813">
        <v>15223</v>
      </c>
    </row>
    <row r="3814" spans="1:6" x14ac:dyDescent="0.25">
      <c r="A3814" t="s">
        <v>7122</v>
      </c>
      <c r="B3814" t="s">
        <v>7123</v>
      </c>
      <c r="C3814" s="1">
        <v>44083</v>
      </c>
      <c r="D3814" t="b">
        <v>1</v>
      </c>
      <c r="E3814" t="s">
        <v>10</v>
      </c>
      <c r="F3814">
        <v>3191</v>
      </c>
    </row>
    <row r="3815" spans="1:6" x14ac:dyDescent="0.25">
      <c r="A3815" t="s">
        <v>7124</v>
      </c>
      <c r="B3815" t="s">
        <v>7125</v>
      </c>
      <c r="C3815" s="1">
        <v>44083</v>
      </c>
      <c r="D3815" t="b">
        <v>1</v>
      </c>
      <c r="E3815" t="s">
        <v>10</v>
      </c>
      <c r="F3815">
        <v>3192</v>
      </c>
    </row>
    <row r="3816" spans="1:6" x14ac:dyDescent="0.25">
      <c r="A3816" t="s">
        <v>7126</v>
      </c>
      <c r="B3816" t="s">
        <v>7127</v>
      </c>
      <c r="C3816" s="1">
        <v>44083</v>
      </c>
      <c r="D3816" t="b">
        <v>1</v>
      </c>
      <c r="E3816" t="s">
        <v>10</v>
      </c>
      <c r="F3816">
        <v>3194</v>
      </c>
    </row>
    <row r="3817" spans="1:6" x14ac:dyDescent="0.25">
      <c r="A3817" t="s">
        <v>7128</v>
      </c>
      <c r="B3817" t="s">
        <v>7129</v>
      </c>
      <c r="C3817" s="1">
        <v>44083</v>
      </c>
      <c r="D3817" t="b">
        <v>1</v>
      </c>
      <c r="E3817" t="s">
        <v>10</v>
      </c>
      <c r="F3817">
        <v>3197</v>
      </c>
    </row>
    <row r="3818" spans="1:6" x14ac:dyDescent="0.25">
      <c r="A3818" t="s">
        <v>7130</v>
      </c>
      <c r="B3818" t="s">
        <v>7131</v>
      </c>
      <c r="C3818" s="1">
        <v>44083</v>
      </c>
      <c r="D3818" t="b">
        <v>1</v>
      </c>
      <c r="E3818" t="s">
        <v>10</v>
      </c>
      <c r="F3818">
        <v>3198</v>
      </c>
    </row>
    <row r="3819" spans="1:6" x14ac:dyDescent="0.25">
      <c r="A3819" t="s">
        <v>7132</v>
      </c>
      <c r="B3819" t="s">
        <v>7133</v>
      </c>
      <c r="C3819" s="1">
        <v>44083</v>
      </c>
      <c r="D3819" t="b">
        <v>1</v>
      </c>
      <c r="E3819" t="s">
        <v>10</v>
      </c>
      <c r="F3819">
        <v>16808</v>
      </c>
    </row>
    <row r="3820" spans="1:6" x14ac:dyDescent="0.25">
      <c r="A3820" t="s">
        <v>7134</v>
      </c>
      <c r="B3820" t="s">
        <v>7135</v>
      </c>
      <c r="C3820" s="1">
        <v>44083</v>
      </c>
      <c r="D3820" t="b">
        <v>1</v>
      </c>
      <c r="E3820" t="s">
        <v>10</v>
      </c>
      <c r="F3820">
        <v>9638</v>
      </c>
    </row>
    <row r="3821" spans="1:6" x14ac:dyDescent="0.25">
      <c r="A3821" t="s">
        <v>7136</v>
      </c>
      <c r="B3821" t="s">
        <v>7137</v>
      </c>
      <c r="C3821" s="1">
        <v>44083</v>
      </c>
      <c r="D3821" t="b">
        <v>1</v>
      </c>
      <c r="E3821" t="s">
        <v>10</v>
      </c>
      <c r="F3821">
        <v>3202</v>
      </c>
    </row>
    <row r="3822" spans="1:6" x14ac:dyDescent="0.25">
      <c r="A3822" t="s">
        <v>7138</v>
      </c>
      <c r="B3822" t="s">
        <v>7139</v>
      </c>
      <c r="C3822" s="1">
        <v>44083</v>
      </c>
      <c r="D3822" t="b">
        <v>1</v>
      </c>
      <c r="E3822" t="s">
        <v>10</v>
      </c>
      <c r="F3822">
        <v>3203</v>
      </c>
    </row>
    <row r="3823" spans="1:6" x14ac:dyDescent="0.25">
      <c r="A3823" t="s">
        <v>7140</v>
      </c>
      <c r="B3823" t="s">
        <v>7141</v>
      </c>
      <c r="C3823" s="1">
        <v>44083</v>
      </c>
      <c r="D3823" t="b">
        <v>1</v>
      </c>
      <c r="E3823" t="s">
        <v>10</v>
      </c>
      <c r="F3823">
        <v>13728</v>
      </c>
    </row>
    <row r="3824" spans="1:6" x14ac:dyDescent="0.25">
      <c r="A3824" t="s">
        <v>7142</v>
      </c>
      <c r="C3824" s="1">
        <v>44083</v>
      </c>
      <c r="D3824" t="b">
        <v>1</v>
      </c>
      <c r="E3824" t="s">
        <v>10</v>
      </c>
      <c r="F3824">
        <v>14698</v>
      </c>
    </row>
    <row r="3825" spans="1:6" x14ac:dyDescent="0.25">
      <c r="A3825" t="s">
        <v>7143</v>
      </c>
      <c r="B3825" t="s">
        <v>7144</v>
      </c>
      <c r="C3825" s="1">
        <v>44083</v>
      </c>
      <c r="D3825" t="b">
        <v>1</v>
      </c>
      <c r="E3825" t="s">
        <v>10</v>
      </c>
      <c r="F3825">
        <v>10626</v>
      </c>
    </row>
    <row r="3826" spans="1:6" x14ac:dyDescent="0.25">
      <c r="A3826" t="s">
        <v>7145</v>
      </c>
      <c r="B3826" t="s">
        <v>7146</v>
      </c>
      <c r="C3826" s="1">
        <v>44083</v>
      </c>
      <c r="D3826" t="b">
        <v>1</v>
      </c>
      <c r="E3826" t="s">
        <v>10</v>
      </c>
      <c r="F3826">
        <v>15974</v>
      </c>
    </row>
    <row r="3827" spans="1:6" x14ac:dyDescent="0.25">
      <c r="A3827" t="s">
        <v>7147</v>
      </c>
      <c r="B3827" t="s">
        <v>7148</v>
      </c>
      <c r="C3827" s="1">
        <v>44083</v>
      </c>
      <c r="D3827" t="b">
        <v>1</v>
      </c>
      <c r="E3827" t="s">
        <v>10</v>
      </c>
      <c r="F3827">
        <v>3210</v>
      </c>
    </row>
    <row r="3828" spans="1:6" x14ac:dyDescent="0.25">
      <c r="A3828" t="s">
        <v>7149</v>
      </c>
      <c r="C3828" s="1">
        <v>44083</v>
      </c>
      <c r="D3828" t="b">
        <v>1</v>
      </c>
      <c r="E3828" t="s">
        <v>10</v>
      </c>
      <c r="F3828">
        <v>3211</v>
      </c>
    </row>
    <row r="3829" spans="1:6" x14ac:dyDescent="0.25">
      <c r="A3829" t="s">
        <v>7150</v>
      </c>
      <c r="B3829" t="s">
        <v>7151</v>
      </c>
      <c r="C3829" s="1">
        <v>44083</v>
      </c>
      <c r="D3829" t="b">
        <v>1</v>
      </c>
      <c r="E3829" t="s">
        <v>10</v>
      </c>
      <c r="F3829">
        <v>15935</v>
      </c>
    </row>
    <row r="3830" spans="1:6" x14ac:dyDescent="0.25">
      <c r="A3830" t="s">
        <v>7152</v>
      </c>
      <c r="B3830" t="s">
        <v>7153</v>
      </c>
      <c r="C3830" s="1">
        <v>44083</v>
      </c>
      <c r="D3830" t="b">
        <v>1</v>
      </c>
      <c r="E3830" t="s">
        <v>10</v>
      </c>
      <c r="F3830">
        <v>3212</v>
      </c>
    </row>
    <row r="3831" spans="1:6" x14ac:dyDescent="0.25">
      <c r="A3831" t="s">
        <v>7154</v>
      </c>
      <c r="B3831" t="s">
        <v>7155</v>
      </c>
      <c r="C3831" s="1">
        <v>44083</v>
      </c>
      <c r="D3831" t="b">
        <v>1</v>
      </c>
      <c r="E3831" t="s">
        <v>10</v>
      </c>
      <c r="F3831">
        <v>9623</v>
      </c>
    </row>
    <row r="3832" spans="1:6" x14ac:dyDescent="0.25">
      <c r="A3832" t="s">
        <v>7156</v>
      </c>
      <c r="B3832" t="s">
        <v>7157</v>
      </c>
      <c r="C3832" s="1">
        <v>44083</v>
      </c>
      <c r="D3832" t="b">
        <v>1</v>
      </c>
      <c r="E3832" t="s">
        <v>10</v>
      </c>
      <c r="F3832">
        <v>10297</v>
      </c>
    </row>
    <row r="3833" spans="1:6" x14ac:dyDescent="0.25">
      <c r="A3833" t="s">
        <v>7158</v>
      </c>
      <c r="B3833" t="s">
        <v>7159</v>
      </c>
      <c r="C3833" s="1">
        <v>44083</v>
      </c>
      <c r="D3833" t="b">
        <v>1</v>
      </c>
      <c r="E3833" t="s">
        <v>10</v>
      </c>
      <c r="F3833">
        <v>6391</v>
      </c>
    </row>
    <row r="3834" spans="1:6" x14ac:dyDescent="0.25">
      <c r="A3834" t="s">
        <v>7160</v>
      </c>
      <c r="B3834" t="s">
        <v>7161</v>
      </c>
      <c r="C3834" s="1">
        <v>44083</v>
      </c>
      <c r="D3834" t="b">
        <v>1</v>
      </c>
      <c r="E3834" t="s">
        <v>10</v>
      </c>
      <c r="F3834">
        <v>3213</v>
      </c>
    </row>
    <row r="3835" spans="1:6" x14ac:dyDescent="0.25">
      <c r="A3835" t="s">
        <v>7162</v>
      </c>
      <c r="C3835" s="1">
        <v>44083</v>
      </c>
      <c r="D3835" t="b">
        <v>1</v>
      </c>
      <c r="E3835" t="s">
        <v>10</v>
      </c>
      <c r="F3835">
        <v>3214</v>
      </c>
    </row>
    <row r="3836" spans="1:6" x14ac:dyDescent="0.25">
      <c r="A3836" t="s">
        <v>7163</v>
      </c>
      <c r="B3836" t="s">
        <v>7164</v>
      </c>
      <c r="C3836" s="1">
        <v>44083</v>
      </c>
      <c r="D3836" t="b">
        <v>1</v>
      </c>
      <c r="E3836" t="s">
        <v>10</v>
      </c>
      <c r="F3836">
        <v>12414</v>
      </c>
    </row>
    <row r="3837" spans="1:6" x14ac:dyDescent="0.25">
      <c r="A3837" t="s">
        <v>7165</v>
      </c>
      <c r="B3837" t="s">
        <v>7166</v>
      </c>
      <c r="C3837" s="1">
        <v>44083</v>
      </c>
      <c r="D3837" t="b">
        <v>1</v>
      </c>
      <c r="E3837" t="s">
        <v>10</v>
      </c>
      <c r="F3837">
        <v>8153</v>
      </c>
    </row>
    <row r="3838" spans="1:6" x14ac:dyDescent="0.25">
      <c r="A3838" t="s">
        <v>7167</v>
      </c>
      <c r="B3838" t="s">
        <v>7168</v>
      </c>
      <c r="C3838" s="1">
        <v>44083</v>
      </c>
      <c r="D3838" t="b">
        <v>1</v>
      </c>
      <c r="E3838" t="s">
        <v>10</v>
      </c>
      <c r="F3838">
        <v>3217</v>
      </c>
    </row>
    <row r="3839" spans="1:6" x14ac:dyDescent="0.25">
      <c r="A3839" t="s">
        <v>7169</v>
      </c>
      <c r="B3839" t="s">
        <v>7170</v>
      </c>
      <c r="C3839" s="1">
        <v>44083</v>
      </c>
      <c r="D3839" t="b">
        <v>1</v>
      </c>
      <c r="E3839" t="s">
        <v>10</v>
      </c>
      <c r="F3839">
        <v>3219</v>
      </c>
    </row>
    <row r="3840" spans="1:6" x14ac:dyDescent="0.25">
      <c r="A3840" t="s">
        <v>7171</v>
      </c>
      <c r="B3840" t="s">
        <v>7172</v>
      </c>
      <c r="C3840" s="1">
        <v>44083</v>
      </c>
      <c r="D3840" t="b">
        <v>1</v>
      </c>
      <c r="E3840" t="s">
        <v>10</v>
      </c>
      <c r="F3840">
        <v>3221</v>
      </c>
    </row>
    <row r="3841" spans="1:6" x14ac:dyDescent="0.25">
      <c r="A3841" t="s">
        <v>7173</v>
      </c>
      <c r="B3841" t="s">
        <v>7174</v>
      </c>
      <c r="C3841" s="1">
        <v>44083</v>
      </c>
      <c r="D3841" t="b">
        <v>1</v>
      </c>
      <c r="E3841" t="s">
        <v>10</v>
      </c>
      <c r="F3841">
        <v>8109</v>
      </c>
    </row>
    <row r="3842" spans="1:6" x14ac:dyDescent="0.25">
      <c r="A3842" t="s">
        <v>7175</v>
      </c>
      <c r="B3842" t="s">
        <v>7176</v>
      </c>
      <c r="C3842" s="1">
        <v>44083</v>
      </c>
      <c r="D3842" t="b">
        <v>1</v>
      </c>
      <c r="E3842" t="s">
        <v>10</v>
      </c>
      <c r="F3842">
        <v>14013</v>
      </c>
    </row>
    <row r="3843" spans="1:6" x14ac:dyDescent="0.25">
      <c r="A3843" t="s">
        <v>7177</v>
      </c>
      <c r="B3843" t="s">
        <v>7178</v>
      </c>
      <c r="C3843" s="1">
        <v>44083</v>
      </c>
      <c r="D3843" t="b">
        <v>1</v>
      </c>
      <c r="E3843" t="s">
        <v>10</v>
      </c>
      <c r="F3843">
        <v>8997</v>
      </c>
    </row>
    <row r="3844" spans="1:6" x14ac:dyDescent="0.25">
      <c r="A3844" t="s">
        <v>7179</v>
      </c>
      <c r="C3844" s="1">
        <v>44083</v>
      </c>
      <c r="D3844" t="b">
        <v>1</v>
      </c>
      <c r="E3844" t="s">
        <v>10</v>
      </c>
      <c r="F3844">
        <v>14600</v>
      </c>
    </row>
    <row r="3845" spans="1:6" x14ac:dyDescent="0.25">
      <c r="A3845" t="s">
        <v>7180</v>
      </c>
      <c r="B3845" t="s">
        <v>7181</v>
      </c>
      <c r="C3845" s="1">
        <v>44083</v>
      </c>
      <c r="D3845" t="b">
        <v>1</v>
      </c>
      <c r="E3845" t="s">
        <v>10</v>
      </c>
      <c r="F3845">
        <v>3224</v>
      </c>
    </row>
    <row r="3846" spans="1:6" x14ac:dyDescent="0.25">
      <c r="A3846" t="s">
        <v>7182</v>
      </c>
      <c r="B3846" t="s">
        <v>7183</v>
      </c>
      <c r="C3846" s="1">
        <v>44083</v>
      </c>
      <c r="D3846" t="b">
        <v>1</v>
      </c>
      <c r="E3846" t="s">
        <v>10</v>
      </c>
      <c r="F3846">
        <v>3225</v>
      </c>
    </row>
    <row r="3847" spans="1:6" x14ac:dyDescent="0.25">
      <c r="A3847" t="s">
        <v>7184</v>
      </c>
      <c r="B3847" t="s">
        <v>7185</v>
      </c>
      <c r="C3847" s="1">
        <v>44083</v>
      </c>
      <c r="D3847" t="b">
        <v>1</v>
      </c>
      <c r="E3847" t="s">
        <v>10</v>
      </c>
      <c r="F3847">
        <v>13911</v>
      </c>
    </row>
    <row r="3848" spans="1:6" x14ac:dyDescent="0.25">
      <c r="A3848" t="s">
        <v>7186</v>
      </c>
      <c r="B3848" t="s">
        <v>7187</v>
      </c>
      <c r="C3848" s="1">
        <v>44083</v>
      </c>
      <c r="D3848" t="b">
        <v>1</v>
      </c>
      <c r="E3848" t="s">
        <v>10</v>
      </c>
      <c r="F3848">
        <v>3228</v>
      </c>
    </row>
    <row r="3849" spans="1:6" x14ac:dyDescent="0.25">
      <c r="A3849" t="s">
        <v>7188</v>
      </c>
      <c r="B3849" t="s">
        <v>7189</v>
      </c>
      <c r="C3849" s="1">
        <v>44083</v>
      </c>
      <c r="D3849" t="b">
        <v>1</v>
      </c>
      <c r="E3849" t="s">
        <v>10</v>
      </c>
      <c r="F3849">
        <v>3229</v>
      </c>
    </row>
    <row r="3850" spans="1:6" x14ac:dyDescent="0.25">
      <c r="A3850" t="s">
        <v>7190</v>
      </c>
      <c r="B3850" t="s">
        <v>7191</v>
      </c>
      <c r="C3850" s="1">
        <v>44083</v>
      </c>
      <c r="D3850" t="b">
        <v>1</v>
      </c>
      <c r="E3850" t="s">
        <v>10</v>
      </c>
      <c r="F3850">
        <v>3230</v>
      </c>
    </row>
    <row r="3851" spans="1:6" x14ac:dyDescent="0.25">
      <c r="A3851" t="s">
        <v>7192</v>
      </c>
      <c r="B3851" t="s">
        <v>7193</v>
      </c>
      <c r="C3851" s="1">
        <v>44083</v>
      </c>
      <c r="D3851" t="b">
        <v>1</v>
      </c>
      <c r="E3851" t="s">
        <v>10</v>
      </c>
      <c r="F3851">
        <v>3231</v>
      </c>
    </row>
    <row r="3852" spans="1:6" x14ac:dyDescent="0.25">
      <c r="A3852" t="s">
        <v>7194</v>
      </c>
      <c r="B3852" t="s">
        <v>7195</v>
      </c>
      <c r="C3852" s="1">
        <v>44083</v>
      </c>
      <c r="D3852" t="b">
        <v>1</v>
      </c>
      <c r="E3852" t="s">
        <v>10</v>
      </c>
      <c r="F3852">
        <v>14014</v>
      </c>
    </row>
    <row r="3853" spans="1:6" x14ac:dyDescent="0.25">
      <c r="A3853" t="s">
        <v>7196</v>
      </c>
      <c r="B3853" t="s">
        <v>7197</v>
      </c>
      <c r="C3853" s="1">
        <v>44083</v>
      </c>
      <c r="D3853" t="b">
        <v>1</v>
      </c>
      <c r="E3853" t="s">
        <v>10</v>
      </c>
      <c r="F3853">
        <v>3179</v>
      </c>
    </row>
    <row r="3854" spans="1:6" x14ac:dyDescent="0.25">
      <c r="A3854" t="s">
        <v>7198</v>
      </c>
      <c r="B3854" t="s">
        <v>7199</v>
      </c>
      <c r="C3854" s="1">
        <v>44083</v>
      </c>
      <c r="D3854" t="b">
        <v>1</v>
      </c>
      <c r="E3854" t="s">
        <v>10</v>
      </c>
      <c r="F3854">
        <v>3233</v>
      </c>
    </row>
    <row r="3855" spans="1:6" x14ac:dyDescent="0.25">
      <c r="A3855" t="s">
        <v>7200</v>
      </c>
      <c r="B3855" t="s">
        <v>7201</v>
      </c>
      <c r="C3855" s="1">
        <v>44083</v>
      </c>
      <c r="D3855" t="b">
        <v>1</v>
      </c>
      <c r="E3855" t="s">
        <v>10</v>
      </c>
      <c r="F3855">
        <v>8576</v>
      </c>
    </row>
    <row r="3856" spans="1:6" x14ac:dyDescent="0.25">
      <c r="A3856" t="s">
        <v>7202</v>
      </c>
      <c r="B3856" t="s">
        <v>7203</v>
      </c>
      <c r="C3856" s="1">
        <v>44083</v>
      </c>
      <c r="D3856" t="b">
        <v>1</v>
      </c>
      <c r="E3856" t="s">
        <v>10</v>
      </c>
      <c r="F3856">
        <v>3234</v>
      </c>
    </row>
    <row r="3857" spans="1:6" x14ac:dyDescent="0.25">
      <c r="A3857" t="s">
        <v>7204</v>
      </c>
      <c r="B3857" t="s">
        <v>7205</v>
      </c>
      <c r="C3857" s="1">
        <v>44083</v>
      </c>
      <c r="D3857" t="b">
        <v>1</v>
      </c>
      <c r="E3857" t="s">
        <v>10</v>
      </c>
      <c r="F3857">
        <v>3236</v>
      </c>
    </row>
    <row r="3858" spans="1:6" x14ac:dyDescent="0.25">
      <c r="A3858" t="s">
        <v>7206</v>
      </c>
      <c r="B3858" t="s">
        <v>7207</v>
      </c>
      <c r="C3858" s="1">
        <v>44083</v>
      </c>
      <c r="D3858" t="b">
        <v>1</v>
      </c>
      <c r="E3858" t="s">
        <v>10</v>
      </c>
      <c r="F3858">
        <v>3239</v>
      </c>
    </row>
    <row r="3859" spans="1:6" x14ac:dyDescent="0.25">
      <c r="A3859" t="s">
        <v>7208</v>
      </c>
      <c r="B3859" t="s">
        <v>7209</v>
      </c>
      <c r="C3859" s="1">
        <v>44083</v>
      </c>
      <c r="D3859" t="b">
        <v>1</v>
      </c>
      <c r="E3859" t="s">
        <v>10</v>
      </c>
      <c r="F3859">
        <v>3240</v>
      </c>
    </row>
    <row r="3860" spans="1:6" x14ac:dyDescent="0.25">
      <c r="A3860" t="s">
        <v>7210</v>
      </c>
      <c r="B3860" t="s">
        <v>7211</v>
      </c>
      <c r="C3860" s="1">
        <v>44083</v>
      </c>
      <c r="D3860" t="b">
        <v>1</v>
      </c>
      <c r="E3860" t="s">
        <v>10</v>
      </c>
      <c r="F3860">
        <v>16914</v>
      </c>
    </row>
    <row r="3861" spans="1:6" x14ac:dyDescent="0.25">
      <c r="A3861" t="s">
        <v>7212</v>
      </c>
      <c r="C3861" s="1">
        <v>44083</v>
      </c>
      <c r="D3861" t="b">
        <v>1</v>
      </c>
      <c r="E3861" t="s">
        <v>10</v>
      </c>
      <c r="F3861">
        <v>16921</v>
      </c>
    </row>
    <row r="3862" spans="1:6" x14ac:dyDescent="0.25">
      <c r="A3862" t="s">
        <v>7213</v>
      </c>
      <c r="B3862" t="s">
        <v>7214</v>
      </c>
      <c r="C3862" s="1">
        <v>44083</v>
      </c>
      <c r="D3862" t="b">
        <v>1</v>
      </c>
      <c r="E3862" t="s">
        <v>10</v>
      </c>
      <c r="F3862">
        <v>3241</v>
      </c>
    </row>
    <row r="3863" spans="1:6" x14ac:dyDescent="0.25">
      <c r="A3863" t="s">
        <v>7215</v>
      </c>
      <c r="B3863" t="s">
        <v>7216</v>
      </c>
      <c r="C3863" s="1">
        <v>44083</v>
      </c>
      <c r="D3863" t="b">
        <v>1</v>
      </c>
      <c r="E3863" t="s">
        <v>10</v>
      </c>
      <c r="F3863">
        <v>8200</v>
      </c>
    </row>
    <row r="3864" spans="1:6" x14ac:dyDescent="0.25">
      <c r="A3864" t="s">
        <v>7217</v>
      </c>
      <c r="B3864" t="s">
        <v>7218</v>
      </c>
      <c r="C3864" s="1">
        <v>44083</v>
      </c>
      <c r="D3864" t="b">
        <v>1</v>
      </c>
      <c r="E3864" t="s">
        <v>10</v>
      </c>
      <c r="F3864">
        <v>3242</v>
      </c>
    </row>
    <row r="3865" spans="1:6" x14ac:dyDescent="0.25">
      <c r="A3865" t="s">
        <v>7219</v>
      </c>
      <c r="B3865" t="s">
        <v>7220</v>
      </c>
      <c r="C3865" s="1">
        <v>44083</v>
      </c>
      <c r="D3865" t="b">
        <v>1</v>
      </c>
      <c r="E3865" t="s">
        <v>10</v>
      </c>
      <c r="F3865">
        <v>16988</v>
      </c>
    </row>
    <row r="3866" spans="1:6" x14ac:dyDescent="0.25">
      <c r="A3866" t="s">
        <v>7221</v>
      </c>
      <c r="B3866" t="s">
        <v>7222</v>
      </c>
      <c r="C3866" s="1">
        <v>44083</v>
      </c>
      <c r="D3866" t="b">
        <v>1</v>
      </c>
      <c r="E3866" t="s">
        <v>10</v>
      </c>
      <c r="F3866">
        <v>3244</v>
      </c>
    </row>
    <row r="3867" spans="1:6" x14ac:dyDescent="0.25">
      <c r="A3867" t="s">
        <v>7223</v>
      </c>
      <c r="B3867" t="s">
        <v>7224</v>
      </c>
      <c r="C3867" s="1">
        <v>44083</v>
      </c>
      <c r="D3867" t="b">
        <v>1</v>
      </c>
      <c r="E3867" t="s">
        <v>10</v>
      </c>
      <c r="F3867">
        <v>3245</v>
      </c>
    </row>
    <row r="3868" spans="1:6" x14ac:dyDescent="0.25">
      <c r="A3868" t="s">
        <v>7225</v>
      </c>
      <c r="B3868" t="s">
        <v>7226</v>
      </c>
      <c r="C3868" s="1">
        <v>44083</v>
      </c>
      <c r="D3868" t="b">
        <v>1</v>
      </c>
      <c r="E3868" t="s">
        <v>10</v>
      </c>
      <c r="F3868">
        <v>10486</v>
      </c>
    </row>
    <row r="3869" spans="1:6" x14ac:dyDescent="0.25">
      <c r="A3869" t="s">
        <v>7227</v>
      </c>
      <c r="B3869" t="s">
        <v>7228</v>
      </c>
      <c r="C3869" s="1">
        <v>44083</v>
      </c>
      <c r="D3869" t="b">
        <v>1</v>
      </c>
      <c r="E3869" t="s">
        <v>10</v>
      </c>
      <c r="F3869">
        <v>15538</v>
      </c>
    </row>
    <row r="3870" spans="1:6" x14ac:dyDescent="0.25">
      <c r="A3870" t="s">
        <v>7229</v>
      </c>
      <c r="B3870" t="s">
        <v>7230</v>
      </c>
      <c r="C3870" s="1">
        <v>44083</v>
      </c>
      <c r="D3870" t="b">
        <v>1</v>
      </c>
      <c r="E3870" t="s">
        <v>10</v>
      </c>
      <c r="F3870">
        <v>3247</v>
      </c>
    </row>
    <row r="3871" spans="1:6" x14ac:dyDescent="0.25">
      <c r="A3871" t="s">
        <v>7231</v>
      </c>
      <c r="B3871" t="s">
        <v>7232</v>
      </c>
      <c r="C3871" s="1">
        <v>44083</v>
      </c>
      <c r="D3871" t="b">
        <v>1</v>
      </c>
      <c r="E3871" t="s">
        <v>10</v>
      </c>
      <c r="F3871">
        <v>16005</v>
      </c>
    </row>
    <row r="3872" spans="1:6" x14ac:dyDescent="0.25">
      <c r="A3872" t="s">
        <v>7233</v>
      </c>
      <c r="B3872" t="s">
        <v>7234</v>
      </c>
      <c r="C3872" s="1">
        <v>44083</v>
      </c>
      <c r="D3872" t="b">
        <v>1</v>
      </c>
      <c r="E3872" t="s">
        <v>10</v>
      </c>
      <c r="F3872">
        <v>15551</v>
      </c>
    </row>
    <row r="3873" spans="1:6" x14ac:dyDescent="0.25">
      <c r="A3873" t="s">
        <v>7235</v>
      </c>
      <c r="B3873" t="s">
        <v>7236</v>
      </c>
      <c r="C3873" s="1">
        <v>44083</v>
      </c>
      <c r="D3873" t="b">
        <v>1</v>
      </c>
      <c r="E3873" t="s">
        <v>10</v>
      </c>
      <c r="F3873">
        <v>620</v>
      </c>
    </row>
    <row r="3874" spans="1:6" x14ac:dyDescent="0.25">
      <c r="A3874" t="s">
        <v>7237</v>
      </c>
      <c r="B3874" t="s">
        <v>7238</v>
      </c>
      <c r="C3874" s="1">
        <v>44083</v>
      </c>
      <c r="D3874" t="b">
        <v>1</v>
      </c>
      <c r="E3874" t="s">
        <v>10</v>
      </c>
      <c r="F3874">
        <v>15134</v>
      </c>
    </row>
    <row r="3875" spans="1:6" x14ac:dyDescent="0.25">
      <c r="A3875" t="s">
        <v>7239</v>
      </c>
      <c r="B3875" t="s">
        <v>7240</v>
      </c>
      <c r="C3875" s="1">
        <v>44083</v>
      </c>
      <c r="D3875" t="b">
        <v>1</v>
      </c>
      <c r="E3875" t="s">
        <v>10</v>
      </c>
      <c r="F3875">
        <v>3251</v>
      </c>
    </row>
    <row r="3876" spans="1:6" x14ac:dyDescent="0.25">
      <c r="A3876" t="s">
        <v>7241</v>
      </c>
      <c r="C3876" s="1">
        <v>44083</v>
      </c>
      <c r="D3876" t="b">
        <v>1</v>
      </c>
      <c r="E3876" t="s">
        <v>10</v>
      </c>
      <c r="F3876">
        <v>3252</v>
      </c>
    </row>
    <row r="3877" spans="1:6" x14ac:dyDescent="0.25">
      <c r="A3877" t="s">
        <v>7242</v>
      </c>
      <c r="B3877" t="s">
        <v>7243</v>
      </c>
      <c r="C3877" s="1">
        <v>44083</v>
      </c>
      <c r="D3877" t="b">
        <v>1</v>
      </c>
      <c r="E3877" t="s">
        <v>10</v>
      </c>
      <c r="F3877">
        <v>3254</v>
      </c>
    </row>
    <row r="3878" spans="1:6" x14ac:dyDescent="0.25">
      <c r="A3878" t="s">
        <v>7244</v>
      </c>
      <c r="B3878" t="s">
        <v>7245</v>
      </c>
      <c r="C3878" s="1">
        <v>44083</v>
      </c>
      <c r="D3878" t="b">
        <v>1</v>
      </c>
      <c r="E3878" t="s">
        <v>10</v>
      </c>
      <c r="F3878">
        <v>10719</v>
      </c>
    </row>
    <row r="3879" spans="1:6" x14ac:dyDescent="0.25">
      <c r="A3879" t="s">
        <v>7246</v>
      </c>
      <c r="B3879" t="s">
        <v>7247</v>
      </c>
      <c r="C3879" s="1">
        <v>44083</v>
      </c>
      <c r="D3879" t="b">
        <v>1</v>
      </c>
      <c r="E3879" t="s">
        <v>10</v>
      </c>
      <c r="F3879">
        <v>3257</v>
      </c>
    </row>
    <row r="3880" spans="1:6" x14ac:dyDescent="0.25">
      <c r="A3880" t="s">
        <v>7248</v>
      </c>
      <c r="B3880" t="s">
        <v>7249</v>
      </c>
      <c r="C3880" s="1">
        <v>44083</v>
      </c>
      <c r="D3880" t="b">
        <v>1</v>
      </c>
      <c r="E3880" t="s">
        <v>10</v>
      </c>
      <c r="F3880">
        <v>3258</v>
      </c>
    </row>
    <row r="3881" spans="1:6" x14ac:dyDescent="0.25">
      <c r="A3881" t="s">
        <v>7250</v>
      </c>
      <c r="B3881" t="s">
        <v>7251</v>
      </c>
      <c r="C3881" s="1">
        <v>44083</v>
      </c>
      <c r="D3881" t="b">
        <v>1</v>
      </c>
      <c r="E3881" t="s">
        <v>10</v>
      </c>
      <c r="F3881">
        <v>16466</v>
      </c>
    </row>
    <row r="3882" spans="1:6" x14ac:dyDescent="0.25">
      <c r="A3882" t="s">
        <v>7252</v>
      </c>
      <c r="C3882" s="1">
        <v>44083</v>
      </c>
      <c r="D3882" t="b">
        <v>1</v>
      </c>
      <c r="E3882" t="s">
        <v>10</v>
      </c>
      <c r="F3882">
        <v>17126</v>
      </c>
    </row>
    <row r="3883" spans="1:6" x14ac:dyDescent="0.25">
      <c r="A3883" t="s">
        <v>7253</v>
      </c>
      <c r="B3883" t="s">
        <v>7254</v>
      </c>
      <c r="C3883" s="1">
        <v>44083</v>
      </c>
      <c r="D3883" t="b">
        <v>1</v>
      </c>
      <c r="E3883" t="s">
        <v>10</v>
      </c>
      <c r="F3883">
        <v>3261</v>
      </c>
    </row>
    <row r="3884" spans="1:6" x14ac:dyDescent="0.25">
      <c r="A3884" t="s">
        <v>7255</v>
      </c>
      <c r="B3884" t="s">
        <v>7256</v>
      </c>
      <c r="C3884" s="1">
        <v>44083</v>
      </c>
      <c r="D3884" t="b">
        <v>1</v>
      </c>
      <c r="E3884" t="s">
        <v>10</v>
      </c>
      <c r="F3884">
        <v>3263</v>
      </c>
    </row>
    <row r="3885" spans="1:6" x14ac:dyDescent="0.25">
      <c r="A3885" t="s">
        <v>7257</v>
      </c>
      <c r="B3885" t="s">
        <v>7258</v>
      </c>
      <c r="C3885" s="1">
        <v>44083</v>
      </c>
      <c r="D3885" t="b">
        <v>1</v>
      </c>
      <c r="E3885" t="s">
        <v>10</v>
      </c>
      <c r="F3885">
        <v>14243</v>
      </c>
    </row>
    <row r="3886" spans="1:6" x14ac:dyDescent="0.25">
      <c r="A3886" t="s">
        <v>7259</v>
      </c>
      <c r="B3886" t="s">
        <v>7260</v>
      </c>
      <c r="C3886" s="1">
        <v>44083</v>
      </c>
      <c r="D3886" t="b">
        <v>1</v>
      </c>
      <c r="E3886" t="s">
        <v>10</v>
      </c>
      <c r="F3886">
        <v>3264</v>
      </c>
    </row>
    <row r="3887" spans="1:6" x14ac:dyDescent="0.25">
      <c r="A3887" t="s">
        <v>7261</v>
      </c>
      <c r="B3887" t="s">
        <v>7262</v>
      </c>
      <c r="C3887" s="1">
        <v>44083</v>
      </c>
      <c r="D3887" t="b">
        <v>1</v>
      </c>
      <c r="E3887" t="s">
        <v>10</v>
      </c>
      <c r="F3887">
        <v>17141</v>
      </c>
    </row>
    <row r="3888" spans="1:6" x14ac:dyDescent="0.25">
      <c r="A3888" t="s">
        <v>7263</v>
      </c>
      <c r="C3888" s="1">
        <v>44083</v>
      </c>
      <c r="D3888" t="b">
        <v>1</v>
      </c>
      <c r="E3888" t="s">
        <v>10</v>
      </c>
      <c r="F3888">
        <v>17203</v>
      </c>
    </row>
    <row r="3889" spans="1:6" x14ac:dyDescent="0.25">
      <c r="A3889" t="s">
        <v>7264</v>
      </c>
      <c r="B3889" t="s">
        <v>7265</v>
      </c>
      <c r="C3889" s="1">
        <v>44083</v>
      </c>
      <c r="D3889" t="b">
        <v>1</v>
      </c>
      <c r="E3889" t="s">
        <v>10</v>
      </c>
      <c r="F3889">
        <v>16968</v>
      </c>
    </row>
    <row r="3890" spans="1:6" x14ac:dyDescent="0.25">
      <c r="A3890" t="s">
        <v>7266</v>
      </c>
      <c r="B3890" t="s">
        <v>7267</v>
      </c>
      <c r="C3890" s="1">
        <v>44083</v>
      </c>
      <c r="D3890" t="b">
        <v>1</v>
      </c>
      <c r="E3890" t="s">
        <v>10</v>
      </c>
      <c r="F3890">
        <v>3269</v>
      </c>
    </row>
    <row r="3891" spans="1:6" x14ac:dyDescent="0.25">
      <c r="A3891" t="s">
        <v>7268</v>
      </c>
      <c r="B3891" t="s">
        <v>7269</v>
      </c>
      <c r="C3891" s="1">
        <v>44083</v>
      </c>
      <c r="D3891" t="b">
        <v>1</v>
      </c>
      <c r="E3891" t="s">
        <v>10</v>
      </c>
      <c r="F3891">
        <v>14717</v>
      </c>
    </row>
    <row r="3892" spans="1:6" x14ac:dyDescent="0.25">
      <c r="A3892" t="s">
        <v>7270</v>
      </c>
      <c r="B3892" t="s">
        <v>7271</v>
      </c>
      <c r="C3892" s="1">
        <v>44083</v>
      </c>
      <c r="D3892" t="b">
        <v>1</v>
      </c>
      <c r="E3892" t="s">
        <v>10</v>
      </c>
      <c r="F3892">
        <v>3270</v>
      </c>
    </row>
    <row r="3893" spans="1:6" x14ac:dyDescent="0.25">
      <c r="A3893" t="s">
        <v>7272</v>
      </c>
      <c r="B3893" t="s">
        <v>7273</v>
      </c>
      <c r="C3893" s="1">
        <v>44083</v>
      </c>
      <c r="D3893" t="b">
        <v>1</v>
      </c>
      <c r="E3893" t="s">
        <v>10</v>
      </c>
      <c r="F3893">
        <v>8965</v>
      </c>
    </row>
    <row r="3894" spans="1:6" x14ac:dyDescent="0.25">
      <c r="A3894" t="s">
        <v>7274</v>
      </c>
      <c r="B3894" t="s">
        <v>7275</v>
      </c>
      <c r="C3894" s="1">
        <v>44083</v>
      </c>
      <c r="D3894" t="b">
        <v>1</v>
      </c>
      <c r="E3894" t="s">
        <v>10</v>
      </c>
      <c r="F3894">
        <v>3271</v>
      </c>
    </row>
    <row r="3895" spans="1:6" x14ac:dyDescent="0.25">
      <c r="A3895" t="s">
        <v>7276</v>
      </c>
      <c r="B3895" t="s">
        <v>7277</v>
      </c>
      <c r="C3895" s="1">
        <v>44083</v>
      </c>
      <c r="D3895" t="b">
        <v>1</v>
      </c>
      <c r="E3895" t="s">
        <v>10</v>
      </c>
      <c r="F3895">
        <v>3272</v>
      </c>
    </row>
    <row r="3896" spans="1:6" x14ac:dyDescent="0.25">
      <c r="A3896" t="s">
        <v>7278</v>
      </c>
      <c r="B3896" t="s">
        <v>7279</v>
      </c>
      <c r="C3896" s="1">
        <v>44083</v>
      </c>
      <c r="D3896" t="b">
        <v>1</v>
      </c>
      <c r="E3896" t="s">
        <v>10</v>
      </c>
      <c r="F3896">
        <v>3273</v>
      </c>
    </row>
    <row r="3897" spans="1:6" x14ac:dyDescent="0.25">
      <c r="A3897" t="s">
        <v>7280</v>
      </c>
      <c r="B3897" t="s">
        <v>7281</v>
      </c>
      <c r="C3897" s="1">
        <v>44083</v>
      </c>
      <c r="D3897" t="b">
        <v>1</v>
      </c>
      <c r="E3897" t="s">
        <v>10</v>
      </c>
      <c r="F3897">
        <v>3320</v>
      </c>
    </row>
    <row r="3898" spans="1:6" x14ac:dyDescent="0.25">
      <c r="A3898" t="s">
        <v>7282</v>
      </c>
      <c r="B3898" t="s">
        <v>7283</v>
      </c>
      <c r="C3898" s="1">
        <v>44083</v>
      </c>
      <c r="D3898" t="b">
        <v>1</v>
      </c>
      <c r="E3898" t="s">
        <v>10</v>
      </c>
      <c r="F3898">
        <v>3275</v>
      </c>
    </row>
    <row r="3899" spans="1:6" x14ac:dyDescent="0.25">
      <c r="A3899" t="s">
        <v>7284</v>
      </c>
      <c r="B3899" t="s">
        <v>7285</v>
      </c>
      <c r="C3899" s="1">
        <v>44083</v>
      </c>
      <c r="D3899" t="b">
        <v>1</v>
      </c>
      <c r="E3899" t="s">
        <v>10</v>
      </c>
      <c r="F3899">
        <v>17017</v>
      </c>
    </row>
    <row r="3900" spans="1:6" x14ac:dyDescent="0.25">
      <c r="A3900" t="s">
        <v>7286</v>
      </c>
      <c r="B3900" t="s">
        <v>7287</v>
      </c>
      <c r="C3900" s="1">
        <v>44083</v>
      </c>
      <c r="D3900" t="b">
        <v>1</v>
      </c>
      <c r="E3900" t="s">
        <v>10</v>
      </c>
      <c r="F3900">
        <v>3515</v>
      </c>
    </row>
    <row r="3901" spans="1:6" x14ac:dyDescent="0.25">
      <c r="A3901" t="s">
        <v>7288</v>
      </c>
      <c r="B3901" t="s">
        <v>7289</v>
      </c>
      <c r="C3901" s="1">
        <v>44083</v>
      </c>
      <c r="D3901" t="b">
        <v>1</v>
      </c>
      <c r="E3901" t="s">
        <v>10</v>
      </c>
      <c r="F3901">
        <v>8627</v>
      </c>
    </row>
    <row r="3902" spans="1:6" x14ac:dyDescent="0.25">
      <c r="A3902" t="s">
        <v>7290</v>
      </c>
      <c r="B3902" t="s">
        <v>7291</v>
      </c>
      <c r="C3902" s="1">
        <v>44083</v>
      </c>
      <c r="D3902" t="b">
        <v>1</v>
      </c>
      <c r="E3902" t="s">
        <v>10</v>
      </c>
      <c r="F3902">
        <v>8228</v>
      </c>
    </row>
    <row r="3903" spans="1:6" x14ac:dyDescent="0.25">
      <c r="A3903" t="s">
        <v>7292</v>
      </c>
      <c r="B3903" t="s">
        <v>7293</v>
      </c>
      <c r="C3903" s="1">
        <v>44083</v>
      </c>
      <c r="D3903" t="b">
        <v>1</v>
      </c>
      <c r="E3903" t="s">
        <v>10</v>
      </c>
      <c r="F3903">
        <v>3278</v>
      </c>
    </row>
    <row r="3904" spans="1:6" x14ac:dyDescent="0.25">
      <c r="A3904" t="s">
        <v>7294</v>
      </c>
      <c r="B3904" t="s">
        <v>7295</v>
      </c>
      <c r="C3904" s="1">
        <v>44083</v>
      </c>
      <c r="D3904" t="b">
        <v>1</v>
      </c>
      <c r="E3904" t="s">
        <v>10</v>
      </c>
      <c r="F3904">
        <v>16989</v>
      </c>
    </row>
    <row r="3905" spans="1:6" x14ac:dyDescent="0.25">
      <c r="A3905" t="s">
        <v>7296</v>
      </c>
      <c r="B3905" t="s">
        <v>7297</v>
      </c>
      <c r="C3905" s="1">
        <v>44083</v>
      </c>
      <c r="D3905" t="b">
        <v>1</v>
      </c>
      <c r="E3905" t="s">
        <v>10</v>
      </c>
      <c r="F3905">
        <v>3117</v>
      </c>
    </row>
    <row r="3906" spans="1:6" x14ac:dyDescent="0.25">
      <c r="A3906" t="s">
        <v>7298</v>
      </c>
      <c r="C3906" s="1">
        <v>44083</v>
      </c>
      <c r="D3906" t="b">
        <v>1</v>
      </c>
      <c r="E3906" t="s">
        <v>10</v>
      </c>
      <c r="F3906">
        <v>14601</v>
      </c>
    </row>
    <row r="3907" spans="1:6" x14ac:dyDescent="0.25">
      <c r="A3907" t="s">
        <v>7299</v>
      </c>
      <c r="B3907" t="s">
        <v>7300</v>
      </c>
      <c r="C3907" s="1">
        <v>44083</v>
      </c>
      <c r="D3907" t="b">
        <v>1</v>
      </c>
      <c r="E3907" t="s">
        <v>10</v>
      </c>
      <c r="F3907">
        <v>3281</v>
      </c>
    </row>
    <row r="3908" spans="1:6" x14ac:dyDescent="0.25">
      <c r="A3908" t="s">
        <v>7301</v>
      </c>
      <c r="B3908" t="s">
        <v>7302</v>
      </c>
      <c r="C3908" s="1">
        <v>44083</v>
      </c>
      <c r="D3908" t="b">
        <v>1</v>
      </c>
      <c r="E3908" t="s">
        <v>10</v>
      </c>
      <c r="F3908">
        <v>10252</v>
      </c>
    </row>
    <row r="3909" spans="1:6" x14ac:dyDescent="0.25">
      <c r="A3909" t="s">
        <v>7303</v>
      </c>
      <c r="B3909" t="s">
        <v>7304</v>
      </c>
      <c r="C3909" s="1">
        <v>44083</v>
      </c>
      <c r="D3909" t="b">
        <v>1</v>
      </c>
      <c r="E3909" t="s">
        <v>10</v>
      </c>
      <c r="F3909">
        <v>14435</v>
      </c>
    </row>
    <row r="3910" spans="1:6" x14ac:dyDescent="0.25">
      <c r="A3910" t="s">
        <v>7305</v>
      </c>
      <c r="B3910" t="s">
        <v>7306</v>
      </c>
      <c r="C3910" s="1">
        <v>44083</v>
      </c>
      <c r="D3910" t="b">
        <v>1</v>
      </c>
      <c r="E3910" t="s">
        <v>10</v>
      </c>
      <c r="F3910">
        <v>3283</v>
      </c>
    </row>
    <row r="3911" spans="1:6" x14ac:dyDescent="0.25">
      <c r="A3911" t="s">
        <v>7307</v>
      </c>
      <c r="B3911" t="s">
        <v>7308</v>
      </c>
      <c r="C3911" s="1">
        <v>44083</v>
      </c>
      <c r="D3911" t="b">
        <v>1</v>
      </c>
      <c r="E3911" t="s">
        <v>10</v>
      </c>
      <c r="F3911">
        <v>3284</v>
      </c>
    </row>
    <row r="3912" spans="1:6" x14ac:dyDescent="0.25">
      <c r="A3912" t="s">
        <v>7309</v>
      </c>
      <c r="B3912" t="s">
        <v>7310</v>
      </c>
      <c r="C3912" s="1">
        <v>44083</v>
      </c>
      <c r="D3912" t="b">
        <v>1</v>
      </c>
      <c r="E3912" t="s">
        <v>10</v>
      </c>
      <c r="F3912">
        <v>3285</v>
      </c>
    </row>
    <row r="3913" spans="1:6" x14ac:dyDescent="0.25">
      <c r="A3913" t="s">
        <v>7311</v>
      </c>
      <c r="B3913" t="s">
        <v>7312</v>
      </c>
      <c r="C3913" s="1">
        <v>44083</v>
      </c>
      <c r="D3913" t="b">
        <v>1</v>
      </c>
      <c r="E3913" t="s">
        <v>10</v>
      </c>
      <c r="F3913">
        <v>16665</v>
      </c>
    </row>
    <row r="3914" spans="1:6" x14ac:dyDescent="0.25">
      <c r="A3914" t="s">
        <v>7313</v>
      </c>
      <c r="B3914" t="s">
        <v>7314</v>
      </c>
      <c r="C3914" s="1">
        <v>44083</v>
      </c>
      <c r="D3914" t="b">
        <v>1</v>
      </c>
      <c r="E3914" t="s">
        <v>10</v>
      </c>
      <c r="F3914">
        <v>3288</v>
      </c>
    </row>
    <row r="3915" spans="1:6" x14ac:dyDescent="0.25">
      <c r="A3915" t="s">
        <v>7315</v>
      </c>
      <c r="B3915" t="s">
        <v>7316</v>
      </c>
      <c r="C3915" s="1">
        <v>44083</v>
      </c>
      <c r="D3915" t="b">
        <v>1</v>
      </c>
      <c r="E3915" t="s">
        <v>10</v>
      </c>
      <c r="F3915">
        <v>14685</v>
      </c>
    </row>
    <row r="3916" spans="1:6" x14ac:dyDescent="0.25">
      <c r="A3916" t="s">
        <v>7317</v>
      </c>
      <c r="B3916" t="s">
        <v>7318</v>
      </c>
      <c r="C3916" s="1">
        <v>44083</v>
      </c>
      <c r="D3916" t="b">
        <v>1</v>
      </c>
      <c r="E3916" t="s">
        <v>10</v>
      </c>
      <c r="F3916">
        <v>3291</v>
      </c>
    </row>
    <row r="3917" spans="1:6" x14ac:dyDescent="0.25">
      <c r="A3917" t="s">
        <v>7319</v>
      </c>
      <c r="B3917" t="s">
        <v>7320</v>
      </c>
      <c r="C3917" s="1">
        <v>44083</v>
      </c>
      <c r="D3917" t="b">
        <v>1</v>
      </c>
      <c r="E3917" t="s">
        <v>10</v>
      </c>
      <c r="F3917">
        <v>3292</v>
      </c>
    </row>
    <row r="3918" spans="1:6" x14ac:dyDescent="0.25">
      <c r="A3918" t="s">
        <v>7321</v>
      </c>
      <c r="B3918" t="s">
        <v>7322</v>
      </c>
      <c r="C3918" s="1">
        <v>44083</v>
      </c>
      <c r="D3918" t="b">
        <v>1</v>
      </c>
      <c r="E3918" t="s">
        <v>10</v>
      </c>
      <c r="F3918">
        <v>1344</v>
      </c>
    </row>
    <row r="3919" spans="1:6" x14ac:dyDescent="0.25">
      <c r="A3919" t="s">
        <v>7323</v>
      </c>
      <c r="B3919" t="s">
        <v>7324</v>
      </c>
      <c r="C3919" s="1">
        <v>44083</v>
      </c>
      <c r="D3919" t="b">
        <v>1</v>
      </c>
      <c r="E3919" t="s">
        <v>10</v>
      </c>
      <c r="F3919">
        <v>3293</v>
      </c>
    </row>
    <row r="3920" spans="1:6" x14ac:dyDescent="0.25">
      <c r="A3920" t="s">
        <v>7325</v>
      </c>
      <c r="B3920" t="s">
        <v>7326</v>
      </c>
      <c r="C3920" s="1">
        <v>44083</v>
      </c>
      <c r="D3920" t="b">
        <v>1</v>
      </c>
      <c r="E3920" t="s">
        <v>10</v>
      </c>
      <c r="F3920">
        <v>3294</v>
      </c>
    </row>
    <row r="3921" spans="1:6" x14ac:dyDescent="0.25">
      <c r="A3921" t="s">
        <v>7327</v>
      </c>
      <c r="C3921" s="1">
        <v>44083</v>
      </c>
      <c r="D3921" t="b">
        <v>1</v>
      </c>
      <c r="E3921" t="s">
        <v>10</v>
      </c>
      <c r="F3921">
        <v>3296</v>
      </c>
    </row>
    <row r="3922" spans="1:6" x14ac:dyDescent="0.25">
      <c r="A3922" t="s">
        <v>7328</v>
      </c>
      <c r="C3922" s="1">
        <v>44083</v>
      </c>
      <c r="D3922" t="b">
        <v>1</v>
      </c>
      <c r="E3922" t="s">
        <v>10</v>
      </c>
      <c r="F3922">
        <v>11436</v>
      </c>
    </row>
    <row r="3923" spans="1:6" x14ac:dyDescent="0.25">
      <c r="A3923" t="s">
        <v>7329</v>
      </c>
      <c r="C3923" s="1">
        <v>44083</v>
      </c>
      <c r="D3923" t="b">
        <v>1</v>
      </c>
      <c r="E3923" t="s">
        <v>10</v>
      </c>
      <c r="F3923">
        <v>12076</v>
      </c>
    </row>
    <row r="3924" spans="1:6" x14ac:dyDescent="0.25">
      <c r="A3924" t="s">
        <v>7330</v>
      </c>
      <c r="B3924" t="s">
        <v>7331</v>
      </c>
      <c r="C3924" s="1">
        <v>44083</v>
      </c>
      <c r="D3924" t="b">
        <v>1</v>
      </c>
      <c r="E3924" t="s">
        <v>10</v>
      </c>
      <c r="F3924">
        <v>3297</v>
      </c>
    </row>
    <row r="3925" spans="1:6" x14ac:dyDescent="0.25">
      <c r="A3925" t="s">
        <v>7332</v>
      </c>
      <c r="B3925" t="s">
        <v>7333</v>
      </c>
      <c r="C3925" s="1">
        <v>44083</v>
      </c>
      <c r="D3925" t="b">
        <v>1</v>
      </c>
      <c r="E3925" t="s">
        <v>10</v>
      </c>
      <c r="F3925">
        <v>14461</v>
      </c>
    </row>
    <row r="3926" spans="1:6" x14ac:dyDescent="0.25">
      <c r="A3926" t="s">
        <v>7334</v>
      </c>
      <c r="B3926" t="s">
        <v>7335</v>
      </c>
      <c r="C3926" s="1">
        <v>44083</v>
      </c>
      <c r="D3926" t="b">
        <v>1</v>
      </c>
      <c r="E3926" t="s">
        <v>10</v>
      </c>
      <c r="F3926">
        <v>3298</v>
      </c>
    </row>
    <row r="3927" spans="1:6" x14ac:dyDescent="0.25">
      <c r="A3927" t="s">
        <v>7336</v>
      </c>
      <c r="B3927" t="s">
        <v>7337</v>
      </c>
      <c r="C3927" s="1">
        <v>44083</v>
      </c>
      <c r="D3927" t="b">
        <v>1</v>
      </c>
      <c r="E3927" t="s">
        <v>10</v>
      </c>
      <c r="F3927">
        <v>3299</v>
      </c>
    </row>
    <row r="3928" spans="1:6" x14ac:dyDescent="0.25">
      <c r="A3928" t="s">
        <v>7338</v>
      </c>
      <c r="B3928" t="s">
        <v>7339</v>
      </c>
      <c r="C3928" s="1">
        <v>44083</v>
      </c>
      <c r="D3928" t="b">
        <v>1</v>
      </c>
      <c r="E3928" t="s">
        <v>10</v>
      </c>
      <c r="F3928">
        <v>3300</v>
      </c>
    </row>
    <row r="3929" spans="1:6" x14ac:dyDescent="0.25">
      <c r="A3929" t="s">
        <v>7340</v>
      </c>
      <c r="B3929" t="s">
        <v>7341</v>
      </c>
      <c r="C3929" s="1">
        <v>44083</v>
      </c>
      <c r="D3929" t="b">
        <v>1</v>
      </c>
      <c r="E3929" t="s">
        <v>10</v>
      </c>
      <c r="F3929">
        <v>3303</v>
      </c>
    </row>
    <row r="3930" spans="1:6" x14ac:dyDescent="0.25">
      <c r="A3930" t="s">
        <v>7342</v>
      </c>
      <c r="B3930" t="s">
        <v>7343</v>
      </c>
      <c r="C3930" s="1">
        <v>44083</v>
      </c>
      <c r="D3930" t="b">
        <v>1</v>
      </c>
      <c r="E3930" t="s">
        <v>10</v>
      </c>
      <c r="F3930">
        <v>15871</v>
      </c>
    </row>
    <row r="3931" spans="1:6" x14ac:dyDescent="0.25">
      <c r="A3931" t="s">
        <v>7344</v>
      </c>
      <c r="C3931" s="1">
        <v>44083</v>
      </c>
      <c r="D3931" t="b">
        <v>1</v>
      </c>
      <c r="E3931" t="s">
        <v>10</v>
      </c>
      <c r="F3931">
        <v>13502</v>
      </c>
    </row>
    <row r="3932" spans="1:6" x14ac:dyDescent="0.25">
      <c r="A3932" t="s">
        <v>7345</v>
      </c>
      <c r="B3932" t="s">
        <v>7346</v>
      </c>
      <c r="C3932" s="1">
        <v>44083</v>
      </c>
      <c r="D3932" t="b">
        <v>1</v>
      </c>
      <c r="E3932" t="s">
        <v>10</v>
      </c>
      <c r="F3932">
        <v>3305</v>
      </c>
    </row>
    <row r="3933" spans="1:6" x14ac:dyDescent="0.25">
      <c r="A3933" t="s">
        <v>7347</v>
      </c>
      <c r="B3933" t="s">
        <v>7348</v>
      </c>
      <c r="C3933" s="1">
        <v>44083</v>
      </c>
      <c r="D3933" t="b">
        <v>1</v>
      </c>
      <c r="E3933" t="s">
        <v>10</v>
      </c>
      <c r="F3933">
        <v>9947</v>
      </c>
    </row>
    <row r="3934" spans="1:6" x14ac:dyDescent="0.25">
      <c r="A3934" t="s">
        <v>7349</v>
      </c>
      <c r="B3934" t="s">
        <v>7350</v>
      </c>
      <c r="C3934" s="1">
        <v>44083</v>
      </c>
      <c r="D3934" t="b">
        <v>1</v>
      </c>
      <c r="E3934" t="s">
        <v>10</v>
      </c>
      <c r="F3934">
        <v>3308</v>
      </c>
    </row>
    <row r="3935" spans="1:6" x14ac:dyDescent="0.25">
      <c r="A3935" t="s">
        <v>7351</v>
      </c>
      <c r="B3935" t="s">
        <v>7352</v>
      </c>
      <c r="C3935" s="1">
        <v>44083</v>
      </c>
      <c r="D3935" t="b">
        <v>1</v>
      </c>
      <c r="E3935" t="s">
        <v>10</v>
      </c>
      <c r="F3935">
        <v>3309</v>
      </c>
    </row>
    <row r="3936" spans="1:6" x14ac:dyDescent="0.25">
      <c r="A3936" t="s">
        <v>7353</v>
      </c>
      <c r="C3936" s="1">
        <v>44083</v>
      </c>
      <c r="D3936" t="b">
        <v>1</v>
      </c>
      <c r="E3936" t="s">
        <v>10</v>
      </c>
      <c r="F3936">
        <v>16372</v>
      </c>
    </row>
    <row r="3937" spans="1:6" x14ac:dyDescent="0.25">
      <c r="A3937" t="s">
        <v>7354</v>
      </c>
      <c r="B3937" t="s">
        <v>7355</v>
      </c>
      <c r="C3937" s="1">
        <v>44083</v>
      </c>
      <c r="D3937" t="b">
        <v>1</v>
      </c>
      <c r="E3937" t="s">
        <v>10</v>
      </c>
      <c r="F3937">
        <v>3310</v>
      </c>
    </row>
    <row r="3938" spans="1:6" x14ac:dyDescent="0.25">
      <c r="A3938" t="s">
        <v>7356</v>
      </c>
      <c r="B3938" t="s">
        <v>7357</v>
      </c>
      <c r="C3938" s="1">
        <v>44083</v>
      </c>
      <c r="D3938" t="b">
        <v>1</v>
      </c>
      <c r="E3938" t="s">
        <v>10</v>
      </c>
      <c r="F3938">
        <v>3311</v>
      </c>
    </row>
    <row r="3939" spans="1:6" x14ac:dyDescent="0.25">
      <c r="A3939" t="s">
        <v>7358</v>
      </c>
      <c r="C3939" s="1">
        <v>44083</v>
      </c>
      <c r="D3939" t="b">
        <v>1</v>
      </c>
      <c r="E3939" t="s">
        <v>10</v>
      </c>
      <c r="F3939">
        <v>16896</v>
      </c>
    </row>
    <row r="3940" spans="1:6" x14ac:dyDescent="0.25">
      <c r="A3940" t="s">
        <v>7359</v>
      </c>
      <c r="B3940" t="s">
        <v>7360</v>
      </c>
      <c r="C3940" s="1">
        <v>44083</v>
      </c>
      <c r="D3940" t="b">
        <v>1</v>
      </c>
      <c r="E3940" t="s">
        <v>10</v>
      </c>
      <c r="F3940">
        <v>13460</v>
      </c>
    </row>
    <row r="3941" spans="1:6" x14ac:dyDescent="0.25">
      <c r="A3941" t="s">
        <v>7361</v>
      </c>
      <c r="B3941" t="s">
        <v>7362</v>
      </c>
      <c r="C3941" s="1">
        <v>44083</v>
      </c>
      <c r="D3941" t="b">
        <v>1</v>
      </c>
      <c r="E3941" t="s">
        <v>10</v>
      </c>
      <c r="F3941">
        <v>10228</v>
      </c>
    </row>
    <row r="3942" spans="1:6" x14ac:dyDescent="0.25">
      <c r="A3942" t="s">
        <v>7363</v>
      </c>
      <c r="B3942" t="s">
        <v>7364</v>
      </c>
      <c r="C3942" s="1">
        <v>44083</v>
      </c>
      <c r="D3942" t="b">
        <v>1</v>
      </c>
      <c r="E3942" t="s">
        <v>10</v>
      </c>
      <c r="F3942">
        <v>3319</v>
      </c>
    </row>
    <row r="3943" spans="1:6" x14ac:dyDescent="0.25">
      <c r="A3943" t="s">
        <v>7365</v>
      </c>
      <c r="B3943" t="s">
        <v>7366</v>
      </c>
      <c r="C3943" s="1">
        <v>44083</v>
      </c>
      <c r="D3943" t="b">
        <v>1</v>
      </c>
      <c r="E3943" t="s">
        <v>10</v>
      </c>
      <c r="F3943">
        <v>11509</v>
      </c>
    </row>
    <row r="3944" spans="1:6" x14ac:dyDescent="0.25">
      <c r="A3944" t="s">
        <v>7367</v>
      </c>
      <c r="B3944" t="s">
        <v>7368</v>
      </c>
      <c r="C3944" s="1">
        <v>44083</v>
      </c>
      <c r="D3944" t="b">
        <v>1</v>
      </c>
      <c r="E3944" t="s">
        <v>10</v>
      </c>
      <c r="F3944">
        <v>3322</v>
      </c>
    </row>
    <row r="3945" spans="1:6" x14ac:dyDescent="0.25">
      <c r="A3945" t="s">
        <v>7369</v>
      </c>
      <c r="B3945" t="s">
        <v>7370</v>
      </c>
      <c r="C3945" s="1">
        <v>44083</v>
      </c>
      <c r="D3945" t="b">
        <v>1</v>
      </c>
      <c r="E3945" t="s">
        <v>10</v>
      </c>
      <c r="F3945">
        <v>3323</v>
      </c>
    </row>
    <row r="3946" spans="1:6" x14ac:dyDescent="0.25">
      <c r="A3946" t="s">
        <v>7371</v>
      </c>
      <c r="B3946" t="s">
        <v>7372</v>
      </c>
      <c r="C3946" s="1">
        <v>44083</v>
      </c>
      <c r="D3946" t="b">
        <v>1</v>
      </c>
      <c r="E3946" t="s">
        <v>10</v>
      </c>
      <c r="F3946">
        <v>9193</v>
      </c>
    </row>
    <row r="3947" spans="1:6" x14ac:dyDescent="0.25">
      <c r="A3947" t="s">
        <v>7373</v>
      </c>
      <c r="B3947" t="s">
        <v>7374</v>
      </c>
      <c r="C3947" s="1">
        <v>44083</v>
      </c>
      <c r="D3947" t="b">
        <v>1</v>
      </c>
      <c r="E3947" t="s">
        <v>10</v>
      </c>
      <c r="F3947">
        <v>13783</v>
      </c>
    </row>
    <row r="3948" spans="1:6" x14ac:dyDescent="0.25">
      <c r="A3948" t="s">
        <v>7375</v>
      </c>
      <c r="B3948" t="s">
        <v>7376</v>
      </c>
      <c r="C3948" s="1">
        <v>44083</v>
      </c>
      <c r="D3948" t="b">
        <v>1</v>
      </c>
      <c r="E3948" t="s">
        <v>10</v>
      </c>
      <c r="F3948">
        <v>16448</v>
      </c>
    </row>
    <row r="3949" spans="1:6" x14ac:dyDescent="0.25">
      <c r="A3949" t="s">
        <v>7377</v>
      </c>
      <c r="B3949" t="s">
        <v>7378</v>
      </c>
      <c r="C3949" s="1">
        <v>44083</v>
      </c>
      <c r="D3949" t="b">
        <v>1</v>
      </c>
      <c r="E3949" t="s">
        <v>10</v>
      </c>
      <c r="F3949">
        <v>16044</v>
      </c>
    </row>
    <row r="3950" spans="1:6" x14ac:dyDescent="0.25">
      <c r="A3950" t="s">
        <v>7379</v>
      </c>
      <c r="B3950" t="s">
        <v>7380</v>
      </c>
      <c r="C3950" s="1">
        <v>44083</v>
      </c>
      <c r="D3950" t="b">
        <v>1</v>
      </c>
      <c r="E3950" t="s">
        <v>10</v>
      </c>
      <c r="F3950">
        <v>3324</v>
      </c>
    </row>
    <row r="3951" spans="1:6" x14ac:dyDescent="0.25">
      <c r="A3951" t="s">
        <v>7381</v>
      </c>
      <c r="B3951" t="s">
        <v>7382</v>
      </c>
      <c r="C3951" s="1">
        <v>44083</v>
      </c>
      <c r="D3951" t="b">
        <v>1</v>
      </c>
      <c r="E3951" t="s">
        <v>10</v>
      </c>
      <c r="F3951">
        <v>3325</v>
      </c>
    </row>
    <row r="3952" spans="1:6" x14ac:dyDescent="0.25">
      <c r="A3952" t="s">
        <v>7383</v>
      </c>
      <c r="B3952" t="s">
        <v>7384</v>
      </c>
      <c r="C3952" s="1">
        <v>44083</v>
      </c>
      <c r="D3952" t="b">
        <v>1</v>
      </c>
      <c r="E3952" t="s">
        <v>10</v>
      </c>
      <c r="F3952">
        <v>3326</v>
      </c>
    </row>
    <row r="3953" spans="1:6" x14ac:dyDescent="0.25">
      <c r="A3953" t="s">
        <v>7385</v>
      </c>
      <c r="B3953" t="s">
        <v>7386</v>
      </c>
      <c r="C3953" s="1">
        <v>44083</v>
      </c>
      <c r="D3953" t="b">
        <v>1</v>
      </c>
      <c r="E3953" t="s">
        <v>10</v>
      </c>
      <c r="F3953">
        <v>3327</v>
      </c>
    </row>
    <row r="3954" spans="1:6" x14ac:dyDescent="0.25">
      <c r="A3954" t="s">
        <v>7387</v>
      </c>
      <c r="B3954" t="s">
        <v>7388</v>
      </c>
      <c r="C3954" s="1">
        <v>44083</v>
      </c>
      <c r="D3954" t="b">
        <v>1</v>
      </c>
      <c r="E3954" t="s">
        <v>10</v>
      </c>
      <c r="F3954">
        <v>3328</v>
      </c>
    </row>
    <row r="3955" spans="1:6" x14ac:dyDescent="0.25">
      <c r="A3955" t="s">
        <v>7389</v>
      </c>
      <c r="B3955" t="s">
        <v>7390</v>
      </c>
      <c r="C3955" s="1">
        <v>44083</v>
      </c>
      <c r="D3955" t="b">
        <v>1</v>
      </c>
      <c r="E3955" t="s">
        <v>10</v>
      </c>
      <c r="F3955">
        <v>13221</v>
      </c>
    </row>
    <row r="3956" spans="1:6" x14ac:dyDescent="0.25">
      <c r="A3956" t="s">
        <v>7391</v>
      </c>
      <c r="B3956" t="s">
        <v>7392</v>
      </c>
      <c r="C3956" s="1">
        <v>44083</v>
      </c>
      <c r="D3956" t="b">
        <v>1</v>
      </c>
      <c r="E3956" t="s">
        <v>10</v>
      </c>
      <c r="F3956">
        <v>11756</v>
      </c>
    </row>
    <row r="3957" spans="1:6" x14ac:dyDescent="0.25">
      <c r="A3957" t="s">
        <v>7393</v>
      </c>
      <c r="B3957" t="s">
        <v>7394</v>
      </c>
      <c r="C3957" s="1">
        <v>44083</v>
      </c>
      <c r="D3957" t="b">
        <v>1</v>
      </c>
      <c r="E3957" t="s">
        <v>10</v>
      </c>
      <c r="F3957">
        <v>14394</v>
      </c>
    </row>
    <row r="3958" spans="1:6" x14ac:dyDescent="0.25">
      <c r="A3958" t="s">
        <v>7395</v>
      </c>
      <c r="B3958" t="s">
        <v>7396</v>
      </c>
      <c r="C3958" s="1">
        <v>44083</v>
      </c>
      <c r="D3958" t="b">
        <v>1</v>
      </c>
      <c r="E3958" t="s">
        <v>10</v>
      </c>
      <c r="F3958">
        <v>12026</v>
      </c>
    </row>
    <row r="3959" spans="1:6" x14ac:dyDescent="0.25">
      <c r="A3959" t="s">
        <v>7397</v>
      </c>
      <c r="B3959" t="s">
        <v>7398</v>
      </c>
      <c r="C3959" s="1">
        <v>44083</v>
      </c>
      <c r="D3959" t="b">
        <v>1</v>
      </c>
      <c r="E3959" t="s">
        <v>10</v>
      </c>
      <c r="F3959">
        <v>3332</v>
      </c>
    </row>
    <row r="3960" spans="1:6" x14ac:dyDescent="0.25">
      <c r="A3960" t="s">
        <v>7399</v>
      </c>
      <c r="B3960" t="s">
        <v>7400</v>
      </c>
      <c r="C3960" s="1">
        <v>44083</v>
      </c>
      <c r="D3960" t="b">
        <v>1</v>
      </c>
      <c r="E3960" t="s">
        <v>10</v>
      </c>
      <c r="F3960">
        <v>3333</v>
      </c>
    </row>
    <row r="3961" spans="1:6" x14ac:dyDescent="0.25">
      <c r="A3961" t="s">
        <v>7401</v>
      </c>
      <c r="B3961" t="s">
        <v>7402</v>
      </c>
      <c r="C3961" s="1">
        <v>44083</v>
      </c>
      <c r="D3961" t="b">
        <v>1</v>
      </c>
      <c r="E3961" t="s">
        <v>10</v>
      </c>
      <c r="F3961">
        <v>3336</v>
      </c>
    </row>
    <row r="3962" spans="1:6" x14ac:dyDescent="0.25">
      <c r="A3962" t="s">
        <v>7403</v>
      </c>
      <c r="B3962" t="s">
        <v>7404</v>
      </c>
      <c r="C3962" s="1">
        <v>44083</v>
      </c>
      <c r="D3962" t="b">
        <v>1</v>
      </c>
      <c r="E3962" t="s">
        <v>10</v>
      </c>
      <c r="F3962">
        <v>3119</v>
      </c>
    </row>
    <row r="3963" spans="1:6" x14ac:dyDescent="0.25">
      <c r="A3963" t="s">
        <v>7405</v>
      </c>
      <c r="B3963" t="s">
        <v>7406</v>
      </c>
      <c r="C3963" s="1">
        <v>44083</v>
      </c>
      <c r="D3963" t="b">
        <v>1</v>
      </c>
      <c r="E3963" t="s">
        <v>10</v>
      </c>
      <c r="F3963">
        <v>3337</v>
      </c>
    </row>
    <row r="3964" spans="1:6" x14ac:dyDescent="0.25">
      <c r="A3964" t="s">
        <v>7407</v>
      </c>
      <c r="C3964" s="1">
        <v>44083</v>
      </c>
      <c r="D3964" t="b">
        <v>1</v>
      </c>
      <c r="E3964" t="s">
        <v>10</v>
      </c>
      <c r="F3964">
        <v>9874</v>
      </c>
    </row>
    <row r="3965" spans="1:6" x14ac:dyDescent="0.25">
      <c r="A3965" t="s">
        <v>7408</v>
      </c>
      <c r="C3965" s="1">
        <v>44083</v>
      </c>
      <c r="D3965" t="b">
        <v>1</v>
      </c>
      <c r="E3965" t="s">
        <v>10</v>
      </c>
      <c r="F3965">
        <v>16847</v>
      </c>
    </row>
    <row r="3966" spans="1:6" x14ac:dyDescent="0.25">
      <c r="A3966" t="s">
        <v>7409</v>
      </c>
      <c r="B3966" t="s">
        <v>7410</v>
      </c>
      <c r="C3966" s="1">
        <v>44083</v>
      </c>
      <c r="D3966" t="b">
        <v>1</v>
      </c>
      <c r="E3966" t="s">
        <v>10</v>
      </c>
      <c r="F3966">
        <v>3339</v>
      </c>
    </row>
    <row r="3967" spans="1:6" x14ac:dyDescent="0.25">
      <c r="A3967" t="s">
        <v>7411</v>
      </c>
      <c r="B3967" t="s">
        <v>7412</v>
      </c>
      <c r="C3967" s="1">
        <v>44083</v>
      </c>
      <c r="D3967" t="b">
        <v>1</v>
      </c>
      <c r="E3967" t="s">
        <v>10</v>
      </c>
      <c r="F3967">
        <v>11927</v>
      </c>
    </row>
    <row r="3968" spans="1:6" x14ac:dyDescent="0.25">
      <c r="A3968" t="s">
        <v>7413</v>
      </c>
      <c r="C3968" s="1">
        <v>44083</v>
      </c>
      <c r="D3968" t="b">
        <v>1</v>
      </c>
      <c r="E3968" t="s">
        <v>10</v>
      </c>
      <c r="F3968">
        <v>12043</v>
      </c>
    </row>
    <row r="3969" spans="1:6" x14ac:dyDescent="0.25">
      <c r="A3969" t="s">
        <v>7414</v>
      </c>
      <c r="B3969" t="s">
        <v>7415</v>
      </c>
      <c r="C3969" s="1">
        <v>44083</v>
      </c>
      <c r="D3969" t="b">
        <v>1</v>
      </c>
      <c r="E3969" t="s">
        <v>10</v>
      </c>
      <c r="F3969">
        <v>13615</v>
      </c>
    </row>
    <row r="3970" spans="1:6" x14ac:dyDescent="0.25">
      <c r="A3970" t="s">
        <v>7416</v>
      </c>
      <c r="B3970" t="s">
        <v>7417</v>
      </c>
      <c r="C3970" s="1">
        <v>44083</v>
      </c>
      <c r="D3970" t="b">
        <v>1</v>
      </c>
      <c r="E3970" t="s">
        <v>10</v>
      </c>
      <c r="F3970">
        <v>3340</v>
      </c>
    </row>
    <row r="3971" spans="1:6" x14ac:dyDescent="0.25">
      <c r="A3971" t="s">
        <v>7418</v>
      </c>
      <c r="B3971" t="s">
        <v>7419</v>
      </c>
      <c r="C3971" s="1">
        <v>44083</v>
      </c>
      <c r="D3971" t="b">
        <v>1</v>
      </c>
      <c r="E3971" t="s">
        <v>10</v>
      </c>
      <c r="F3971">
        <v>3342</v>
      </c>
    </row>
    <row r="3972" spans="1:6" x14ac:dyDescent="0.25">
      <c r="A3972" t="s">
        <v>7420</v>
      </c>
      <c r="B3972" t="s">
        <v>7421</v>
      </c>
      <c r="C3972" s="1">
        <v>44083</v>
      </c>
      <c r="D3972" t="b">
        <v>1</v>
      </c>
      <c r="E3972" t="s">
        <v>10</v>
      </c>
      <c r="F3972">
        <v>15954</v>
      </c>
    </row>
    <row r="3973" spans="1:6" x14ac:dyDescent="0.25">
      <c r="A3973" t="s">
        <v>7422</v>
      </c>
      <c r="B3973" t="s">
        <v>7423</v>
      </c>
      <c r="C3973" s="1">
        <v>44083</v>
      </c>
      <c r="D3973" t="b">
        <v>1</v>
      </c>
      <c r="E3973" t="s">
        <v>10</v>
      </c>
      <c r="F3973">
        <v>15818</v>
      </c>
    </row>
    <row r="3974" spans="1:6" x14ac:dyDescent="0.25">
      <c r="A3974" t="s">
        <v>7424</v>
      </c>
      <c r="C3974" s="1">
        <v>44083</v>
      </c>
      <c r="D3974" t="b">
        <v>1</v>
      </c>
      <c r="E3974" t="s">
        <v>10</v>
      </c>
      <c r="F3974">
        <v>15955</v>
      </c>
    </row>
    <row r="3975" spans="1:6" x14ac:dyDescent="0.25">
      <c r="A3975" t="s">
        <v>7425</v>
      </c>
      <c r="B3975" t="s">
        <v>7426</v>
      </c>
      <c r="C3975" s="1">
        <v>44083</v>
      </c>
      <c r="D3975" t="b">
        <v>1</v>
      </c>
      <c r="E3975" t="s">
        <v>10</v>
      </c>
      <c r="F3975">
        <v>3343</v>
      </c>
    </row>
    <row r="3976" spans="1:6" x14ac:dyDescent="0.25">
      <c r="A3976" t="s">
        <v>7427</v>
      </c>
      <c r="B3976" t="s">
        <v>7428</v>
      </c>
      <c r="C3976" s="1">
        <v>44083</v>
      </c>
      <c r="D3976" t="b">
        <v>1</v>
      </c>
      <c r="E3976" t="s">
        <v>10</v>
      </c>
      <c r="F3976">
        <v>3344</v>
      </c>
    </row>
    <row r="3977" spans="1:6" x14ac:dyDescent="0.25">
      <c r="A3977" t="s">
        <v>7429</v>
      </c>
      <c r="B3977" t="s">
        <v>7430</v>
      </c>
      <c r="C3977" s="1">
        <v>44083</v>
      </c>
      <c r="D3977" t="b">
        <v>1</v>
      </c>
      <c r="E3977" t="s">
        <v>10</v>
      </c>
      <c r="F3977">
        <v>13116</v>
      </c>
    </row>
    <row r="3978" spans="1:6" x14ac:dyDescent="0.25">
      <c r="A3978" t="s">
        <v>7431</v>
      </c>
      <c r="B3978" t="s">
        <v>7432</v>
      </c>
      <c r="C3978" s="1">
        <v>44083</v>
      </c>
      <c r="D3978" t="b">
        <v>1</v>
      </c>
      <c r="E3978" t="s">
        <v>10</v>
      </c>
      <c r="F3978">
        <v>14008</v>
      </c>
    </row>
    <row r="3979" spans="1:6" x14ac:dyDescent="0.25">
      <c r="A3979" t="s">
        <v>7433</v>
      </c>
      <c r="B3979" t="s">
        <v>7434</v>
      </c>
      <c r="C3979" s="1">
        <v>44083</v>
      </c>
      <c r="D3979" t="b">
        <v>1</v>
      </c>
      <c r="E3979" t="s">
        <v>10</v>
      </c>
      <c r="F3979">
        <v>3345</v>
      </c>
    </row>
    <row r="3980" spans="1:6" x14ac:dyDescent="0.25">
      <c r="A3980" t="s">
        <v>7435</v>
      </c>
      <c r="B3980" t="s">
        <v>7436</v>
      </c>
      <c r="C3980" s="1">
        <v>44083</v>
      </c>
      <c r="D3980" t="b">
        <v>1</v>
      </c>
      <c r="E3980" t="s">
        <v>10</v>
      </c>
      <c r="F3980">
        <v>3347</v>
      </c>
    </row>
    <row r="3981" spans="1:6" x14ac:dyDescent="0.25">
      <c r="A3981" t="s">
        <v>7437</v>
      </c>
      <c r="B3981" t="s">
        <v>7438</v>
      </c>
      <c r="C3981" s="1">
        <v>44083</v>
      </c>
      <c r="D3981" t="b">
        <v>1</v>
      </c>
      <c r="E3981" t="s">
        <v>10</v>
      </c>
      <c r="F3981">
        <v>8672</v>
      </c>
    </row>
    <row r="3982" spans="1:6" x14ac:dyDescent="0.25">
      <c r="A3982" t="s">
        <v>7439</v>
      </c>
      <c r="B3982" t="s">
        <v>7440</v>
      </c>
      <c r="C3982" s="1">
        <v>44083</v>
      </c>
      <c r="D3982" t="b">
        <v>1</v>
      </c>
      <c r="E3982" t="s">
        <v>10</v>
      </c>
      <c r="F3982">
        <v>14840</v>
      </c>
    </row>
    <row r="3983" spans="1:6" x14ac:dyDescent="0.25">
      <c r="A3983" t="s">
        <v>7441</v>
      </c>
      <c r="B3983" t="s">
        <v>7442</v>
      </c>
      <c r="C3983" s="1">
        <v>44083</v>
      </c>
      <c r="D3983" t="b">
        <v>1</v>
      </c>
      <c r="E3983" t="s">
        <v>10</v>
      </c>
      <c r="F3983">
        <v>3349</v>
      </c>
    </row>
    <row r="3984" spans="1:6" x14ac:dyDescent="0.25">
      <c r="A3984" t="s">
        <v>7443</v>
      </c>
      <c r="B3984" t="s">
        <v>7444</v>
      </c>
      <c r="C3984" s="1">
        <v>44083</v>
      </c>
      <c r="D3984" t="b">
        <v>1</v>
      </c>
      <c r="E3984" t="s">
        <v>10</v>
      </c>
      <c r="F3984">
        <v>3350</v>
      </c>
    </row>
    <row r="3985" spans="1:6" x14ac:dyDescent="0.25">
      <c r="A3985" t="s">
        <v>7445</v>
      </c>
      <c r="B3985" t="s">
        <v>7446</v>
      </c>
      <c r="C3985" s="1">
        <v>44083</v>
      </c>
      <c r="D3985" t="b">
        <v>1</v>
      </c>
      <c r="E3985" t="s">
        <v>10</v>
      </c>
      <c r="F3985">
        <v>12156</v>
      </c>
    </row>
    <row r="3986" spans="1:6" x14ac:dyDescent="0.25">
      <c r="A3986" t="s">
        <v>7447</v>
      </c>
      <c r="B3986" t="s">
        <v>7448</v>
      </c>
      <c r="C3986" s="1">
        <v>44083</v>
      </c>
      <c r="D3986" t="b">
        <v>1</v>
      </c>
      <c r="E3986" t="s">
        <v>10</v>
      </c>
      <c r="F3986">
        <v>14775</v>
      </c>
    </row>
    <row r="3987" spans="1:6" x14ac:dyDescent="0.25">
      <c r="A3987" t="s">
        <v>7449</v>
      </c>
      <c r="B3987" t="s">
        <v>7450</v>
      </c>
      <c r="C3987" s="1">
        <v>44083</v>
      </c>
      <c r="D3987" t="b">
        <v>1</v>
      </c>
      <c r="E3987" t="s">
        <v>10</v>
      </c>
      <c r="F3987">
        <v>3353</v>
      </c>
    </row>
    <row r="3988" spans="1:6" x14ac:dyDescent="0.25">
      <c r="A3988" t="s">
        <v>7451</v>
      </c>
      <c r="B3988" t="s">
        <v>7452</v>
      </c>
      <c r="C3988" s="1">
        <v>44083</v>
      </c>
      <c r="D3988" t="b">
        <v>1</v>
      </c>
      <c r="E3988" t="s">
        <v>10</v>
      </c>
      <c r="F3988">
        <v>12381</v>
      </c>
    </row>
    <row r="3989" spans="1:6" x14ac:dyDescent="0.25">
      <c r="A3989" t="s">
        <v>7453</v>
      </c>
      <c r="B3989" t="s">
        <v>7454</v>
      </c>
      <c r="C3989" s="1">
        <v>44083</v>
      </c>
      <c r="D3989" t="b">
        <v>1</v>
      </c>
      <c r="E3989" t="s">
        <v>10</v>
      </c>
      <c r="F3989">
        <v>3354</v>
      </c>
    </row>
    <row r="3990" spans="1:6" x14ac:dyDescent="0.25">
      <c r="A3990" t="s">
        <v>7455</v>
      </c>
      <c r="B3990" t="s">
        <v>7456</v>
      </c>
      <c r="C3990" s="1">
        <v>44083</v>
      </c>
      <c r="D3990" t="b">
        <v>1</v>
      </c>
      <c r="E3990" t="s">
        <v>10</v>
      </c>
      <c r="F3990">
        <v>14232</v>
      </c>
    </row>
    <row r="3991" spans="1:6" x14ac:dyDescent="0.25">
      <c r="A3991" t="s">
        <v>7457</v>
      </c>
      <c r="C3991" s="1">
        <v>44083</v>
      </c>
      <c r="D3991" t="b">
        <v>1</v>
      </c>
      <c r="E3991" t="s">
        <v>10</v>
      </c>
      <c r="F3991">
        <v>14244</v>
      </c>
    </row>
    <row r="3992" spans="1:6" x14ac:dyDescent="0.25">
      <c r="A3992" t="s">
        <v>7458</v>
      </c>
      <c r="C3992" s="1">
        <v>44083</v>
      </c>
      <c r="D3992" t="b">
        <v>1</v>
      </c>
      <c r="E3992" t="s">
        <v>10</v>
      </c>
      <c r="F3992">
        <v>17171</v>
      </c>
    </row>
    <row r="3993" spans="1:6" x14ac:dyDescent="0.25">
      <c r="A3993" t="s">
        <v>7459</v>
      </c>
      <c r="B3993" t="s">
        <v>7460</v>
      </c>
      <c r="C3993" s="1">
        <v>44083</v>
      </c>
      <c r="D3993" t="b">
        <v>1</v>
      </c>
      <c r="E3993" t="s">
        <v>10</v>
      </c>
      <c r="F3993">
        <v>14668</v>
      </c>
    </row>
    <row r="3994" spans="1:6" x14ac:dyDescent="0.25">
      <c r="A3994" t="s">
        <v>7461</v>
      </c>
      <c r="B3994" t="s">
        <v>7462</v>
      </c>
      <c r="C3994" s="1">
        <v>44083</v>
      </c>
      <c r="D3994" t="b">
        <v>1</v>
      </c>
      <c r="E3994" t="s">
        <v>10</v>
      </c>
      <c r="F3994">
        <v>3355</v>
      </c>
    </row>
    <row r="3995" spans="1:6" x14ac:dyDescent="0.25">
      <c r="A3995" t="s">
        <v>7463</v>
      </c>
      <c r="B3995" t="s">
        <v>7464</v>
      </c>
      <c r="C3995" s="1">
        <v>44083</v>
      </c>
      <c r="D3995" t="b">
        <v>1</v>
      </c>
      <c r="E3995" t="s">
        <v>10</v>
      </c>
      <c r="F3995">
        <v>3356</v>
      </c>
    </row>
    <row r="3996" spans="1:6" x14ac:dyDescent="0.25">
      <c r="A3996" t="s">
        <v>7465</v>
      </c>
      <c r="B3996" t="s">
        <v>7466</v>
      </c>
      <c r="C3996" s="1">
        <v>44083</v>
      </c>
      <c r="D3996" t="b">
        <v>1</v>
      </c>
      <c r="E3996" t="s">
        <v>10</v>
      </c>
      <c r="F3996">
        <v>16479</v>
      </c>
    </row>
    <row r="3997" spans="1:6" x14ac:dyDescent="0.25">
      <c r="A3997" t="s">
        <v>7467</v>
      </c>
      <c r="B3997" t="s">
        <v>7468</v>
      </c>
      <c r="C3997" s="1">
        <v>44083</v>
      </c>
      <c r="D3997" t="b">
        <v>1</v>
      </c>
      <c r="E3997" t="s">
        <v>10</v>
      </c>
      <c r="F3997">
        <v>14009</v>
      </c>
    </row>
    <row r="3998" spans="1:6" x14ac:dyDescent="0.25">
      <c r="A3998" t="s">
        <v>7469</v>
      </c>
      <c r="B3998" t="s">
        <v>7470</v>
      </c>
      <c r="C3998" s="1">
        <v>44083</v>
      </c>
      <c r="D3998" t="b">
        <v>1</v>
      </c>
      <c r="E3998" t="s">
        <v>10</v>
      </c>
      <c r="F3998">
        <v>11486</v>
      </c>
    </row>
    <row r="3999" spans="1:6" x14ac:dyDescent="0.25">
      <c r="A3999" t="s">
        <v>7471</v>
      </c>
      <c r="B3999" t="s">
        <v>7472</v>
      </c>
      <c r="C3999" s="1">
        <v>44083</v>
      </c>
      <c r="D3999" t="b">
        <v>1</v>
      </c>
      <c r="E3999" t="s">
        <v>10</v>
      </c>
      <c r="F3999">
        <v>3358</v>
      </c>
    </row>
    <row r="4000" spans="1:6" x14ac:dyDescent="0.25">
      <c r="A4000" t="s">
        <v>7473</v>
      </c>
      <c r="B4000" t="s">
        <v>7474</v>
      </c>
      <c r="C4000" s="1">
        <v>44083</v>
      </c>
      <c r="D4000" t="b">
        <v>1</v>
      </c>
      <c r="E4000" t="s">
        <v>10</v>
      </c>
      <c r="F4000">
        <v>8172</v>
      </c>
    </row>
    <row r="4001" spans="1:6" x14ac:dyDescent="0.25">
      <c r="A4001" t="s">
        <v>7475</v>
      </c>
      <c r="B4001" t="s">
        <v>7476</v>
      </c>
      <c r="C4001" s="1">
        <v>44083</v>
      </c>
      <c r="D4001" t="b">
        <v>1</v>
      </c>
      <c r="E4001" t="s">
        <v>10</v>
      </c>
      <c r="F4001">
        <v>17051</v>
      </c>
    </row>
    <row r="4002" spans="1:6" x14ac:dyDescent="0.25">
      <c r="A4002" t="s">
        <v>7477</v>
      </c>
      <c r="B4002" t="s">
        <v>7478</v>
      </c>
      <c r="C4002" s="1">
        <v>44083</v>
      </c>
      <c r="D4002" t="b">
        <v>1</v>
      </c>
      <c r="E4002" t="s">
        <v>10</v>
      </c>
      <c r="F4002">
        <v>10127</v>
      </c>
    </row>
    <row r="4003" spans="1:6" x14ac:dyDescent="0.25">
      <c r="A4003" t="s">
        <v>7479</v>
      </c>
      <c r="B4003" t="s">
        <v>7480</v>
      </c>
      <c r="C4003" s="1">
        <v>44083</v>
      </c>
      <c r="D4003" t="b">
        <v>1</v>
      </c>
      <c r="E4003" t="s">
        <v>10</v>
      </c>
      <c r="F4003">
        <v>3359</v>
      </c>
    </row>
    <row r="4004" spans="1:6" x14ac:dyDescent="0.25">
      <c r="A4004" t="s">
        <v>7481</v>
      </c>
      <c r="B4004" t="s">
        <v>7482</v>
      </c>
      <c r="C4004" s="1">
        <v>44083</v>
      </c>
      <c r="D4004" t="b">
        <v>1</v>
      </c>
      <c r="E4004" t="s">
        <v>10</v>
      </c>
      <c r="F4004">
        <v>3360</v>
      </c>
    </row>
    <row r="4005" spans="1:6" x14ac:dyDescent="0.25">
      <c r="A4005" t="s">
        <v>7483</v>
      </c>
      <c r="B4005" t="s">
        <v>7484</v>
      </c>
      <c r="C4005" s="1">
        <v>44083</v>
      </c>
      <c r="D4005" t="b">
        <v>1</v>
      </c>
      <c r="E4005" t="s">
        <v>10</v>
      </c>
      <c r="F4005">
        <v>15840</v>
      </c>
    </row>
    <row r="4006" spans="1:6" x14ac:dyDescent="0.25">
      <c r="A4006" t="s">
        <v>7485</v>
      </c>
      <c r="B4006" t="s">
        <v>7486</v>
      </c>
      <c r="C4006" s="1">
        <v>44083</v>
      </c>
      <c r="D4006" t="b">
        <v>1</v>
      </c>
      <c r="E4006" t="s">
        <v>10</v>
      </c>
      <c r="F4006">
        <v>16915</v>
      </c>
    </row>
    <row r="4007" spans="1:6" x14ac:dyDescent="0.25">
      <c r="A4007" t="s">
        <v>7487</v>
      </c>
      <c r="B4007" t="s">
        <v>7488</v>
      </c>
      <c r="C4007" s="1">
        <v>44083</v>
      </c>
      <c r="D4007" t="b">
        <v>1</v>
      </c>
      <c r="E4007" t="s">
        <v>10</v>
      </c>
      <c r="F4007">
        <v>3363</v>
      </c>
    </row>
    <row r="4008" spans="1:6" x14ac:dyDescent="0.25">
      <c r="A4008" t="s">
        <v>7489</v>
      </c>
      <c r="B4008" t="s">
        <v>7490</v>
      </c>
      <c r="C4008" s="1">
        <v>44083</v>
      </c>
      <c r="D4008" t="b">
        <v>1</v>
      </c>
      <c r="E4008" t="s">
        <v>10</v>
      </c>
      <c r="F4008">
        <v>3364</v>
      </c>
    </row>
    <row r="4009" spans="1:6" x14ac:dyDescent="0.25">
      <c r="A4009" t="s">
        <v>7491</v>
      </c>
      <c r="B4009" t="s">
        <v>7492</v>
      </c>
      <c r="C4009" s="1">
        <v>44083</v>
      </c>
      <c r="D4009" t="b">
        <v>1</v>
      </c>
      <c r="E4009" t="s">
        <v>10</v>
      </c>
      <c r="F4009">
        <v>3365</v>
      </c>
    </row>
    <row r="4010" spans="1:6" x14ac:dyDescent="0.25">
      <c r="A4010" t="s">
        <v>7493</v>
      </c>
      <c r="B4010" t="s">
        <v>7494</v>
      </c>
      <c r="C4010" s="1">
        <v>44083</v>
      </c>
      <c r="D4010" t="b">
        <v>1</v>
      </c>
      <c r="E4010" t="s">
        <v>10</v>
      </c>
      <c r="F4010">
        <v>10841</v>
      </c>
    </row>
    <row r="4011" spans="1:6" x14ac:dyDescent="0.25">
      <c r="A4011" t="s">
        <v>7495</v>
      </c>
      <c r="B4011" t="s">
        <v>7496</v>
      </c>
      <c r="C4011" s="1">
        <v>44083</v>
      </c>
      <c r="D4011" t="b">
        <v>1</v>
      </c>
      <c r="E4011" t="s">
        <v>10</v>
      </c>
      <c r="F4011">
        <v>3366</v>
      </c>
    </row>
    <row r="4012" spans="1:6" x14ac:dyDescent="0.25">
      <c r="A4012" t="s">
        <v>7497</v>
      </c>
      <c r="B4012" t="s">
        <v>7498</v>
      </c>
      <c r="C4012" s="1">
        <v>44083</v>
      </c>
      <c r="D4012" t="b">
        <v>1</v>
      </c>
      <c r="E4012" t="s">
        <v>10</v>
      </c>
      <c r="F4012">
        <v>3367</v>
      </c>
    </row>
    <row r="4013" spans="1:6" x14ac:dyDescent="0.25">
      <c r="A4013" t="s">
        <v>7499</v>
      </c>
      <c r="B4013" t="s">
        <v>7500</v>
      </c>
      <c r="C4013" s="1">
        <v>44083</v>
      </c>
      <c r="D4013" t="b">
        <v>1</v>
      </c>
      <c r="E4013" t="s">
        <v>10</v>
      </c>
      <c r="F4013">
        <v>3368</v>
      </c>
    </row>
    <row r="4014" spans="1:6" x14ac:dyDescent="0.25">
      <c r="A4014" t="s">
        <v>7501</v>
      </c>
      <c r="B4014" t="s">
        <v>7502</v>
      </c>
      <c r="C4014" s="1">
        <v>44083</v>
      </c>
      <c r="D4014" t="b">
        <v>1</v>
      </c>
      <c r="E4014" t="s">
        <v>10</v>
      </c>
      <c r="F4014">
        <v>3369</v>
      </c>
    </row>
    <row r="4015" spans="1:6" x14ac:dyDescent="0.25">
      <c r="A4015" t="s">
        <v>7503</v>
      </c>
      <c r="B4015" t="s">
        <v>7504</v>
      </c>
      <c r="C4015" s="1">
        <v>44083</v>
      </c>
      <c r="D4015" t="b">
        <v>1</v>
      </c>
      <c r="E4015" t="s">
        <v>10</v>
      </c>
      <c r="F4015">
        <v>3370</v>
      </c>
    </row>
    <row r="4016" spans="1:6" x14ac:dyDescent="0.25">
      <c r="A4016" t="s">
        <v>7505</v>
      </c>
      <c r="B4016" t="s">
        <v>7506</v>
      </c>
      <c r="C4016" s="1">
        <v>44083</v>
      </c>
      <c r="D4016" t="b">
        <v>1</v>
      </c>
      <c r="E4016" t="s">
        <v>10</v>
      </c>
      <c r="F4016">
        <v>14718</v>
      </c>
    </row>
    <row r="4017" spans="1:6" x14ac:dyDescent="0.25">
      <c r="A4017" t="s">
        <v>7507</v>
      </c>
      <c r="B4017" t="s">
        <v>7508</v>
      </c>
      <c r="C4017" s="1">
        <v>44083</v>
      </c>
      <c r="D4017" t="b">
        <v>1</v>
      </c>
      <c r="E4017" t="s">
        <v>10</v>
      </c>
      <c r="F4017">
        <v>3371</v>
      </c>
    </row>
    <row r="4018" spans="1:6" x14ac:dyDescent="0.25">
      <c r="A4018" t="s">
        <v>7509</v>
      </c>
      <c r="B4018" t="s">
        <v>7510</v>
      </c>
      <c r="C4018" s="1">
        <v>44083</v>
      </c>
      <c r="D4018" t="b">
        <v>1</v>
      </c>
      <c r="E4018" t="s">
        <v>10</v>
      </c>
      <c r="F4018">
        <v>3372</v>
      </c>
    </row>
    <row r="4019" spans="1:6" x14ac:dyDescent="0.25">
      <c r="A4019" t="s">
        <v>7511</v>
      </c>
      <c r="B4019" t="s">
        <v>7512</v>
      </c>
      <c r="C4019" s="1">
        <v>44083</v>
      </c>
      <c r="D4019" t="b">
        <v>0</v>
      </c>
      <c r="E4019" t="s">
        <v>10</v>
      </c>
      <c r="F4019">
        <v>17042</v>
      </c>
    </row>
    <row r="4020" spans="1:6" x14ac:dyDescent="0.25">
      <c r="A4020" t="s">
        <v>7513</v>
      </c>
      <c r="B4020" t="s">
        <v>7514</v>
      </c>
      <c r="C4020" s="1">
        <v>44083</v>
      </c>
      <c r="D4020" t="b">
        <v>1</v>
      </c>
      <c r="E4020" t="s">
        <v>10</v>
      </c>
      <c r="F4020">
        <v>3377</v>
      </c>
    </row>
    <row r="4021" spans="1:6" x14ac:dyDescent="0.25">
      <c r="A4021" t="s">
        <v>7515</v>
      </c>
      <c r="B4021" t="s">
        <v>7516</v>
      </c>
      <c r="C4021" s="1">
        <v>44083</v>
      </c>
      <c r="D4021" t="b">
        <v>1</v>
      </c>
      <c r="E4021" t="s">
        <v>10</v>
      </c>
      <c r="F4021">
        <v>3378</v>
      </c>
    </row>
    <row r="4022" spans="1:6" x14ac:dyDescent="0.25">
      <c r="A4022" t="s">
        <v>7517</v>
      </c>
      <c r="B4022" t="s">
        <v>7518</v>
      </c>
      <c r="C4022" s="1">
        <v>44083</v>
      </c>
      <c r="D4022" t="b">
        <v>1</v>
      </c>
      <c r="E4022" t="s">
        <v>10</v>
      </c>
      <c r="F4022">
        <v>13111</v>
      </c>
    </row>
    <row r="4023" spans="1:6" x14ac:dyDescent="0.25">
      <c r="A4023" t="s">
        <v>7519</v>
      </c>
      <c r="B4023" t="s">
        <v>7514</v>
      </c>
      <c r="C4023" s="1">
        <v>44083</v>
      </c>
      <c r="D4023" t="b">
        <v>1</v>
      </c>
      <c r="E4023" t="s">
        <v>10</v>
      </c>
      <c r="F4023">
        <v>3383</v>
      </c>
    </row>
    <row r="4024" spans="1:6" x14ac:dyDescent="0.25">
      <c r="A4024" t="s">
        <v>7520</v>
      </c>
      <c r="B4024" t="s">
        <v>7521</v>
      </c>
      <c r="C4024" s="1">
        <v>44083</v>
      </c>
      <c r="D4024" t="b">
        <v>1</v>
      </c>
      <c r="E4024" t="s">
        <v>10</v>
      </c>
      <c r="F4024">
        <v>9551</v>
      </c>
    </row>
    <row r="4025" spans="1:6" x14ac:dyDescent="0.25">
      <c r="A4025" t="s">
        <v>7522</v>
      </c>
      <c r="B4025" t="s">
        <v>7523</v>
      </c>
      <c r="C4025" s="1">
        <v>44083</v>
      </c>
      <c r="D4025" t="b">
        <v>1</v>
      </c>
      <c r="E4025" t="s">
        <v>10</v>
      </c>
      <c r="F4025">
        <v>9816</v>
      </c>
    </row>
    <row r="4026" spans="1:6" x14ac:dyDescent="0.25">
      <c r="A4026" t="s">
        <v>7524</v>
      </c>
      <c r="B4026" t="s">
        <v>7525</v>
      </c>
      <c r="C4026" s="1">
        <v>44083</v>
      </c>
      <c r="D4026" t="b">
        <v>1</v>
      </c>
      <c r="E4026" t="s">
        <v>10</v>
      </c>
      <c r="F4026">
        <v>9817</v>
      </c>
    </row>
    <row r="4027" spans="1:6" x14ac:dyDescent="0.25">
      <c r="A4027" t="s">
        <v>7526</v>
      </c>
      <c r="B4027" t="s">
        <v>7527</v>
      </c>
      <c r="C4027" s="1">
        <v>44083</v>
      </c>
      <c r="D4027" t="b">
        <v>1</v>
      </c>
      <c r="E4027" t="s">
        <v>10</v>
      </c>
      <c r="F4027">
        <v>9818</v>
      </c>
    </row>
    <row r="4028" spans="1:6" x14ac:dyDescent="0.25">
      <c r="A4028" t="s">
        <v>7528</v>
      </c>
      <c r="B4028" t="s">
        <v>7529</v>
      </c>
      <c r="C4028" s="1">
        <v>44083</v>
      </c>
      <c r="D4028" t="b">
        <v>1</v>
      </c>
      <c r="E4028" t="s">
        <v>10</v>
      </c>
      <c r="F4028">
        <v>9819</v>
      </c>
    </row>
    <row r="4029" spans="1:6" x14ac:dyDescent="0.25">
      <c r="A4029" t="s">
        <v>7530</v>
      </c>
      <c r="B4029" t="s">
        <v>7531</v>
      </c>
      <c r="C4029" s="1">
        <v>44083</v>
      </c>
      <c r="D4029" t="b">
        <v>1</v>
      </c>
      <c r="E4029" t="s">
        <v>10</v>
      </c>
      <c r="F4029">
        <v>9820</v>
      </c>
    </row>
    <row r="4030" spans="1:6" x14ac:dyDescent="0.25">
      <c r="A4030" t="s">
        <v>7532</v>
      </c>
      <c r="B4030" t="s">
        <v>7533</v>
      </c>
      <c r="C4030" s="1">
        <v>44083</v>
      </c>
      <c r="D4030" t="b">
        <v>1</v>
      </c>
      <c r="E4030" t="s">
        <v>10</v>
      </c>
      <c r="F4030">
        <v>11830</v>
      </c>
    </row>
    <row r="4031" spans="1:6" x14ac:dyDescent="0.25">
      <c r="A4031" t="s">
        <v>7534</v>
      </c>
      <c r="B4031" t="s">
        <v>7535</v>
      </c>
      <c r="C4031" s="1">
        <v>44083</v>
      </c>
      <c r="D4031" t="b">
        <v>1</v>
      </c>
      <c r="E4031" t="s">
        <v>10</v>
      </c>
      <c r="F4031">
        <v>13385</v>
      </c>
    </row>
    <row r="4032" spans="1:6" x14ac:dyDescent="0.25">
      <c r="A4032" t="s">
        <v>7536</v>
      </c>
      <c r="B4032" t="s">
        <v>7537</v>
      </c>
      <c r="C4032" s="1">
        <v>44083</v>
      </c>
      <c r="D4032" t="b">
        <v>1</v>
      </c>
      <c r="E4032" t="s">
        <v>10</v>
      </c>
      <c r="F4032">
        <v>15049</v>
      </c>
    </row>
    <row r="4033" spans="1:6" x14ac:dyDescent="0.25">
      <c r="A4033" t="s">
        <v>7538</v>
      </c>
      <c r="B4033" t="s">
        <v>7539</v>
      </c>
      <c r="C4033" s="1">
        <v>44083</v>
      </c>
      <c r="D4033" t="b">
        <v>1</v>
      </c>
      <c r="E4033" t="s">
        <v>10</v>
      </c>
      <c r="F4033">
        <v>16089</v>
      </c>
    </row>
    <row r="4034" spans="1:6" x14ac:dyDescent="0.25">
      <c r="A4034" t="s">
        <v>7540</v>
      </c>
      <c r="B4034" t="s">
        <v>7541</v>
      </c>
      <c r="C4034" s="1">
        <v>44083</v>
      </c>
      <c r="D4034" t="b">
        <v>1</v>
      </c>
      <c r="E4034" t="s">
        <v>10</v>
      </c>
      <c r="F4034">
        <v>16880</v>
      </c>
    </row>
    <row r="4035" spans="1:6" x14ac:dyDescent="0.25">
      <c r="A4035" t="s">
        <v>7542</v>
      </c>
      <c r="B4035" t="s">
        <v>7543</v>
      </c>
      <c r="C4035" s="1">
        <v>44083</v>
      </c>
      <c r="D4035" t="b">
        <v>1</v>
      </c>
      <c r="E4035" t="s">
        <v>10</v>
      </c>
      <c r="F4035">
        <v>16977</v>
      </c>
    </row>
    <row r="4036" spans="1:6" x14ac:dyDescent="0.25">
      <c r="A4036" t="s">
        <v>7544</v>
      </c>
      <c r="B4036" t="s">
        <v>7545</v>
      </c>
      <c r="C4036" s="1">
        <v>44083</v>
      </c>
      <c r="D4036" t="b">
        <v>1</v>
      </c>
      <c r="E4036" t="s">
        <v>10</v>
      </c>
      <c r="F4036">
        <v>15708</v>
      </c>
    </row>
    <row r="4037" spans="1:6" x14ac:dyDescent="0.25">
      <c r="A4037" t="s">
        <v>7546</v>
      </c>
      <c r="B4037" t="s">
        <v>7547</v>
      </c>
      <c r="C4037" s="1">
        <v>44083</v>
      </c>
      <c r="D4037" t="b">
        <v>1</v>
      </c>
      <c r="E4037" t="s">
        <v>10</v>
      </c>
      <c r="F4037">
        <v>15709</v>
      </c>
    </row>
    <row r="4038" spans="1:6" x14ac:dyDescent="0.25">
      <c r="A4038" t="s">
        <v>7548</v>
      </c>
      <c r="B4038" t="s">
        <v>7549</v>
      </c>
      <c r="C4038" s="1">
        <v>44083</v>
      </c>
      <c r="D4038" t="b">
        <v>1</v>
      </c>
      <c r="E4038" t="s">
        <v>10</v>
      </c>
      <c r="F4038">
        <v>15710</v>
      </c>
    </row>
    <row r="4039" spans="1:6" x14ac:dyDescent="0.25">
      <c r="A4039" t="s">
        <v>7550</v>
      </c>
      <c r="B4039" t="s">
        <v>7551</v>
      </c>
      <c r="C4039" s="1">
        <v>44083</v>
      </c>
      <c r="D4039" t="b">
        <v>1</v>
      </c>
      <c r="E4039" t="s">
        <v>10</v>
      </c>
      <c r="F4039">
        <v>15711</v>
      </c>
    </row>
    <row r="4040" spans="1:6" x14ac:dyDescent="0.25">
      <c r="A4040" t="s">
        <v>7552</v>
      </c>
      <c r="B4040" t="s">
        <v>7553</v>
      </c>
      <c r="C4040" s="1">
        <v>44083</v>
      </c>
      <c r="D4040" t="b">
        <v>1</v>
      </c>
      <c r="E4040" t="s">
        <v>10</v>
      </c>
      <c r="F4040">
        <v>15712</v>
      </c>
    </row>
    <row r="4041" spans="1:6" x14ac:dyDescent="0.25">
      <c r="A4041" t="s">
        <v>7554</v>
      </c>
      <c r="B4041" t="s">
        <v>7555</v>
      </c>
      <c r="C4041" s="1">
        <v>44083</v>
      </c>
      <c r="D4041" t="b">
        <v>1</v>
      </c>
      <c r="E4041" t="s">
        <v>10</v>
      </c>
      <c r="F4041">
        <v>3384</v>
      </c>
    </row>
    <row r="4042" spans="1:6" x14ac:dyDescent="0.25">
      <c r="A4042" t="s">
        <v>7556</v>
      </c>
      <c r="B4042" t="s">
        <v>7557</v>
      </c>
      <c r="C4042" s="1">
        <v>44083</v>
      </c>
      <c r="D4042" t="b">
        <v>1</v>
      </c>
      <c r="E4042" t="s">
        <v>10</v>
      </c>
      <c r="F4042">
        <v>3386</v>
      </c>
    </row>
    <row r="4043" spans="1:6" x14ac:dyDescent="0.25">
      <c r="A4043" t="s">
        <v>7558</v>
      </c>
      <c r="B4043" t="s">
        <v>7559</v>
      </c>
      <c r="C4043" s="1">
        <v>44083</v>
      </c>
      <c r="D4043" t="b">
        <v>1</v>
      </c>
      <c r="E4043" t="s">
        <v>10</v>
      </c>
      <c r="F4043">
        <v>3387</v>
      </c>
    </row>
    <row r="4044" spans="1:6" x14ac:dyDescent="0.25">
      <c r="A4044" t="s">
        <v>7560</v>
      </c>
      <c r="B4044" t="s">
        <v>7523</v>
      </c>
      <c r="C4044" s="1">
        <v>44083</v>
      </c>
      <c r="D4044" t="b">
        <v>1</v>
      </c>
      <c r="E4044" t="s">
        <v>10</v>
      </c>
      <c r="F4044">
        <v>10474</v>
      </c>
    </row>
    <row r="4045" spans="1:6" x14ac:dyDescent="0.25">
      <c r="A4045" t="s">
        <v>7561</v>
      </c>
      <c r="B4045" t="s">
        <v>7525</v>
      </c>
      <c r="C4045" s="1">
        <v>44083</v>
      </c>
      <c r="D4045" t="b">
        <v>1</v>
      </c>
      <c r="E4045" t="s">
        <v>10</v>
      </c>
      <c r="F4045">
        <v>10475</v>
      </c>
    </row>
    <row r="4046" spans="1:6" x14ac:dyDescent="0.25">
      <c r="A4046" t="s">
        <v>7562</v>
      </c>
      <c r="B4046" t="s">
        <v>7563</v>
      </c>
      <c r="C4046" s="1">
        <v>44083</v>
      </c>
      <c r="D4046" t="b">
        <v>1</v>
      </c>
      <c r="E4046" t="s">
        <v>10</v>
      </c>
      <c r="F4046">
        <v>12785</v>
      </c>
    </row>
    <row r="4047" spans="1:6" x14ac:dyDescent="0.25">
      <c r="A4047" t="s">
        <v>7564</v>
      </c>
      <c r="B4047" t="s">
        <v>7529</v>
      </c>
      <c r="C4047" s="1">
        <v>44083</v>
      </c>
      <c r="D4047" t="b">
        <v>1</v>
      </c>
      <c r="E4047" t="s">
        <v>10</v>
      </c>
      <c r="F4047">
        <v>14267</v>
      </c>
    </row>
    <row r="4048" spans="1:6" x14ac:dyDescent="0.25">
      <c r="A4048" t="s">
        <v>7565</v>
      </c>
      <c r="B4048" t="s">
        <v>7531</v>
      </c>
      <c r="C4048" s="1">
        <v>44083</v>
      </c>
      <c r="D4048" t="b">
        <v>1</v>
      </c>
      <c r="E4048" t="s">
        <v>10</v>
      </c>
      <c r="F4048">
        <v>15227</v>
      </c>
    </row>
    <row r="4049" spans="1:6" x14ac:dyDescent="0.25">
      <c r="A4049" t="s">
        <v>7566</v>
      </c>
      <c r="B4049" t="s">
        <v>7533</v>
      </c>
      <c r="C4049" s="1">
        <v>44083</v>
      </c>
      <c r="D4049" t="b">
        <v>1</v>
      </c>
      <c r="E4049" t="s">
        <v>10</v>
      </c>
      <c r="F4049">
        <v>15590</v>
      </c>
    </row>
    <row r="4050" spans="1:6" x14ac:dyDescent="0.25">
      <c r="A4050" t="s">
        <v>7567</v>
      </c>
      <c r="B4050" t="s">
        <v>7568</v>
      </c>
      <c r="C4050" s="1">
        <v>44083</v>
      </c>
      <c r="D4050" t="b">
        <v>1</v>
      </c>
      <c r="E4050" t="s">
        <v>10</v>
      </c>
      <c r="F4050">
        <v>15612</v>
      </c>
    </row>
    <row r="4051" spans="1:6" x14ac:dyDescent="0.25">
      <c r="A4051" t="s">
        <v>7569</v>
      </c>
      <c r="B4051" t="s">
        <v>7570</v>
      </c>
      <c r="C4051" s="1">
        <v>44083</v>
      </c>
      <c r="D4051" t="b">
        <v>1</v>
      </c>
      <c r="E4051" t="s">
        <v>10</v>
      </c>
      <c r="F4051">
        <v>15648</v>
      </c>
    </row>
    <row r="4052" spans="1:6" x14ac:dyDescent="0.25">
      <c r="A4052" t="s">
        <v>7571</v>
      </c>
      <c r="B4052" t="s">
        <v>7572</v>
      </c>
      <c r="C4052" s="1">
        <v>44083</v>
      </c>
      <c r="D4052" t="b">
        <v>1</v>
      </c>
      <c r="E4052" t="s">
        <v>10</v>
      </c>
      <c r="F4052">
        <v>3388</v>
      </c>
    </row>
    <row r="4053" spans="1:6" x14ac:dyDescent="0.25">
      <c r="A4053" t="s">
        <v>7573</v>
      </c>
      <c r="B4053" t="s">
        <v>7574</v>
      </c>
      <c r="C4053" s="1">
        <v>44083</v>
      </c>
      <c r="D4053" t="b">
        <v>1</v>
      </c>
      <c r="E4053" t="s">
        <v>10</v>
      </c>
      <c r="F4053">
        <v>3389</v>
      </c>
    </row>
    <row r="4054" spans="1:6" x14ac:dyDescent="0.25">
      <c r="A4054" t="s">
        <v>7575</v>
      </c>
      <c r="B4054" t="s">
        <v>7576</v>
      </c>
      <c r="C4054" s="1">
        <v>44083</v>
      </c>
      <c r="D4054" t="b">
        <v>1</v>
      </c>
      <c r="E4054" t="s">
        <v>10</v>
      </c>
      <c r="F4054">
        <v>3390</v>
      </c>
    </row>
    <row r="4055" spans="1:6" x14ac:dyDescent="0.25">
      <c r="A4055" t="s">
        <v>7577</v>
      </c>
      <c r="B4055" t="s">
        <v>7578</v>
      </c>
      <c r="C4055" s="1">
        <v>44083</v>
      </c>
      <c r="D4055" t="b">
        <v>1</v>
      </c>
      <c r="E4055" t="s">
        <v>10</v>
      </c>
      <c r="F4055">
        <v>8215</v>
      </c>
    </row>
    <row r="4056" spans="1:6" x14ac:dyDescent="0.25">
      <c r="A4056" t="s">
        <v>7579</v>
      </c>
      <c r="B4056" t="s">
        <v>7523</v>
      </c>
      <c r="C4056" s="1">
        <v>44083</v>
      </c>
      <c r="D4056" t="b">
        <v>1</v>
      </c>
      <c r="E4056" t="s">
        <v>10</v>
      </c>
      <c r="F4056">
        <v>16556</v>
      </c>
    </row>
    <row r="4057" spans="1:6" x14ac:dyDescent="0.25">
      <c r="A4057" t="s">
        <v>7580</v>
      </c>
      <c r="B4057" t="s">
        <v>7525</v>
      </c>
      <c r="C4057" s="1">
        <v>44083</v>
      </c>
      <c r="D4057" t="b">
        <v>1</v>
      </c>
      <c r="E4057" t="s">
        <v>10</v>
      </c>
      <c r="F4057">
        <v>16557</v>
      </c>
    </row>
    <row r="4058" spans="1:6" x14ac:dyDescent="0.25">
      <c r="A4058" t="s">
        <v>7581</v>
      </c>
      <c r="B4058" t="s">
        <v>7527</v>
      </c>
      <c r="C4058" s="1">
        <v>44083</v>
      </c>
      <c r="D4058" t="b">
        <v>1</v>
      </c>
      <c r="E4058" t="s">
        <v>10</v>
      </c>
      <c r="F4058">
        <v>16558</v>
      </c>
    </row>
    <row r="4059" spans="1:6" x14ac:dyDescent="0.25">
      <c r="A4059" t="s">
        <v>7582</v>
      </c>
      <c r="B4059" t="s">
        <v>7529</v>
      </c>
      <c r="C4059" s="1">
        <v>44083</v>
      </c>
      <c r="D4059" t="b">
        <v>1</v>
      </c>
      <c r="E4059" t="s">
        <v>10</v>
      </c>
      <c r="F4059">
        <v>16559</v>
      </c>
    </row>
    <row r="4060" spans="1:6" x14ac:dyDescent="0.25">
      <c r="A4060" t="s">
        <v>7583</v>
      </c>
      <c r="B4060" t="s">
        <v>7531</v>
      </c>
      <c r="C4060" s="1">
        <v>44083</v>
      </c>
      <c r="D4060" t="b">
        <v>1</v>
      </c>
      <c r="E4060" t="s">
        <v>10</v>
      </c>
      <c r="F4060">
        <v>16560</v>
      </c>
    </row>
    <row r="4061" spans="1:6" x14ac:dyDescent="0.25">
      <c r="A4061" t="s">
        <v>7584</v>
      </c>
      <c r="B4061" t="s">
        <v>7533</v>
      </c>
      <c r="C4061" s="1">
        <v>44083</v>
      </c>
      <c r="D4061" t="b">
        <v>1</v>
      </c>
      <c r="E4061" t="s">
        <v>10</v>
      </c>
      <c r="F4061">
        <v>16561</v>
      </c>
    </row>
    <row r="4062" spans="1:6" x14ac:dyDescent="0.25">
      <c r="A4062" t="s">
        <v>7585</v>
      </c>
      <c r="B4062" t="s">
        <v>7568</v>
      </c>
      <c r="C4062" s="1">
        <v>44083</v>
      </c>
      <c r="D4062" t="b">
        <v>1</v>
      </c>
      <c r="E4062" t="s">
        <v>10</v>
      </c>
      <c r="F4062">
        <v>16562</v>
      </c>
    </row>
    <row r="4063" spans="1:6" x14ac:dyDescent="0.25">
      <c r="A4063" t="s">
        <v>7586</v>
      </c>
      <c r="B4063" t="s">
        <v>7587</v>
      </c>
      <c r="C4063" s="1">
        <v>44083</v>
      </c>
      <c r="D4063" t="b">
        <v>1</v>
      </c>
      <c r="E4063" t="s">
        <v>10</v>
      </c>
      <c r="F4063">
        <v>16563</v>
      </c>
    </row>
    <row r="4064" spans="1:6" x14ac:dyDescent="0.25">
      <c r="A4064" t="s">
        <v>7588</v>
      </c>
      <c r="B4064" t="s">
        <v>7539</v>
      </c>
      <c r="C4064" s="1">
        <v>44083</v>
      </c>
      <c r="D4064" t="b">
        <v>1</v>
      </c>
      <c r="E4064" t="s">
        <v>10</v>
      </c>
      <c r="F4064">
        <v>16564</v>
      </c>
    </row>
    <row r="4065" spans="1:6" x14ac:dyDescent="0.25">
      <c r="A4065" t="s">
        <v>7589</v>
      </c>
      <c r="B4065" t="s">
        <v>7590</v>
      </c>
      <c r="C4065" s="1">
        <v>44083</v>
      </c>
      <c r="D4065" t="b">
        <v>0</v>
      </c>
      <c r="E4065" t="s">
        <v>10</v>
      </c>
      <c r="F4065">
        <v>16978</v>
      </c>
    </row>
    <row r="4066" spans="1:6" x14ac:dyDescent="0.25">
      <c r="A4066" t="s">
        <v>7591</v>
      </c>
      <c r="B4066" t="s">
        <v>7592</v>
      </c>
      <c r="C4066" s="1">
        <v>44083</v>
      </c>
      <c r="D4066" t="b">
        <v>1</v>
      </c>
      <c r="E4066" t="s">
        <v>10</v>
      </c>
      <c r="F4066">
        <v>3391</v>
      </c>
    </row>
    <row r="4067" spans="1:6" x14ac:dyDescent="0.25">
      <c r="A4067" t="s">
        <v>7593</v>
      </c>
      <c r="B4067" t="s">
        <v>7594</v>
      </c>
      <c r="C4067" s="1">
        <v>44083</v>
      </c>
      <c r="D4067" t="b">
        <v>1</v>
      </c>
      <c r="E4067" t="s">
        <v>10</v>
      </c>
      <c r="F4067">
        <v>11262</v>
      </c>
    </row>
    <row r="4068" spans="1:6" x14ac:dyDescent="0.25">
      <c r="A4068" t="s">
        <v>7595</v>
      </c>
      <c r="B4068" t="s">
        <v>7596</v>
      </c>
      <c r="C4068" s="1">
        <v>44083</v>
      </c>
      <c r="D4068" t="b">
        <v>1</v>
      </c>
      <c r="E4068" t="s">
        <v>10</v>
      </c>
      <c r="F4068">
        <v>3393</v>
      </c>
    </row>
    <row r="4069" spans="1:6" x14ac:dyDescent="0.25">
      <c r="A4069" t="s">
        <v>7597</v>
      </c>
      <c r="B4069" t="s">
        <v>7598</v>
      </c>
      <c r="C4069" s="1">
        <v>44083</v>
      </c>
      <c r="D4069" t="b">
        <v>1</v>
      </c>
      <c r="E4069" t="s">
        <v>10</v>
      </c>
      <c r="F4069">
        <v>9516</v>
      </c>
    </row>
    <row r="4070" spans="1:6" x14ac:dyDescent="0.25">
      <c r="A4070" t="s">
        <v>7599</v>
      </c>
      <c r="B4070" t="s">
        <v>7600</v>
      </c>
      <c r="C4070" s="1">
        <v>44083</v>
      </c>
      <c r="D4070" t="b">
        <v>1</v>
      </c>
      <c r="E4070" t="s">
        <v>10</v>
      </c>
      <c r="F4070">
        <v>3395</v>
      </c>
    </row>
    <row r="4071" spans="1:6" x14ac:dyDescent="0.25">
      <c r="A4071" t="s">
        <v>7601</v>
      </c>
      <c r="B4071" t="s">
        <v>7602</v>
      </c>
      <c r="C4071" s="1">
        <v>44083</v>
      </c>
      <c r="D4071" t="b">
        <v>1</v>
      </c>
      <c r="E4071" t="s">
        <v>10</v>
      </c>
      <c r="F4071">
        <v>12355</v>
      </c>
    </row>
    <row r="4072" spans="1:6" x14ac:dyDescent="0.25">
      <c r="A4072" t="s">
        <v>7603</v>
      </c>
      <c r="B4072" t="s">
        <v>7604</v>
      </c>
      <c r="C4072" s="1">
        <v>44083</v>
      </c>
      <c r="D4072" t="b">
        <v>1</v>
      </c>
      <c r="E4072" t="s">
        <v>10</v>
      </c>
      <c r="F4072">
        <v>8868</v>
      </c>
    </row>
    <row r="4073" spans="1:6" x14ac:dyDescent="0.25">
      <c r="A4073" t="s">
        <v>7605</v>
      </c>
      <c r="B4073" t="s">
        <v>7606</v>
      </c>
      <c r="C4073" s="1">
        <v>44083</v>
      </c>
      <c r="D4073" t="b">
        <v>1</v>
      </c>
      <c r="E4073" t="s">
        <v>10</v>
      </c>
      <c r="F4073">
        <v>3396</v>
      </c>
    </row>
    <row r="4074" spans="1:6" x14ac:dyDescent="0.25">
      <c r="A4074" t="s">
        <v>7607</v>
      </c>
      <c r="B4074" t="s">
        <v>7608</v>
      </c>
      <c r="C4074" s="1">
        <v>44083</v>
      </c>
      <c r="D4074" t="b">
        <v>1</v>
      </c>
      <c r="E4074" t="s">
        <v>10</v>
      </c>
      <c r="F4074">
        <v>3398</v>
      </c>
    </row>
    <row r="4075" spans="1:6" x14ac:dyDescent="0.25">
      <c r="A4075" t="s">
        <v>7609</v>
      </c>
      <c r="B4075" t="s">
        <v>7610</v>
      </c>
      <c r="C4075" s="1">
        <v>44083</v>
      </c>
      <c r="D4075" t="b">
        <v>1</v>
      </c>
      <c r="E4075" t="s">
        <v>10</v>
      </c>
      <c r="F4075">
        <v>3399</v>
      </c>
    </row>
    <row r="4076" spans="1:6" x14ac:dyDescent="0.25">
      <c r="A4076" t="s">
        <v>7611</v>
      </c>
      <c r="B4076" t="s">
        <v>7612</v>
      </c>
      <c r="C4076" s="1">
        <v>44083</v>
      </c>
      <c r="D4076" t="b">
        <v>1</v>
      </c>
      <c r="E4076" t="s">
        <v>10</v>
      </c>
      <c r="F4076">
        <v>12093</v>
      </c>
    </row>
    <row r="4077" spans="1:6" x14ac:dyDescent="0.25">
      <c r="A4077" t="s">
        <v>7613</v>
      </c>
      <c r="B4077" t="s">
        <v>7614</v>
      </c>
      <c r="C4077" s="1">
        <v>44083</v>
      </c>
      <c r="D4077" t="b">
        <v>1</v>
      </c>
      <c r="E4077" t="s">
        <v>10</v>
      </c>
      <c r="F4077">
        <v>9308</v>
      </c>
    </row>
    <row r="4078" spans="1:6" x14ac:dyDescent="0.25">
      <c r="A4078" t="s">
        <v>7615</v>
      </c>
      <c r="B4078" t="s">
        <v>7616</v>
      </c>
      <c r="C4078" s="1">
        <v>44083</v>
      </c>
      <c r="D4078" t="b">
        <v>1</v>
      </c>
      <c r="E4078" t="s">
        <v>10</v>
      </c>
      <c r="F4078">
        <v>13633</v>
      </c>
    </row>
    <row r="4079" spans="1:6" x14ac:dyDescent="0.25">
      <c r="A4079" t="s">
        <v>7617</v>
      </c>
      <c r="B4079" t="s">
        <v>7618</v>
      </c>
      <c r="C4079" s="1">
        <v>44083</v>
      </c>
      <c r="D4079" t="b">
        <v>1</v>
      </c>
      <c r="E4079" t="s">
        <v>10</v>
      </c>
      <c r="F4079">
        <v>3403</v>
      </c>
    </row>
    <row r="4080" spans="1:6" x14ac:dyDescent="0.25">
      <c r="A4080" t="s">
        <v>7619</v>
      </c>
      <c r="B4080" t="s">
        <v>7620</v>
      </c>
      <c r="C4080" s="1">
        <v>44083</v>
      </c>
      <c r="D4080" t="b">
        <v>1</v>
      </c>
      <c r="E4080" t="s">
        <v>10</v>
      </c>
      <c r="F4080">
        <v>3404</v>
      </c>
    </row>
    <row r="4081" spans="1:6" x14ac:dyDescent="0.25">
      <c r="A4081" t="s">
        <v>7621</v>
      </c>
      <c r="B4081" t="s">
        <v>7622</v>
      </c>
      <c r="C4081" s="1">
        <v>44083</v>
      </c>
      <c r="D4081" t="b">
        <v>1</v>
      </c>
      <c r="E4081" t="s">
        <v>10</v>
      </c>
      <c r="F4081">
        <v>8270</v>
      </c>
    </row>
    <row r="4082" spans="1:6" x14ac:dyDescent="0.25">
      <c r="A4082" t="s">
        <v>7623</v>
      </c>
      <c r="B4082" t="s">
        <v>7624</v>
      </c>
      <c r="C4082" s="1">
        <v>44083</v>
      </c>
      <c r="D4082" t="b">
        <v>1</v>
      </c>
      <c r="E4082" t="s">
        <v>10</v>
      </c>
      <c r="F4082">
        <v>3406</v>
      </c>
    </row>
    <row r="4083" spans="1:6" x14ac:dyDescent="0.25">
      <c r="A4083" t="s">
        <v>7625</v>
      </c>
      <c r="B4083" t="s">
        <v>7626</v>
      </c>
      <c r="C4083" s="1">
        <v>44083</v>
      </c>
      <c r="D4083" t="b">
        <v>1</v>
      </c>
      <c r="E4083" t="s">
        <v>10</v>
      </c>
      <c r="F4083">
        <v>3407</v>
      </c>
    </row>
    <row r="4084" spans="1:6" x14ac:dyDescent="0.25">
      <c r="A4084" t="s">
        <v>7627</v>
      </c>
      <c r="B4084" t="s">
        <v>7628</v>
      </c>
      <c r="C4084" s="1">
        <v>44083</v>
      </c>
      <c r="D4084" t="b">
        <v>1</v>
      </c>
      <c r="E4084" t="s">
        <v>10</v>
      </c>
      <c r="F4084">
        <v>13026</v>
      </c>
    </row>
    <row r="4085" spans="1:6" x14ac:dyDescent="0.25">
      <c r="A4085" t="s">
        <v>7629</v>
      </c>
      <c r="B4085" t="s">
        <v>7630</v>
      </c>
      <c r="C4085" s="1">
        <v>44083</v>
      </c>
      <c r="D4085" t="b">
        <v>1</v>
      </c>
      <c r="E4085" t="s">
        <v>10</v>
      </c>
      <c r="F4085">
        <v>3408</v>
      </c>
    </row>
    <row r="4086" spans="1:6" x14ac:dyDescent="0.25">
      <c r="A4086" t="s">
        <v>7631</v>
      </c>
      <c r="B4086" t="s">
        <v>7632</v>
      </c>
      <c r="C4086" s="1">
        <v>44083</v>
      </c>
      <c r="D4086" t="b">
        <v>1</v>
      </c>
      <c r="E4086" t="s">
        <v>10</v>
      </c>
      <c r="F4086">
        <v>8161</v>
      </c>
    </row>
    <row r="4087" spans="1:6" x14ac:dyDescent="0.25">
      <c r="A4087" t="s">
        <v>7633</v>
      </c>
      <c r="B4087" t="s">
        <v>7634</v>
      </c>
      <c r="C4087" s="1">
        <v>44083</v>
      </c>
      <c r="D4087" t="b">
        <v>1</v>
      </c>
      <c r="E4087" t="s">
        <v>10</v>
      </c>
      <c r="F4087">
        <v>3409</v>
      </c>
    </row>
    <row r="4088" spans="1:6" x14ac:dyDescent="0.25">
      <c r="A4088" t="s">
        <v>7635</v>
      </c>
      <c r="B4088" t="s">
        <v>7636</v>
      </c>
      <c r="C4088" s="1">
        <v>44083</v>
      </c>
      <c r="D4088" t="b">
        <v>1</v>
      </c>
      <c r="E4088" t="s">
        <v>10</v>
      </c>
      <c r="F4088">
        <v>10073</v>
      </c>
    </row>
    <row r="4089" spans="1:6" x14ac:dyDescent="0.25">
      <c r="A4089" t="s">
        <v>7637</v>
      </c>
      <c r="B4089" t="s">
        <v>7638</v>
      </c>
      <c r="C4089" s="1">
        <v>44083</v>
      </c>
      <c r="D4089" t="b">
        <v>1</v>
      </c>
      <c r="E4089" t="s">
        <v>10</v>
      </c>
      <c r="F4089">
        <v>3410</v>
      </c>
    </row>
    <row r="4090" spans="1:6" x14ac:dyDescent="0.25">
      <c r="A4090" t="s">
        <v>7639</v>
      </c>
      <c r="B4090" t="s">
        <v>7640</v>
      </c>
      <c r="C4090" s="1">
        <v>44083</v>
      </c>
      <c r="D4090" t="b">
        <v>1</v>
      </c>
      <c r="E4090" t="s">
        <v>10</v>
      </c>
      <c r="F4090">
        <v>3411</v>
      </c>
    </row>
    <row r="4091" spans="1:6" x14ac:dyDescent="0.25">
      <c r="A4091" t="s">
        <v>7641</v>
      </c>
      <c r="B4091" t="s">
        <v>7642</v>
      </c>
      <c r="C4091" s="1">
        <v>44083</v>
      </c>
      <c r="D4091" t="b">
        <v>1</v>
      </c>
      <c r="E4091" t="s">
        <v>10</v>
      </c>
      <c r="F4091">
        <v>3412</v>
      </c>
    </row>
    <row r="4092" spans="1:6" x14ac:dyDescent="0.25">
      <c r="A4092" t="s">
        <v>7643</v>
      </c>
      <c r="B4092" t="s">
        <v>7644</v>
      </c>
      <c r="C4092" s="1">
        <v>44083</v>
      </c>
      <c r="D4092" t="b">
        <v>1</v>
      </c>
      <c r="E4092" t="s">
        <v>10</v>
      </c>
      <c r="F4092">
        <v>12493</v>
      </c>
    </row>
    <row r="4093" spans="1:6" x14ac:dyDescent="0.25">
      <c r="A4093" t="s">
        <v>7645</v>
      </c>
      <c r="B4093" t="s">
        <v>7646</v>
      </c>
      <c r="C4093" s="1">
        <v>44083</v>
      </c>
      <c r="D4093" t="b">
        <v>1</v>
      </c>
      <c r="E4093" t="s">
        <v>10</v>
      </c>
      <c r="F4093">
        <v>7658</v>
      </c>
    </row>
    <row r="4094" spans="1:6" x14ac:dyDescent="0.25">
      <c r="A4094" t="s">
        <v>7647</v>
      </c>
      <c r="B4094" t="s">
        <v>7648</v>
      </c>
      <c r="C4094" s="1">
        <v>44083</v>
      </c>
      <c r="D4094" t="b">
        <v>1</v>
      </c>
      <c r="E4094" t="s">
        <v>10</v>
      </c>
      <c r="F4094">
        <v>12128</v>
      </c>
    </row>
    <row r="4095" spans="1:6" x14ac:dyDescent="0.25">
      <c r="A4095" t="s">
        <v>7649</v>
      </c>
      <c r="B4095" t="s">
        <v>7648</v>
      </c>
      <c r="C4095" s="1">
        <v>44083</v>
      </c>
      <c r="D4095" t="b">
        <v>1</v>
      </c>
      <c r="E4095" t="s">
        <v>10</v>
      </c>
      <c r="F4095">
        <v>3414</v>
      </c>
    </row>
    <row r="4096" spans="1:6" x14ac:dyDescent="0.25">
      <c r="A4096" t="s">
        <v>7650</v>
      </c>
      <c r="B4096" t="s">
        <v>7651</v>
      </c>
      <c r="C4096" s="1">
        <v>44083</v>
      </c>
      <c r="D4096" t="b">
        <v>1</v>
      </c>
      <c r="E4096" t="s">
        <v>10</v>
      </c>
      <c r="F4096">
        <v>14108</v>
      </c>
    </row>
    <row r="4097" spans="1:6" x14ac:dyDescent="0.25">
      <c r="A4097" t="s">
        <v>7652</v>
      </c>
      <c r="B4097" t="s">
        <v>7653</v>
      </c>
      <c r="C4097" s="1">
        <v>44083</v>
      </c>
      <c r="D4097" t="b">
        <v>1</v>
      </c>
      <c r="E4097" t="s">
        <v>10</v>
      </c>
      <c r="F4097">
        <v>10808</v>
      </c>
    </row>
    <row r="4098" spans="1:6" x14ac:dyDescent="0.25">
      <c r="A4098" t="s">
        <v>7654</v>
      </c>
      <c r="B4098" t="s">
        <v>7648</v>
      </c>
      <c r="C4098" s="1">
        <v>44083</v>
      </c>
      <c r="D4098" t="b">
        <v>1</v>
      </c>
      <c r="E4098" t="s">
        <v>10</v>
      </c>
      <c r="F4098">
        <v>3417</v>
      </c>
    </row>
    <row r="4099" spans="1:6" x14ac:dyDescent="0.25">
      <c r="A4099" t="s">
        <v>7655</v>
      </c>
      <c r="B4099" t="s">
        <v>7648</v>
      </c>
      <c r="C4099" s="1">
        <v>44083</v>
      </c>
      <c r="D4099" t="b">
        <v>1</v>
      </c>
      <c r="E4099" t="s">
        <v>10</v>
      </c>
      <c r="F4099">
        <v>3413</v>
      </c>
    </row>
    <row r="4100" spans="1:6" x14ac:dyDescent="0.25">
      <c r="A4100" t="s">
        <v>7656</v>
      </c>
      <c r="B4100" t="s">
        <v>7657</v>
      </c>
      <c r="C4100" s="1">
        <v>44083</v>
      </c>
      <c r="D4100" t="b">
        <v>1</v>
      </c>
      <c r="E4100" t="s">
        <v>10</v>
      </c>
      <c r="F4100">
        <v>3418</v>
      </c>
    </row>
    <row r="4101" spans="1:6" x14ac:dyDescent="0.25">
      <c r="A4101" t="s">
        <v>7658</v>
      </c>
      <c r="B4101" t="s">
        <v>7659</v>
      </c>
      <c r="C4101" s="1">
        <v>44083</v>
      </c>
      <c r="D4101" t="b">
        <v>1</v>
      </c>
      <c r="E4101" t="s">
        <v>10</v>
      </c>
      <c r="F4101">
        <v>15814</v>
      </c>
    </row>
    <row r="4102" spans="1:6" x14ac:dyDescent="0.25">
      <c r="A4102" t="s">
        <v>7660</v>
      </c>
      <c r="B4102" t="s">
        <v>7661</v>
      </c>
      <c r="C4102" s="1">
        <v>44083</v>
      </c>
      <c r="D4102" t="b">
        <v>1</v>
      </c>
      <c r="E4102" t="s">
        <v>10</v>
      </c>
      <c r="F4102">
        <v>3419</v>
      </c>
    </row>
    <row r="4103" spans="1:6" x14ac:dyDescent="0.25">
      <c r="A4103" t="s">
        <v>7662</v>
      </c>
      <c r="B4103" t="s">
        <v>7663</v>
      </c>
      <c r="C4103" s="1">
        <v>44083</v>
      </c>
      <c r="D4103" t="b">
        <v>1</v>
      </c>
      <c r="E4103" t="s">
        <v>10</v>
      </c>
      <c r="F4103">
        <v>3420</v>
      </c>
    </row>
    <row r="4104" spans="1:6" x14ac:dyDescent="0.25">
      <c r="A4104" t="s">
        <v>7664</v>
      </c>
      <c r="B4104" t="s">
        <v>7665</v>
      </c>
      <c r="C4104" s="1">
        <v>44083</v>
      </c>
      <c r="D4104" t="b">
        <v>1</v>
      </c>
      <c r="E4104" t="s">
        <v>10</v>
      </c>
      <c r="F4104">
        <v>15634</v>
      </c>
    </row>
    <row r="4105" spans="1:6" x14ac:dyDescent="0.25">
      <c r="A4105" t="s">
        <v>7666</v>
      </c>
      <c r="B4105" t="s">
        <v>7667</v>
      </c>
      <c r="C4105" s="1">
        <v>44083</v>
      </c>
      <c r="D4105" t="b">
        <v>1</v>
      </c>
      <c r="E4105" t="s">
        <v>10</v>
      </c>
      <c r="F4105">
        <v>3423</v>
      </c>
    </row>
    <row r="4106" spans="1:6" x14ac:dyDescent="0.25">
      <c r="A4106" t="s">
        <v>7668</v>
      </c>
      <c r="B4106" t="s">
        <v>7669</v>
      </c>
      <c r="C4106" s="1">
        <v>44083</v>
      </c>
      <c r="D4106" t="b">
        <v>1</v>
      </c>
      <c r="E4106" t="s">
        <v>10</v>
      </c>
      <c r="F4106">
        <v>3425</v>
      </c>
    </row>
    <row r="4107" spans="1:6" x14ac:dyDescent="0.25">
      <c r="A4107" t="s">
        <v>7670</v>
      </c>
      <c r="B4107" t="s">
        <v>7671</v>
      </c>
      <c r="C4107" s="1">
        <v>44083</v>
      </c>
      <c r="D4107" t="b">
        <v>1</v>
      </c>
      <c r="E4107" t="s">
        <v>10</v>
      </c>
      <c r="F4107">
        <v>3426</v>
      </c>
    </row>
    <row r="4108" spans="1:6" x14ac:dyDescent="0.25">
      <c r="A4108" t="s">
        <v>7672</v>
      </c>
      <c r="B4108" t="s">
        <v>7673</v>
      </c>
      <c r="C4108" s="1">
        <v>44083</v>
      </c>
      <c r="D4108" t="b">
        <v>1</v>
      </c>
      <c r="E4108" t="s">
        <v>10</v>
      </c>
      <c r="F4108">
        <v>3427</v>
      </c>
    </row>
    <row r="4109" spans="1:6" x14ac:dyDescent="0.25">
      <c r="A4109" t="s">
        <v>7674</v>
      </c>
      <c r="B4109" t="s">
        <v>7675</v>
      </c>
      <c r="C4109" s="1">
        <v>44083</v>
      </c>
      <c r="D4109" t="b">
        <v>1</v>
      </c>
      <c r="E4109" t="s">
        <v>10</v>
      </c>
      <c r="F4109">
        <v>5319</v>
      </c>
    </row>
    <row r="4110" spans="1:6" x14ac:dyDescent="0.25">
      <c r="A4110" t="s">
        <v>7676</v>
      </c>
      <c r="B4110" t="s">
        <v>7677</v>
      </c>
      <c r="C4110" s="1">
        <v>44083</v>
      </c>
      <c r="D4110" t="b">
        <v>1</v>
      </c>
      <c r="E4110" t="s">
        <v>10</v>
      </c>
      <c r="F4110">
        <v>3429</v>
      </c>
    </row>
    <row r="4111" spans="1:6" x14ac:dyDescent="0.25">
      <c r="A4111" t="s">
        <v>7678</v>
      </c>
      <c r="B4111" t="s">
        <v>7679</v>
      </c>
      <c r="C4111" s="1">
        <v>44083</v>
      </c>
      <c r="D4111" t="b">
        <v>1</v>
      </c>
      <c r="E4111" t="s">
        <v>10</v>
      </c>
      <c r="F4111">
        <v>16216</v>
      </c>
    </row>
    <row r="4112" spans="1:6" x14ac:dyDescent="0.25">
      <c r="A4112" t="s">
        <v>7680</v>
      </c>
      <c r="B4112" t="s">
        <v>7681</v>
      </c>
      <c r="C4112" s="1">
        <v>44083</v>
      </c>
      <c r="D4112" t="b">
        <v>1</v>
      </c>
      <c r="E4112" t="s">
        <v>10</v>
      </c>
      <c r="F4112">
        <v>15676</v>
      </c>
    </row>
    <row r="4113" spans="1:6" x14ac:dyDescent="0.25">
      <c r="A4113" t="s">
        <v>7682</v>
      </c>
      <c r="B4113" t="s">
        <v>7683</v>
      </c>
      <c r="C4113" s="1">
        <v>44083</v>
      </c>
      <c r="D4113" t="b">
        <v>1</v>
      </c>
      <c r="E4113" t="s">
        <v>10</v>
      </c>
      <c r="F4113">
        <v>11760</v>
      </c>
    </row>
    <row r="4114" spans="1:6" x14ac:dyDescent="0.25">
      <c r="A4114" t="s">
        <v>7684</v>
      </c>
      <c r="C4114" s="1">
        <v>44083</v>
      </c>
      <c r="D4114" t="b">
        <v>1</v>
      </c>
      <c r="E4114" t="s">
        <v>10</v>
      </c>
      <c r="F4114">
        <v>11769</v>
      </c>
    </row>
    <row r="4115" spans="1:6" x14ac:dyDescent="0.25">
      <c r="A4115" t="s">
        <v>7685</v>
      </c>
      <c r="B4115" t="s">
        <v>7686</v>
      </c>
      <c r="C4115" s="1">
        <v>44083</v>
      </c>
      <c r="D4115" t="b">
        <v>1</v>
      </c>
      <c r="E4115" t="s">
        <v>10</v>
      </c>
      <c r="F4115">
        <v>3430</v>
      </c>
    </row>
    <row r="4116" spans="1:6" x14ac:dyDescent="0.25">
      <c r="A4116" t="s">
        <v>7687</v>
      </c>
      <c r="B4116" t="s">
        <v>7688</v>
      </c>
      <c r="C4116" s="1">
        <v>44083</v>
      </c>
      <c r="D4116" t="b">
        <v>1</v>
      </c>
      <c r="E4116" t="s">
        <v>10</v>
      </c>
      <c r="F4116">
        <v>14271</v>
      </c>
    </row>
    <row r="4117" spans="1:6" x14ac:dyDescent="0.25">
      <c r="A4117" t="s">
        <v>7689</v>
      </c>
      <c r="B4117" t="s">
        <v>7690</v>
      </c>
      <c r="C4117" s="1">
        <v>44083</v>
      </c>
      <c r="D4117" t="b">
        <v>1</v>
      </c>
      <c r="E4117" t="s">
        <v>10</v>
      </c>
      <c r="F4117">
        <v>14272</v>
      </c>
    </row>
    <row r="4118" spans="1:6" x14ac:dyDescent="0.25">
      <c r="A4118" t="s">
        <v>7691</v>
      </c>
      <c r="B4118" t="s">
        <v>7692</v>
      </c>
      <c r="C4118" s="1">
        <v>44083</v>
      </c>
      <c r="D4118" t="b">
        <v>1</v>
      </c>
      <c r="E4118" t="s">
        <v>10</v>
      </c>
      <c r="F4118">
        <v>3431</v>
      </c>
    </row>
    <row r="4119" spans="1:6" x14ac:dyDescent="0.25">
      <c r="A4119" t="s">
        <v>7693</v>
      </c>
      <c r="B4119" t="s">
        <v>7694</v>
      </c>
      <c r="C4119" s="1">
        <v>44083</v>
      </c>
      <c r="D4119" t="b">
        <v>1</v>
      </c>
      <c r="E4119" t="s">
        <v>10</v>
      </c>
      <c r="F4119">
        <v>3432</v>
      </c>
    </row>
    <row r="4120" spans="1:6" x14ac:dyDescent="0.25">
      <c r="A4120" t="s">
        <v>7695</v>
      </c>
      <c r="B4120" t="s">
        <v>7696</v>
      </c>
      <c r="C4120" s="1">
        <v>44083</v>
      </c>
      <c r="D4120" t="b">
        <v>1</v>
      </c>
      <c r="E4120" t="s">
        <v>10</v>
      </c>
      <c r="F4120">
        <v>14273</v>
      </c>
    </row>
    <row r="4121" spans="1:6" x14ac:dyDescent="0.25">
      <c r="A4121" t="s">
        <v>7697</v>
      </c>
      <c r="B4121" t="s">
        <v>7698</v>
      </c>
      <c r="C4121" s="1">
        <v>44083</v>
      </c>
      <c r="D4121" t="b">
        <v>1</v>
      </c>
      <c r="E4121" t="s">
        <v>10</v>
      </c>
      <c r="F4121">
        <v>14274</v>
      </c>
    </row>
    <row r="4122" spans="1:6" x14ac:dyDescent="0.25">
      <c r="A4122" t="s">
        <v>7699</v>
      </c>
      <c r="B4122" t="s">
        <v>7700</v>
      </c>
      <c r="C4122" s="1">
        <v>44083</v>
      </c>
      <c r="D4122" t="b">
        <v>1</v>
      </c>
      <c r="E4122" t="s">
        <v>10</v>
      </c>
      <c r="F4122">
        <v>3433</v>
      </c>
    </row>
    <row r="4123" spans="1:6" x14ac:dyDescent="0.25">
      <c r="A4123" t="s">
        <v>7701</v>
      </c>
      <c r="B4123" t="s">
        <v>7702</v>
      </c>
      <c r="C4123" s="1">
        <v>44083</v>
      </c>
      <c r="D4123" t="b">
        <v>1</v>
      </c>
      <c r="E4123" t="s">
        <v>10</v>
      </c>
      <c r="F4123">
        <v>14275</v>
      </c>
    </row>
    <row r="4124" spans="1:6" x14ac:dyDescent="0.25">
      <c r="A4124" t="s">
        <v>7703</v>
      </c>
      <c r="B4124" t="s">
        <v>7704</v>
      </c>
      <c r="C4124" s="1">
        <v>44083</v>
      </c>
      <c r="D4124" t="b">
        <v>1</v>
      </c>
      <c r="E4124" t="s">
        <v>10</v>
      </c>
      <c r="F4124">
        <v>14276</v>
      </c>
    </row>
    <row r="4125" spans="1:6" x14ac:dyDescent="0.25">
      <c r="A4125" t="s">
        <v>7705</v>
      </c>
      <c r="B4125" t="s">
        <v>7706</v>
      </c>
      <c r="C4125" s="1">
        <v>44083</v>
      </c>
      <c r="D4125" t="b">
        <v>1</v>
      </c>
      <c r="E4125" t="s">
        <v>10</v>
      </c>
      <c r="F4125">
        <v>3435</v>
      </c>
    </row>
    <row r="4126" spans="1:6" x14ac:dyDescent="0.25">
      <c r="A4126" t="s">
        <v>7707</v>
      </c>
      <c r="B4126" t="s">
        <v>7708</v>
      </c>
      <c r="C4126" s="1">
        <v>44083</v>
      </c>
      <c r="D4126" t="b">
        <v>1</v>
      </c>
      <c r="E4126" t="s">
        <v>10</v>
      </c>
      <c r="F4126">
        <v>3436</v>
      </c>
    </row>
    <row r="4127" spans="1:6" x14ac:dyDescent="0.25">
      <c r="A4127" t="s">
        <v>7709</v>
      </c>
      <c r="B4127" t="s">
        <v>7710</v>
      </c>
      <c r="C4127" s="1">
        <v>44083</v>
      </c>
      <c r="D4127" t="b">
        <v>1</v>
      </c>
      <c r="E4127" t="s">
        <v>10</v>
      </c>
      <c r="F4127">
        <v>3437</v>
      </c>
    </row>
    <row r="4128" spans="1:6" x14ac:dyDescent="0.25">
      <c r="A4128" t="s">
        <v>7711</v>
      </c>
      <c r="B4128" t="s">
        <v>7712</v>
      </c>
      <c r="C4128" s="1">
        <v>44083</v>
      </c>
      <c r="D4128" t="b">
        <v>1</v>
      </c>
      <c r="E4128" t="s">
        <v>10</v>
      </c>
      <c r="F4128">
        <v>3438</v>
      </c>
    </row>
    <row r="4129" spans="1:6" x14ac:dyDescent="0.25">
      <c r="A4129" t="s">
        <v>7713</v>
      </c>
      <c r="B4129" t="s">
        <v>7714</v>
      </c>
      <c r="C4129" s="1">
        <v>44083</v>
      </c>
      <c r="D4129" t="b">
        <v>1</v>
      </c>
      <c r="E4129" t="s">
        <v>10</v>
      </c>
      <c r="F4129">
        <v>14277</v>
      </c>
    </row>
    <row r="4130" spans="1:6" x14ac:dyDescent="0.25">
      <c r="A4130" t="s">
        <v>7715</v>
      </c>
      <c r="B4130" t="s">
        <v>7716</v>
      </c>
      <c r="C4130" s="1">
        <v>44083</v>
      </c>
      <c r="D4130" t="b">
        <v>1</v>
      </c>
      <c r="E4130" t="s">
        <v>10</v>
      </c>
      <c r="F4130">
        <v>8711</v>
      </c>
    </row>
    <row r="4131" spans="1:6" x14ac:dyDescent="0.25">
      <c r="A4131" t="s">
        <v>7717</v>
      </c>
      <c r="B4131" t="s">
        <v>7718</v>
      </c>
      <c r="C4131" s="1">
        <v>44083</v>
      </c>
      <c r="D4131" t="b">
        <v>1</v>
      </c>
      <c r="E4131" t="s">
        <v>10</v>
      </c>
      <c r="F4131">
        <v>3452</v>
      </c>
    </row>
    <row r="4132" spans="1:6" x14ac:dyDescent="0.25">
      <c r="A4132" t="s">
        <v>7719</v>
      </c>
      <c r="B4132" t="s">
        <v>7720</v>
      </c>
      <c r="C4132" s="1">
        <v>44083</v>
      </c>
      <c r="D4132" t="b">
        <v>1</v>
      </c>
      <c r="E4132" t="s">
        <v>10</v>
      </c>
      <c r="F4132">
        <v>3440</v>
      </c>
    </row>
    <row r="4133" spans="1:6" x14ac:dyDescent="0.25">
      <c r="A4133" t="s">
        <v>7721</v>
      </c>
      <c r="B4133" t="s">
        <v>7722</v>
      </c>
      <c r="C4133" s="1">
        <v>44083</v>
      </c>
      <c r="D4133" t="b">
        <v>1</v>
      </c>
      <c r="E4133" t="s">
        <v>10</v>
      </c>
      <c r="F4133">
        <v>3441</v>
      </c>
    </row>
    <row r="4134" spans="1:6" x14ac:dyDescent="0.25">
      <c r="A4134" t="s">
        <v>7723</v>
      </c>
      <c r="B4134" t="s">
        <v>7724</v>
      </c>
      <c r="C4134" s="1">
        <v>44083</v>
      </c>
      <c r="D4134" t="b">
        <v>1</v>
      </c>
      <c r="E4134" t="s">
        <v>10</v>
      </c>
      <c r="F4134">
        <v>3442</v>
      </c>
    </row>
    <row r="4135" spans="1:6" x14ac:dyDescent="0.25">
      <c r="A4135" t="s">
        <v>7725</v>
      </c>
      <c r="B4135" t="s">
        <v>7726</v>
      </c>
      <c r="C4135" s="1">
        <v>44083</v>
      </c>
      <c r="D4135" t="b">
        <v>1</v>
      </c>
      <c r="E4135" t="s">
        <v>10</v>
      </c>
      <c r="F4135">
        <v>3446</v>
      </c>
    </row>
    <row r="4136" spans="1:6" x14ac:dyDescent="0.25">
      <c r="A4136" t="s">
        <v>7727</v>
      </c>
      <c r="C4136" s="1">
        <v>44083</v>
      </c>
      <c r="D4136" t="b">
        <v>1</v>
      </c>
      <c r="E4136" t="s">
        <v>10</v>
      </c>
      <c r="F4136">
        <v>15046</v>
      </c>
    </row>
    <row r="4137" spans="1:6" x14ac:dyDescent="0.25">
      <c r="A4137" t="s">
        <v>7728</v>
      </c>
      <c r="B4137" t="s">
        <v>7729</v>
      </c>
      <c r="C4137" s="1">
        <v>44083</v>
      </c>
      <c r="D4137" t="b">
        <v>1</v>
      </c>
      <c r="E4137" t="s">
        <v>10</v>
      </c>
      <c r="F4137">
        <v>3447</v>
      </c>
    </row>
    <row r="4138" spans="1:6" x14ac:dyDescent="0.25">
      <c r="A4138" t="s">
        <v>7730</v>
      </c>
      <c r="B4138" t="s">
        <v>7731</v>
      </c>
      <c r="C4138" s="1">
        <v>44083</v>
      </c>
      <c r="D4138" t="b">
        <v>1</v>
      </c>
      <c r="E4138" t="s">
        <v>10</v>
      </c>
      <c r="F4138">
        <v>12371</v>
      </c>
    </row>
    <row r="4139" spans="1:6" x14ac:dyDescent="0.25">
      <c r="A4139" t="s">
        <v>7732</v>
      </c>
      <c r="B4139" t="s">
        <v>7733</v>
      </c>
      <c r="C4139" s="1">
        <v>44083</v>
      </c>
      <c r="D4139" t="b">
        <v>1</v>
      </c>
      <c r="E4139" t="s">
        <v>10</v>
      </c>
      <c r="F4139">
        <v>3449</v>
      </c>
    </row>
    <row r="4140" spans="1:6" x14ac:dyDescent="0.25">
      <c r="A4140" t="s">
        <v>7734</v>
      </c>
      <c r="B4140" t="s">
        <v>7735</v>
      </c>
      <c r="C4140" s="1">
        <v>44083</v>
      </c>
      <c r="D4140" t="b">
        <v>1</v>
      </c>
      <c r="E4140" t="s">
        <v>10</v>
      </c>
      <c r="F4140">
        <v>14340</v>
      </c>
    </row>
    <row r="4141" spans="1:6" x14ac:dyDescent="0.25">
      <c r="A4141" t="s">
        <v>7736</v>
      </c>
      <c r="B4141" t="s">
        <v>7737</v>
      </c>
      <c r="C4141" s="1">
        <v>44083</v>
      </c>
      <c r="D4141" t="b">
        <v>1</v>
      </c>
      <c r="E4141" t="s">
        <v>10</v>
      </c>
      <c r="F4141">
        <v>13694</v>
      </c>
    </row>
    <row r="4142" spans="1:6" x14ac:dyDescent="0.25">
      <c r="A4142" t="s">
        <v>7738</v>
      </c>
      <c r="B4142" t="s">
        <v>7739</v>
      </c>
      <c r="C4142" s="1">
        <v>44083</v>
      </c>
      <c r="D4142" t="b">
        <v>1</v>
      </c>
      <c r="E4142" t="s">
        <v>10</v>
      </c>
      <c r="F4142">
        <v>15906</v>
      </c>
    </row>
    <row r="4143" spans="1:6" x14ac:dyDescent="0.25">
      <c r="A4143" t="s">
        <v>7740</v>
      </c>
      <c r="B4143" t="s">
        <v>7741</v>
      </c>
      <c r="C4143" s="1">
        <v>44083</v>
      </c>
      <c r="D4143" t="b">
        <v>1</v>
      </c>
      <c r="E4143" t="s">
        <v>10</v>
      </c>
      <c r="F4143">
        <v>8982</v>
      </c>
    </row>
    <row r="4144" spans="1:6" x14ac:dyDescent="0.25">
      <c r="A4144" t="s">
        <v>7742</v>
      </c>
      <c r="B4144" t="s">
        <v>7743</v>
      </c>
      <c r="C4144" s="1">
        <v>44083</v>
      </c>
      <c r="D4144" t="b">
        <v>1</v>
      </c>
      <c r="E4144" t="s">
        <v>10</v>
      </c>
      <c r="F4144">
        <v>14452</v>
      </c>
    </row>
    <row r="4145" spans="1:6" x14ac:dyDescent="0.25">
      <c r="A4145" t="s">
        <v>7744</v>
      </c>
      <c r="B4145" t="s">
        <v>7745</v>
      </c>
      <c r="C4145" s="1">
        <v>44083</v>
      </c>
      <c r="D4145" t="b">
        <v>1</v>
      </c>
      <c r="E4145" t="s">
        <v>10</v>
      </c>
      <c r="F4145">
        <v>3455</v>
      </c>
    </row>
    <row r="4146" spans="1:6" x14ac:dyDescent="0.25">
      <c r="A4146" t="s">
        <v>7746</v>
      </c>
      <c r="B4146" t="s">
        <v>7747</v>
      </c>
      <c r="C4146" s="1">
        <v>44083</v>
      </c>
      <c r="D4146" t="b">
        <v>1</v>
      </c>
      <c r="E4146" t="s">
        <v>10</v>
      </c>
      <c r="F4146">
        <v>10324</v>
      </c>
    </row>
    <row r="4147" spans="1:6" x14ac:dyDescent="0.25">
      <c r="A4147" t="s">
        <v>7748</v>
      </c>
      <c r="B4147" t="s">
        <v>7749</v>
      </c>
      <c r="C4147" s="1">
        <v>44083</v>
      </c>
      <c r="D4147" t="b">
        <v>1</v>
      </c>
      <c r="E4147" t="s">
        <v>10</v>
      </c>
      <c r="F4147">
        <v>3456</v>
      </c>
    </row>
    <row r="4148" spans="1:6" x14ac:dyDescent="0.25">
      <c r="A4148" t="s">
        <v>7750</v>
      </c>
      <c r="B4148" t="s">
        <v>7751</v>
      </c>
      <c r="C4148" s="1">
        <v>44083</v>
      </c>
      <c r="D4148" t="b">
        <v>1</v>
      </c>
      <c r="E4148" t="s">
        <v>10</v>
      </c>
      <c r="F4148">
        <v>3457</v>
      </c>
    </row>
    <row r="4149" spans="1:6" x14ac:dyDescent="0.25">
      <c r="A4149" t="s">
        <v>7752</v>
      </c>
      <c r="B4149" t="s">
        <v>7753</v>
      </c>
      <c r="C4149" s="1">
        <v>44083</v>
      </c>
      <c r="D4149" t="b">
        <v>1</v>
      </c>
      <c r="E4149" t="s">
        <v>10</v>
      </c>
      <c r="F4149">
        <v>3458</v>
      </c>
    </row>
    <row r="4150" spans="1:6" x14ac:dyDescent="0.25">
      <c r="A4150" t="s">
        <v>7754</v>
      </c>
      <c r="B4150" t="s">
        <v>7755</v>
      </c>
      <c r="C4150" s="1">
        <v>44083</v>
      </c>
      <c r="D4150" t="b">
        <v>1</v>
      </c>
      <c r="E4150" t="s">
        <v>10</v>
      </c>
      <c r="F4150">
        <v>13117</v>
      </c>
    </row>
    <row r="4151" spans="1:6" x14ac:dyDescent="0.25">
      <c r="A4151" t="s">
        <v>7756</v>
      </c>
      <c r="B4151" t="s">
        <v>7757</v>
      </c>
      <c r="C4151" s="1">
        <v>44083</v>
      </c>
      <c r="D4151" t="b">
        <v>1</v>
      </c>
      <c r="E4151" t="s">
        <v>10</v>
      </c>
      <c r="F4151">
        <v>3460</v>
      </c>
    </row>
    <row r="4152" spans="1:6" x14ac:dyDescent="0.25">
      <c r="A4152" t="s">
        <v>7758</v>
      </c>
      <c r="B4152" t="s">
        <v>7759</v>
      </c>
      <c r="C4152" s="1">
        <v>44083</v>
      </c>
      <c r="D4152" t="b">
        <v>1</v>
      </c>
      <c r="E4152" t="s">
        <v>10</v>
      </c>
      <c r="F4152">
        <v>8091</v>
      </c>
    </row>
    <row r="4153" spans="1:6" x14ac:dyDescent="0.25">
      <c r="A4153" t="s">
        <v>7760</v>
      </c>
      <c r="B4153" t="s">
        <v>7761</v>
      </c>
      <c r="C4153" s="1">
        <v>44083</v>
      </c>
      <c r="D4153" t="b">
        <v>1</v>
      </c>
      <c r="E4153" t="s">
        <v>10</v>
      </c>
      <c r="F4153">
        <v>3461</v>
      </c>
    </row>
    <row r="4154" spans="1:6" x14ac:dyDescent="0.25">
      <c r="A4154" t="s">
        <v>7762</v>
      </c>
      <c r="B4154" t="s">
        <v>7763</v>
      </c>
      <c r="C4154" s="1">
        <v>44083</v>
      </c>
      <c r="D4154" t="b">
        <v>1</v>
      </c>
      <c r="E4154" t="s">
        <v>10</v>
      </c>
      <c r="F4154">
        <v>1267</v>
      </c>
    </row>
    <row r="4155" spans="1:6" x14ac:dyDescent="0.25">
      <c r="A4155" t="s">
        <v>7764</v>
      </c>
      <c r="B4155" t="s">
        <v>7765</v>
      </c>
      <c r="C4155" s="1">
        <v>44083</v>
      </c>
      <c r="D4155" t="b">
        <v>1</v>
      </c>
      <c r="E4155" t="s">
        <v>10</v>
      </c>
      <c r="F4155">
        <v>16373</v>
      </c>
    </row>
    <row r="4156" spans="1:6" x14ac:dyDescent="0.25">
      <c r="A4156" t="s">
        <v>7766</v>
      </c>
      <c r="C4156" s="1">
        <v>44083</v>
      </c>
      <c r="D4156" t="b">
        <v>1</v>
      </c>
      <c r="E4156" t="s">
        <v>10</v>
      </c>
      <c r="F4156">
        <v>16627</v>
      </c>
    </row>
    <row r="4157" spans="1:6" x14ac:dyDescent="0.25">
      <c r="A4157" t="s">
        <v>7767</v>
      </c>
      <c r="B4157" t="s">
        <v>7768</v>
      </c>
      <c r="C4157" s="1">
        <v>44083</v>
      </c>
      <c r="D4157" t="b">
        <v>1</v>
      </c>
      <c r="E4157" t="s">
        <v>10</v>
      </c>
      <c r="F4157">
        <v>1313</v>
      </c>
    </row>
    <row r="4158" spans="1:6" x14ac:dyDescent="0.25">
      <c r="A4158" t="s">
        <v>7769</v>
      </c>
      <c r="B4158" t="s">
        <v>7770</v>
      </c>
      <c r="C4158" s="1">
        <v>44083</v>
      </c>
      <c r="D4158" t="b">
        <v>1</v>
      </c>
      <c r="E4158" t="s">
        <v>10</v>
      </c>
      <c r="F4158">
        <v>3463</v>
      </c>
    </row>
    <row r="4159" spans="1:6" x14ac:dyDescent="0.25">
      <c r="A4159" t="s">
        <v>7771</v>
      </c>
      <c r="B4159" t="s">
        <v>7772</v>
      </c>
      <c r="C4159" s="1">
        <v>44083</v>
      </c>
      <c r="D4159" t="b">
        <v>1</v>
      </c>
      <c r="E4159" t="s">
        <v>10</v>
      </c>
      <c r="F4159">
        <v>16019</v>
      </c>
    </row>
    <row r="4160" spans="1:6" x14ac:dyDescent="0.25">
      <c r="A4160" t="s">
        <v>7773</v>
      </c>
      <c r="B4160" t="s">
        <v>7774</v>
      </c>
      <c r="C4160" s="1">
        <v>44083</v>
      </c>
      <c r="D4160" t="b">
        <v>1</v>
      </c>
      <c r="E4160" t="s">
        <v>10</v>
      </c>
      <c r="F4160">
        <v>3464</v>
      </c>
    </row>
    <row r="4161" spans="1:6" x14ac:dyDescent="0.25">
      <c r="A4161" t="s">
        <v>7775</v>
      </c>
      <c r="B4161" t="s">
        <v>7776</v>
      </c>
      <c r="C4161" s="1">
        <v>44083</v>
      </c>
      <c r="D4161" t="b">
        <v>1</v>
      </c>
      <c r="E4161" t="s">
        <v>10</v>
      </c>
      <c r="F4161">
        <v>3466</v>
      </c>
    </row>
    <row r="4162" spans="1:6" x14ac:dyDescent="0.25">
      <c r="A4162" t="s">
        <v>7777</v>
      </c>
      <c r="B4162" t="s">
        <v>7778</v>
      </c>
      <c r="C4162" s="1">
        <v>44083</v>
      </c>
      <c r="D4162" t="b">
        <v>1</v>
      </c>
      <c r="E4162" t="s">
        <v>10</v>
      </c>
      <c r="F4162">
        <v>3467</v>
      </c>
    </row>
    <row r="4163" spans="1:6" x14ac:dyDescent="0.25">
      <c r="A4163" t="s">
        <v>7779</v>
      </c>
      <c r="B4163" t="s">
        <v>7780</v>
      </c>
      <c r="C4163" s="1">
        <v>44083</v>
      </c>
      <c r="D4163" t="b">
        <v>1</v>
      </c>
      <c r="E4163" t="s">
        <v>10</v>
      </c>
      <c r="F4163">
        <v>11387</v>
      </c>
    </row>
    <row r="4164" spans="1:6" x14ac:dyDescent="0.25">
      <c r="A4164" t="s">
        <v>7781</v>
      </c>
      <c r="B4164" t="s">
        <v>7782</v>
      </c>
      <c r="C4164" s="1">
        <v>44083</v>
      </c>
      <c r="D4164" t="b">
        <v>1</v>
      </c>
      <c r="E4164" t="s">
        <v>10</v>
      </c>
      <c r="F4164">
        <v>1513</v>
      </c>
    </row>
    <row r="4165" spans="1:6" x14ac:dyDescent="0.25">
      <c r="A4165" t="s">
        <v>7783</v>
      </c>
      <c r="B4165" t="s">
        <v>7784</v>
      </c>
      <c r="C4165" s="1">
        <v>44083</v>
      </c>
      <c r="D4165" t="b">
        <v>1</v>
      </c>
      <c r="E4165" t="s">
        <v>10</v>
      </c>
      <c r="F4165">
        <v>9894</v>
      </c>
    </row>
    <row r="4166" spans="1:6" x14ac:dyDescent="0.25">
      <c r="A4166" t="s">
        <v>7785</v>
      </c>
      <c r="B4166" t="s">
        <v>7786</v>
      </c>
      <c r="C4166" s="1">
        <v>44083</v>
      </c>
      <c r="D4166" t="b">
        <v>1</v>
      </c>
      <c r="E4166" t="s">
        <v>10</v>
      </c>
      <c r="F4166">
        <v>3472</v>
      </c>
    </row>
    <row r="4167" spans="1:6" x14ac:dyDescent="0.25">
      <c r="A4167" t="s">
        <v>7787</v>
      </c>
      <c r="B4167" t="s">
        <v>7788</v>
      </c>
      <c r="C4167" s="1">
        <v>44083</v>
      </c>
      <c r="D4167" t="b">
        <v>1</v>
      </c>
      <c r="E4167" t="s">
        <v>10</v>
      </c>
      <c r="F4167">
        <v>15815</v>
      </c>
    </row>
    <row r="4168" spans="1:6" x14ac:dyDescent="0.25">
      <c r="A4168" t="s">
        <v>7789</v>
      </c>
      <c r="B4168" t="s">
        <v>7790</v>
      </c>
      <c r="C4168" s="1">
        <v>44083</v>
      </c>
      <c r="D4168" t="b">
        <v>1</v>
      </c>
      <c r="E4168" t="s">
        <v>10</v>
      </c>
      <c r="F4168">
        <v>3473</v>
      </c>
    </row>
    <row r="4169" spans="1:6" x14ac:dyDescent="0.25">
      <c r="A4169" t="s">
        <v>7791</v>
      </c>
      <c r="B4169" t="s">
        <v>7792</v>
      </c>
      <c r="C4169" s="1">
        <v>44083</v>
      </c>
      <c r="D4169" t="b">
        <v>1</v>
      </c>
      <c r="E4169" t="s">
        <v>10</v>
      </c>
      <c r="F4169">
        <v>3474</v>
      </c>
    </row>
    <row r="4170" spans="1:6" x14ac:dyDescent="0.25">
      <c r="A4170" t="s">
        <v>7793</v>
      </c>
      <c r="B4170" t="s">
        <v>7794</v>
      </c>
      <c r="C4170" s="1">
        <v>44083</v>
      </c>
      <c r="D4170" t="b">
        <v>1</v>
      </c>
      <c r="E4170" t="s">
        <v>10</v>
      </c>
      <c r="F4170">
        <v>8598</v>
      </c>
    </row>
    <row r="4171" spans="1:6" x14ac:dyDescent="0.25">
      <c r="A4171" t="s">
        <v>7795</v>
      </c>
      <c r="B4171" t="s">
        <v>7796</v>
      </c>
      <c r="C4171" s="1">
        <v>44083</v>
      </c>
      <c r="D4171" t="b">
        <v>1</v>
      </c>
      <c r="E4171" t="s">
        <v>10</v>
      </c>
      <c r="F4171">
        <v>3475</v>
      </c>
    </row>
    <row r="4172" spans="1:6" x14ac:dyDescent="0.25">
      <c r="A4172" t="s">
        <v>7797</v>
      </c>
      <c r="B4172" t="s">
        <v>7798</v>
      </c>
      <c r="C4172" s="1">
        <v>44083</v>
      </c>
      <c r="D4172" t="b">
        <v>1</v>
      </c>
      <c r="E4172" t="s">
        <v>10</v>
      </c>
      <c r="F4172">
        <v>3476</v>
      </c>
    </row>
    <row r="4173" spans="1:6" x14ac:dyDescent="0.25">
      <c r="A4173" t="s">
        <v>7799</v>
      </c>
      <c r="B4173" t="s">
        <v>7800</v>
      </c>
      <c r="C4173" s="1">
        <v>44083</v>
      </c>
      <c r="D4173" t="b">
        <v>1</v>
      </c>
      <c r="E4173" t="s">
        <v>10</v>
      </c>
      <c r="F4173">
        <v>3477</v>
      </c>
    </row>
    <row r="4174" spans="1:6" x14ac:dyDescent="0.25">
      <c r="A4174" t="s">
        <v>7801</v>
      </c>
      <c r="B4174" t="s">
        <v>7802</v>
      </c>
      <c r="C4174" s="1">
        <v>44083</v>
      </c>
      <c r="D4174" t="b">
        <v>1</v>
      </c>
      <c r="E4174" t="s">
        <v>10</v>
      </c>
      <c r="F4174">
        <v>3478</v>
      </c>
    </row>
    <row r="4175" spans="1:6" x14ac:dyDescent="0.25">
      <c r="A4175" t="s">
        <v>7803</v>
      </c>
      <c r="B4175" t="s">
        <v>7804</v>
      </c>
      <c r="C4175" s="1">
        <v>44083</v>
      </c>
      <c r="D4175" t="b">
        <v>1</v>
      </c>
      <c r="E4175" t="s">
        <v>10</v>
      </c>
      <c r="F4175">
        <v>12008</v>
      </c>
    </row>
    <row r="4176" spans="1:6" x14ac:dyDescent="0.25">
      <c r="A4176" t="s">
        <v>7805</v>
      </c>
      <c r="B4176" t="s">
        <v>7806</v>
      </c>
      <c r="C4176" s="1">
        <v>44083</v>
      </c>
      <c r="D4176" t="b">
        <v>1</v>
      </c>
      <c r="E4176" t="s">
        <v>10</v>
      </c>
      <c r="F4176">
        <v>15948</v>
      </c>
    </row>
    <row r="4177" spans="1:6" x14ac:dyDescent="0.25">
      <c r="A4177" t="s">
        <v>7807</v>
      </c>
      <c r="B4177" t="s">
        <v>7808</v>
      </c>
      <c r="C4177" s="1">
        <v>44083</v>
      </c>
      <c r="D4177" t="b">
        <v>1</v>
      </c>
      <c r="E4177" t="s">
        <v>10</v>
      </c>
      <c r="F4177">
        <v>3480</v>
      </c>
    </row>
    <row r="4178" spans="1:6" x14ac:dyDescent="0.25">
      <c r="A4178" t="s">
        <v>7809</v>
      </c>
      <c r="B4178" t="s">
        <v>7810</v>
      </c>
      <c r="C4178" s="1">
        <v>44083</v>
      </c>
      <c r="D4178" t="b">
        <v>1</v>
      </c>
      <c r="E4178" t="s">
        <v>10</v>
      </c>
      <c r="F4178">
        <v>13492</v>
      </c>
    </row>
    <row r="4179" spans="1:6" x14ac:dyDescent="0.25">
      <c r="A4179" t="s">
        <v>7811</v>
      </c>
      <c r="B4179" t="s">
        <v>7812</v>
      </c>
      <c r="C4179" s="1">
        <v>44083</v>
      </c>
      <c r="D4179" t="b">
        <v>1</v>
      </c>
      <c r="E4179" t="s">
        <v>10</v>
      </c>
      <c r="F4179">
        <v>3481</v>
      </c>
    </row>
    <row r="4180" spans="1:6" x14ac:dyDescent="0.25">
      <c r="A4180" t="s">
        <v>7813</v>
      </c>
      <c r="B4180" t="s">
        <v>7814</v>
      </c>
      <c r="C4180" s="1">
        <v>44083</v>
      </c>
      <c r="D4180" t="b">
        <v>1</v>
      </c>
      <c r="E4180" t="s">
        <v>10</v>
      </c>
      <c r="F4180">
        <v>3482</v>
      </c>
    </row>
    <row r="4181" spans="1:6" x14ac:dyDescent="0.25">
      <c r="A4181" t="s">
        <v>7815</v>
      </c>
      <c r="B4181" t="s">
        <v>7816</v>
      </c>
      <c r="C4181" s="1">
        <v>44083</v>
      </c>
      <c r="D4181" t="b">
        <v>1</v>
      </c>
      <c r="E4181" t="s">
        <v>10</v>
      </c>
      <c r="F4181">
        <v>3483</v>
      </c>
    </row>
    <row r="4182" spans="1:6" x14ac:dyDescent="0.25">
      <c r="A4182" t="s">
        <v>7817</v>
      </c>
      <c r="B4182" t="s">
        <v>7818</v>
      </c>
      <c r="C4182" s="1">
        <v>44083</v>
      </c>
      <c r="D4182" t="b">
        <v>1</v>
      </c>
      <c r="E4182" t="s">
        <v>10</v>
      </c>
      <c r="F4182">
        <v>14854</v>
      </c>
    </row>
    <row r="4183" spans="1:6" x14ac:dyDescent="0.25">
      <c r="A4183" t="s">
        <v>7819</v>
      </c>
      <c r="B4183" t="s">
        <v>7820</v>
      </c>
      <c r="C4183" s="1">
        <v>44083</v>
      </c>
      <c r="D4183" t="b">
        <v>1</v>
      </c>
      <c r="E4183" t="s">
        <v>10</v>
      </c>
      <c r="F4183">
        <v>14855</v>
      </c>
    </row>
    <row r="4184" spans="1:6" x14ac:dyDescent="0.25">
      <c r="A4184" t="s">
        <v>7821</v>
      </c>
      <c r="B4184" t="s">
        <v>7822</v>
      </c>
      <c r="C4184" s="1">
        <v>44083</v>
      </c>
      <c r="D4184" t="b">
        <v>1</v>
      </c>
      <c r="E4184" t="s">
        <v>10</v>
      </c>
      <c r="F4184">
        <v>3484</v>
      </c>
    </row>
    <row r="4185" spans="1:6" x14ac:dyDescent="0.25">
      <c r="A4185" t="s">
        <v>7823</v>
      </c>
      <c r="B4185" t="s">
        <v>7824</v>
      </c>
      <c r="C4185" s="1">
        <v>44083</v>
      </c>
      <c r="D4185" t="b">
        <v>1</v>
      </c>
      <c r="E4185" t="s">
        <v>10</v>
      </c>
      <c r="F4185">
        <v>3485</v>
      </c>
    </row>
    <row r="4186" spans="1:6" x14ac:dyDescent="0.25">
      <c r="A4186" t="s">
        <v>7825</v>
      </c>
      <c r="B4186" t="s">
        <v>7826</v>
      </c>
      <c r="C4186" s="1">
        <v>44083</v>
      </c>
      <c r="D4186" t="b">
        <v>1</v>
      </c>
      <c r="E4186" t="s">
        <v>10</v>
      </c>
      <c r="F4186">
        <v>14730</v>
      </c>
    </row>
    <row r="4187" spans="1:6" x14ac:dyDescent="0.25">
      <c r="A4187" t="s">
        <v>7827</v>
      </c>
      <c r="B4187" t="s">
        <v>7828</v>
      </c>
      <c r="C4187" s="1">
        <v>44083</v>
      </c>
      <c r="D4187" t="b">
        <v>1</v>
      </c>
      <c r="E4187" t="s">
        <v>10</v>
      </c>
      <c r="F4187">
        <v>3488</v>
      </c>
    </row>
    <row r="4188" spans="1:6" x14ac:dyDescent="0.25">
      <c r="A4188" t="s">
        <v>7829</v>
      </c>
      <c r="B4188" t="s">
        <v>7830</v>
      </c>
      <c r="C4188" s="1">
        <v>44083</v>
      </c>
      <c r="D4188" t="b">
        <v>1</v>
      </c>
      <c r="E4188" t="s">
        <v>10</v>
      </c>
      <c r="F4188">
        <v>3489</v>
      </c>
    </row>
    <row r="4189" spans="1:6" x14ac:dyDescent="0.25">
      <c r="A4189" t="s">
        <v>7831</v>
      </c>
      <c r="B4189" t="s">
        <v>7832</v>
      </c>
      <c r="C4189" s="1">
        <v>44083</v>
      </c>
      <c r="D4189" t="b">
        <v>1</v>
      </c>
      <c r="E4189" t="s">
        <v>10</v>
      </c>
      <c r="F4189">
        <v>11984</v>
      </c>
    </row>
    <row r="4190" spans="1:6" x14ac:dyDescent="0.25">
      <c r="A4190" t="s">
        <v>7833</v>
      </c>
      <c r="C4190" s="1">
        <v>44083</v>
      </c>
      <c r="D4190" t="b">
        <v>1</v>
      </c>
      <c r="E4190" t="s">
        <v>10</v>
      </c>
      <c r="F4190">
        <v>13616</v>
      </c>
    </row>
    <row r="4191" spans="1:6" x14ac:dyDescent="0.25">
      <c r="A4191" t="s">
        <v>7834</v>
      </c>
      <c r="B4191" t="s">
        <v>7835</v>
      </c>
      <c r="C4191" s="1">
        <v>44083</v>
      </c>
      <c r="D4191" t="b">
        <v>1</v>
      </c>
      <c r="E4191" t="s">
        <v>10</v>
      </c>
      <c r="F4191">
        <v>3490</v>
      </c>
    </row>
    <row r="4192" spans="1:6" x14ac:dyDescent="0.25">
      <c r="A4192" t="s">
        <v>7836</v>
      </c>
      <c r="C4192" s="1">
        <v>44083</v>
      </c>
      <c r="D4192" t="b">
        <v>1</v>
      </c>
      <c r="E4192" t="s">
        <v>10</v>
      </c>
      <c r="F4192">
        <v>17067</v>
      </c>
    </row>
    <row r="4193" spans="1:6" x14ac:dyDescent="0.25">
      <c r="A4193" t="s">
        <v>7837</v>
      </c>
      <c r="B4193" t="s">
        <v>7838</v>
      </c>
      <c r="C4193" s="1">
        <v>44083</v>
      </c>
      <c r="D4193" t="b">
        <v>1</v>
      </c>
      <c r="E4193" t="s">
        <v>10</v>
      </c>
      <c r="F4193">
        <v>16430</v>
      </c>
    </row>
    <row r="4194" spans="1:6" x14ac:dyDescent="0.25">
      <c r="A4194" t="s">
        <v>7839</v>
      </c>
      <c r="B4194" t="s">
        <v>7840</v>
      </c>
      <c r="C4194" s="1">
        <v>44083</v>
      </c>
      <c r="D4194" t="b">
        <v>1</v>
      </c>
      <c r="E4194" t="s">
        <v>10</v>
      </c>
      <c r="F4194">
        <v>3491</v>
      </c>
    </row>
    <row r="4195" spans="1:6" x14ac:dyDescent="0.25">
      <c r="A4195" t="s">
        <v>7841</v>
      </c>
      <c r="B4195" t="s">
        <v>7842</v>
      </c>
      <c r="C4195" s="1">
        <v>44083</v>
      </c>
      <c r="D4195" t="b">
        <v>1</v>
      </c>
      <c r="E4195" t="s">
        <v>10</v>
      </c>
      <c r="F4195">
        <v>3492</v>
      </c>
    </row>
    <row r="4196" spans="1:6" x14ac:dyDescent="0.25">
      <c r="A4196" t="s">
        <v>7843</v>
      </c>
      <c r="B4196" t="s">
        <v>7844</v>
      </c>
      <c r="C4196" s="1">
        <v>44083</v>
      </c>
      <c r="D4196" t="b">
        <v>1</v>
      </c>
      <c r="E4196" t="s">
        <v>10</v>
      </c>
      <c r="F4196">
        <v>3493</v>
      </c>
    </row>
    <row r="4197" spans="1:6" x14ac:dyDescent="0.25">
      <c r="A4197" t="s">
        <v>7845</v>
      </c>
      <c r="B4197" t="s">
        <v>7846</v>
      </c>
      <c r="C4197" s="1">
        <v>44083</v>
      </c>
      <c r="D4197" t="b">
        <v>1</v>
      </c>
      <c r="E4197" t="s">
        <v>10</v>
      </c>
      <c r="F4197">
        <v>3494</v>
      </c>
    </row>
    <row r="4198" spans="1:6" x14ac:dyDescent="0.25">
      <c r="A4198" t="s">
        <v>7847</v>
      </c>
      <c r="B4198" t="s">
        <v>7848</v>
      </c>
      <c r="C4198" s="1">
        <v>44083</v>
      </c>
      <c r="D4198" t="b">
        <v>1</v>
      </c>
      <c r="E4198" t="s">
        <v>10</v>
      </c>
      <c r="F4198">
        <v>3495</v>
      </c>
    </row>
    <row r="4199" spans="1:6" x14ac:dyDescent="0.25">
      <c r="A4199" t="s">
        <v>7849</v>
      </c>
      <c r="B4199" t="s">
        <v>7850</v>
      </c>
      <c r="C4199" s="1">
        <v>44083</v>
      </c>
      <c r="D4199" t="b">
        <v>1</v>
      </c>
      <c r="E4199" t="s">
        <v>10</v>
      </c>
      <c r="F4199">
        <v>3496</v>
      </c>
    </row>
    <row r="4200" spans="1:6" x14ac:dyDescent="0.25">
      <c r="A4200" t="s">
        <v>7851</v>
      </c>
      <c r="B4200" t="s">
        <v>7852</v>
      </c>
      <c r="C4200" s="1">
        <v>44083</v>
      </c>
      <c r="D4200" t="b">
        <v>1</v>
      </c>
      <c r="E4200" t="s">
        <v>10</v>
      </c>
      <c r="F4200">
        <v>15891</v>
      </c>
    </row>
    <row r="4201" spans="1:6" x14ac:dyDescent="0.25">
      <c r="A4201" t="s">
        <v>7853</v>
      </c>
      <c r="B4201" t="s">
        <v>7854</v>
      </c>
      <c r="C4201" s="1">
        <v>44083</v>
      </c>
      <c r="D4201" t="b">
        <v>1</v>
      </c>
      <c r="E4201" t="s">
        <v>10</v>
      </c>
      <c r="F4201">
        <v>3498</v>
      </c>
    </row>
    <row r="4202" spans="1:6" x14ac:dyDescent="0.25">
      <c r="A4202" t="s">
        <v>7855</v>
      </c>
      <c r="B4202" t="s">
        <v>7856</v>
      </c>
      <c r="C4202" s="1">
        <v>44083</v>
      </c>
      <c r="D4202" t="b">
        <v>1</v>
      </c>
      <c r="E4202" t="s">
        <v>10</v>
      </c>
      <c r="F4202">
        <v>3501</v>
      </c>
    </row>
    <row r="4203" spans="1:6" x14ac:dyDescent="0.25">
      <c r="A4203" t="s">
        <v>7857</v>
      </c>
      <c r="B4203" t="s">
        <v>7858</v>
      </c>
      <c r="C4203" s="1">
        <v>44083</v>
      </c>
      <c r="D4203" t="b">
        <v>1</v>
      </c>
      <c r="E4203" t="s">
        <v>10</v>
      </c>
      <c r="F4203">
        <v>3502</v>
      </c>
    </row>
    <row r="4204" spans="1:6" x14ac:dyDescent="0.25">
      <c r="A4204" t="s">
        <v>7859</v>
      </c>
      <c r="B4204" t="s">
        <v>7860</v>
      </c>
      <c r="C4204" s="1">
        <v>44083</v>
      </c>
      <c r="D4204" t="b">
        <v>1</v>
      </c>
      <c r="E4204" t="s">
        <v>10</v>
      </c>
      <c r="F4204">
        <v>14010</v>
      </c>
    </row>
    <row r="4205" spans="1:6" x14ac:dyDescent="0.25">
      <c r="A4205" t="s">
        <v>7861</v>
      </c>
      <c r="B4205" t="s">
        <v>7862</v>
      </c>
      <c r="C4205" s="1">
        <v>44083</v>
      </c>
      <c r="D4205" t="b">
        <v>1</v>
      </c>
      <c r="E4205" t="s">
        <v>10</v>
      </c>
      <c r="F4205">
        <v>3503</v>
      </c>
    </row>
    <row r="4206" spans="1:6" x14ac:dyDescent="0.25">
      <c r="A4206" t="s">
        <v>7863</v>
      </c>
      <c r="B4206" t="s">
        <v>7864</v>
      </c>
      <c r="C4206" s="1">
        <v>44083</v>
      </c>
      <c r="D4206" t="b">
        <v>1</v>
      </c>
      <c r="E4206" t="s">
        <v>10</v>
      </c>
      <c r="F4206">
        <v>16238</v>
      </c>
    </row>
    <row r="4207" spans="1:6" x14ac:dyDescent="0.25">
      <c r="A4207" t="s">
        <v>7865</v>
      </c>
      <c r="B4207" t="s">
        <v>7866</v>
      </c>
      <c r="C4207" s="1">
        <v>44083</v>
      </c>
      <c r="D4207" t="b">
        <v>1</v>
      </c>
      <c r="E4207" t="s">
        <v>10</v>
      </c>
      <c r="F4207">
        <v>15040</v>
      </c>
    </row>
    <row r="4208" spans="1:6" x14ac:dyDescent="0.25">
      <c r="A4208" t="s">
        <v>7867</v>
      </c>
      <c r="C4208" s="1">
        <v>44083</v>
      </c>
      <c r="D4208" t="b">
        <v>1</v>
      </c>
      <c r="E4208" t="s">
        <v>10</v>
      </c>
      <c r="F4208">
        <v>15432</v>
      </c>
    </row>
    <row r="4209" spans="1:6" x14ac:dyDescent="0.25">
      <c r="A4209" t="s">
        <v>7868</v>
      </c>
      <c r="B4209" t="s">
        <v>7869</v>
      </c>
      <c r="C4209" s="1">
        <v>44083</v>
      </c>
      <c r="D4209" t="b">
        <v>1</v>
      </c>
      <c r="E4209" t="s">
        <v>10</v>
      </c>
      <c r="F4209">
        <v>3505</v>
      </c>
    </row>
    <row r="4210" spans="1:6" x14ac:dyDescent="0.25">
      <c r="A4210" t="s">
        <v>7870</v>
      </c>
      <c r="B4210" t="s">
        <v>7871</v>
      </c>
      <c r="C4210" s="1">
        <v>44083</v>
      </c>
      <c r="D4210" t="b">
        <v>1</v>
      </c>
      <c r="E4210" t="s">
        <v>10</v>
      </c>
      <c r="F4210">
        <v>7390</v>
      </c>
    </row>
    <row r="4211" spans="1:6" x14ac:dyDescent="0.25">
      <c r="A4211" t="s">
        <v>7872</v>
      </c>
      <c r="B4211" t="s">
        <v>7873</v>
      </c>
      <c r="C4211" s="1">
        <v>44083</v>
      </c>
      <c r="D4211" t="b">
        <v>1</v>
      </c>
      <c r="E4211" t="s">
        <v>10</v>
      </c>
      <c r="F4211">
        <v>3508</v>
      </c>
    </row>
    <row r="4212" spans="1:6" x14ac:dyDescent="0.25">
      <c r="A4212" t="s">
        <v>7874</v>
      </c>
      <c r="B4212" t="s">
        <v>7875</v>
      </c>
      <c r="C4212" s="1">
        <v>44083</v>
      </c>
      <c r="D4212" t="b">
        <v>1</v>
      </c>
      <c r="E4212" t="s">
        <v>10</v>
      </c>
      <c r="F4212">
        <v>3509</v>
      </c>
    </row>
    <row r="4213" spans="1:6" x14ac:dyDescent="0.25">
      <c r="A4213" t="s">
        <v>7876</v>
      </c>
      <c r="B4213" t="s">
        <v>7877</v>
      </c>
      <c r="C4213" s="1">
        <v>44083</v>
      </c>
      <c r="D4213" t="b">
        <v>1</v>
      </c>
      <c r="E4213" t="s">
        <v>10</v>
      </c>
      <c r="F4213">
        <v>3511</v>
      </c>
    </row>
    <row r="4214" spans="1:6" x14ac:dyDescent="0.25">
      <c r="A4214" t="s">
        <v>7878</v>
      </c>
      <c r="B4214" t="s">
        <v>7879</v>
      </c>
      <c r="C4214" s="1">
        <v>44083</v>
      </c>
      <c r="D4214" t="b">
        <v>1</v>
      </c>
      <c r="E4214" t="s">
        <v>10</v>
      </c>
      <c r="F4214">
        <v>3512</v>
      </c>
    </row>
    <row r="4215" spans="1:6" x14ac:dyDescent="0.25">
      <c r="A4215" t="s">
        <v>7880</v>
      </c>
      <c r="B4215" t="s">
        <v>7881</v>
      </c>
      <c r="C4215" s="1">
        <v>44083</v>
      </c>
      <c r="D4215" t="b">
        <v>1</v>
      </c>
      <c r="E4215" t="s">
        <v>10</v>
      </c>
      <c r="F4215">
        <v>5268</v>
      </c>
    </row>
    <row r="4216" spans="1:6" x14ac:dyDescent="0.25">
      <c r="A4216" t="s">
        <v>7882</v>
      </c>
      <c r="B4216" t="s">
        <v>7883</v>
      </c>
      <c r="C4216" s="1">
        <v>44083</v>
      </c>
      <c r="D4216" t="b">
        <v>1</v>
      </c>
      <c r="E4216" t="s">
        <v>10</v>
      </c>
      <c r="F4216">
        <v>3513</v>
      </c>
    </row>
    <row r="4217" spans="1:6" x14ac:dyDescent="0.25">
      <c r="A4217" t="s">
        <v>7884</v>
      </c>
      <c r="B4217" t="s">
        <v>7885</v>
      </c>
      <c r="C4217" s="1">
        <v>44083</v>
      </c>
      <c r="D4217" t="b">
        <v>1</v>
      </c>
      <c r="E4217" t="s">
        <v>10</v>
      </c>
      <c r="F4217">
        <v>3514</v>
      </c>
    </row>
    <row r="4218" spans="1:6" x14ac:dyDescent="0.25">
      <c r="A4218" t="s">
        <v>7886</v>
      </c>
      <c r="B4218" t="s">
        <v>7887</v>
      </c>
      <c r="C4218" s="1">
        <v>44083</v>
      </c>
      <c r="D4218" t="b">
        <v>1</v>
      </c>
      <c r="E4218" t="s">
        <v>10</v>
      </c>
      <c r="F4218">
        <v>3517</v>
      </c>
    </row>
    <row r="4219" spans="1:6" x14ac:dyDescent="0.25">
      <c r="A4219" t="s">
        <v>7888</v>
      </c>
      <c r="B4219" t="s">
        <v>7889</v>
      </c>
      <c r="C4219" s="1">
        <v>44083</v>
      </c>
      <c r="D4219" t="b">
        <v>1</v>
      </c>
      <c r="E4219" t="s">
        <v>10</v>
      </c>
      <c r="F4219">
        <v>10950</v>
      </c>
    </row>
    <row r="4220" spans="1:6" x14ac:dyDescent="0.25">
      <c r="A4220" t="s">
        <v>7890</v>
      </c>
      <c r="B4220" t="s">
        <v>7891</v>
      </c>
      <c r="C4220" s="1">
        <v>44083</v>
      </c>
      <c r="D4220" t="b">
        <v>1</v>
      </c>
      <c r="E4220" t="s">
        <v>10</v>
      </c>
      <c r="F4220">
        <v>12035</v>
      </c>
    </row>
    <row r="4221" spans="1:6" x14ac:dyDescent="0.25">
      <c r="A4221" t="s">
        <v>7892</v>
      </c>
      <c r="B4221" t="s">
        <v>7893</v>
      </c>
      <c r="C4221" s="1">
        <v>44083</v>
      </c>
      <c r="D4221" t="b">
        <v>1</v>
      </c>
      <c r="E4221" t="s">
        <v>10</v>
      </c>
      <c r="F4221">
        <v>16534</v>
      </c>
    </row>
    <row r="4222" spans="1:6" x14ac:dyDescent="0.25">
      <c r="A4222" t="s">
        <v>7894</v>
      </c>
      <c r="B4222" t="s">
        <v>7895</v>
      </c>
      <c r="C4222" s="1">
        <v>44083</v>
      </c>
      <c r="D4222" t="b">
        <v>1</v>
      </c>
      <c r="E4222" t="s">
        <v>10</v>
      </c>
      <c r="F4222">
        <v>13012</v>
      </c>
    </row>
    <row r="4223" spans="1:6" x14ac:dyDescent="0.25">
      <c r="A4223" t="s">
        <v>7896</v>
      </c>
      <c r="C4223" s="1">
        <v>44083</v>
      </c>
      <c r="D4223" t="b">
        <v>1</v>
      </c>
      <c r="E4223" t="s">
        <v>10</v>
      </c>
      <c r="F4223">
        <v>12968</v>
      </c>
    </row>
    <row r="4224" spans="1:6" x14ac:dyDescent="0.25">
      <c r="A4224" t="s">
        <v>7897</v>
      </c>
      <c r="B4224" t="s">
        <v>7898</v>
      </c>
      <c r="C4224" s="1">
        <v>44083</v>
      </c>
      <c r="D4224" t="b">
        <v>1</v>
      </c>
      <c r="E4224" t="s">
        <v>10</v>
      </c>
      <c r="F4224">
        <v>12052</v>
      </c>
    </row>
    <row r="4225" spans="1:6" x14ac:dyDescent="0.25">
      <c r="A4225" t="s">
        <v>7899</v>
      </c>
      <c r="B4225" t="s">
        <v>7900</v>
      </c>
      <c r="C4225" s="1">
        <v>44083</v>
      </c>
      <c r="D4225" t="b">
        <v>1</v>
      </c>
      <c r="E4225" t="s">
        <v>10</v>
      </c>
      <c r="F4225">
        <v>13206</v>
      </c>
    </row>
    <row r="4226" spans="1:6" x14ac:dyDescent="0.25">
      <c r="A4226" t="s">
        <v>7901</v>
      </c>
      <c r="B4226" t="s">
        <v>7902</v>
      </c>
      <c r="C4226" s="1">
        <v>44083</v>
      </c>
      <c r="D4226" t="b">
        <v>1</v>
      </c>
      <c r="E4226" t="s">
        <v>10</v>
      </c>
      <c r="F4226">
        <v>9656</v>
      </c>
    </row>
    <row r="4227" spans="1:6" x14ac:dyDescent="0.25">
      <c r="A4227" t="s">
        <v>7903</v>
      </c>
      <c r="B4227" t="s">
        <v>7904</v>
      </c>
      <c r="C4227" s="1">
        <v>44083</v>
      </c>
      <c r="D4227" t="b">
        <v>1</v>
      </c>
      <c r="E4227" t="s">
        <v>10</v>
      </c>
      <c r="F4227">
        <v>16916</v>
      </c>
    </row>
    <row r="4228" spans="1:6" x14ac:dyDescent="0.25">
      <c r="A4228" t="s">
        <v>7905</v>
      </c>
      <c r="C4228" s="1">
        <v>44083</v>
      </c>
      <c r="D4228" t="b">
        <v>1</v>
      </c>
      <c r="E4228" t="s">
        <v>10</v>
      </c>
      <c r="F4228">
        <v>16922</v>
      </c>
    </row>
    <row r="4229" spans="1:6" x14ac:dyDescent="0.25">
      <c r="A4229" t="s">
        <v>7906</v>
      </c>
      <c r="B4229" t="s">
        <v>7907</v>
      </c>
      <c r="C4229" s="1">
        <v>44083</v>
      </c>
      <c r="D4229" t="b">
        <v>1</v>
      </c>
      <c r="E4229" t="s">
        <v>10</v>
      </c>
      <c r="F4229">
        <v>8122</v>
      </c>
    </row>
    <row r="4230" spans="1:6" x14ac:dyDescent="0.25">
      <c r="A4230" t="s">
        <v>7908</v>
      </c>
      <c r="B4230" t="s">
        <v>7909</v>
      </c>
      <c r="C4230" s="1">
        <v>44083</v>
      </c>
      <c r="D4230" t="b">
        <v>1</v>
      </c>
      <c r="E4230" t="s">
        <v>10</v>
      </c>
      <c r="F4230">
        <v>14699</v>
      </c>
    </row>
    <row r="4231" spans="1:6" x14ac:dyDescent="0.25">
      <c r="A4231" t="s">
        <v>7910</v>
      </c>
      <c r="B4231" t="s">
        <v>7911</v>
      </c>
      <c r="C4231" s="1">
        <v>44083</v>
      </c>
      <c r="D4231" t="b">
        <v>1</v>
      </c>
      <c r="E4231" t="s">
        <v>10</v>
      </c>
      <c r="F4231">
        <v>15856</v>
      </c>
    </row>
    <row r="4232" spans="1:6" x14ac:dyDescent="0.25">
      <c r="A4232" t="s">
        <v>7912</v>
      </c>
      <c r="B4232" t="s">
        <v>7913</v>
      </c>
      <c r="C4232" s="1">
        <v>44083</v>
      </c>
      <c r="D4232" t="b">
        <v>1</v>
      </c>
      <c r="E4232" t="s">
        <v>10</v>
      </c>
      <c r="F4232">
        <v>12449</v>
      </c>
    </row>
    <row r="4233" spans="1:6" x14ac:dyDescent="0.25">
      <c r="A4233" t="s">
        <v>7914</v>
      </c>
      <c r="B4233" t="s">
        <v>7915</v>
      </c>
      <c r="C4233" s="1">
        <v>44083</v>
      </c>
      <c r="D4233" t="b">
        <v>1</v>
      </c>
      <c r="E4233" t="s">
        <v>10</v>
      </c>
      <c r="F4233">
        <v>17043</v>
      </c>
    </row>
    <row r="4234" spans="1:6" x14ac:dyDescent="0.25">
      <c r="A4234" t="s">
        <v>7916</v>
      </c>
      <c r="B4234" t="s">
        <v>7917</v>
      </c>
      <c r="C4234" s="1">
        <v>44083</v>
      </c>
      <c r="D4234" t="b">
        <v>1</v>
      </c>
      <c r="E4234" t="s">
        <v>10</v>
      </c>
      <c r="F4234">
        <v>3525</v>
      </c>
    </row>
    <row r="4235" spans="1:6" x14ac:dyDescent="0.25">
      <c r="A4235" t="s">
        <v>7918</v>
      </c>
      <c r="C4235" s="1">
        <v>44083</v>
      </c>
      <c r="D4235" t="b">
        <v>1</v>
      </c>
      <c r="E4235" t="s">
        <v>10</v>
      </c>
      <c r="F4235">
        <v>11938</v>
      </c>
    </row>
    <row r="4236" spans="1:6" x14ac:dyDescent="0.25">
      <c r="A4236" t="s">
        <v>7919</v>
      </c>
      <c r="C4236" s="1">
        <v>44083</v>
      </c>
      <c r="D4236" t="b">
        <v>1</v>
      </c>
      <c r="E4236" t="s">
        <v>10</v>
      </c>
      <c r="F4236">
        <v>15844</v>
      </c>
    </row>
    <row r="4237" spans="1:6" x14ac:dyDescent="0.25">
      <c r="A4237" t="s">
        <v>7920</v>
      </c>
      <c r="B4237" t="s">
        <v>7921</v>
      </c>
      <c r="C4237" s="1">
        <v>44083</v>
      </c>
      <c r="D4237" t="b">
        <v>1</v>
      </c>
      <c r="E4237" t="s">
        <v>10</v>
      </c>
      <c r="F4237">
        <v>15816</v>
      </c>
    </row>
    <row r="4238" spans="1:6" x14ac:dyDescent="0.25">
      <c r="A4238" t="s">
        <v>7922</v>
      </c>
      <c r="B4238" t="s">
        <v>7923</v>
      </c>
      <c r="C4238" s="1">
        <v>44083</v>
      </c>
      <c r="D4238" t="b">
        <v>1</v>
      </c>
      <c r="E4238" t="s">
        <v>10</v>
      </c>
      <c r="F4238">
        <v>3526</v>
      </c>
    </row>
    <row r="4239" spans="1:6" x14ac:dyDescent="0.25">
      <c r="A4239" t="s">
        <v>7924</v>
      </c>
      <c r="B4239" t="s">
        <v>7925</v>
      </c>
      <c r="C4239" s="1">
        <v>44083</v>
      </c>
      <c r="D4239" t="b">
        <v>1</v>
      </c>
      <c r="E4239" t="s">
        <v>10</v>
      </c>
      <c r="F4239">
        <v>3527</v>
      </c>
    </row>
    <row r="4240" spans="1:6" x14ac:dyDescent="0.25">
      <c r="A4240" t="s">
        <v>7926</v>
      </c>
      <c r="B4240" t="s">
        <v>7927</v>
      </c>
      <c r="C4240" s="1">
        <v>44083</v>
      </c>
      <c r="D4240" t="b">
        <v>1</v>
      </c>
      <c r="E4240" t="s">
        <v>10</v>
      </c>
      <c r="F4240">
        <v>3528</v>
      </c>
    </row>
    <row r="4241" spans="1:6" x14ac:dyDescent="0.25">
      <c r="A4241" t="s">
        <v>7928</v>
      </c>
      <c r="B4241" t="s">
        <v>7929</v>
      </c>
      <c r="C4241" s="1">
        <v>44083</v>
      </c>
      <c r="D4241" t="b">
        <v>1</v>
      </c>
      <c r="E4241" t="s">
        <v>10</v>
      </c>
      <c r="F4241">
        <v>3529</v>
      </c>
    </row>
    <row r="4242" spans="1:6" x14ac:dyDescent="0.25">
      <c r="A4242" t="s">
        <v>7930</v>
      </c>
      <c r="B4242" t="s">
        <v>7931</v>
      </c>
      <c r="C4242" s="1">
        <v>44083</v>
      </c>
      <c r="D4242" t="b">
        <v>1</v>
      </c>
      <c r="E4242" t="s">
        <v>10</v>
      </c>
      <c r="F4242">
        <v>3530</v>
      </c>
    </row>
    <row r="4243" spans="1:6" x14ac:dyDescent="0.25">
      <c r="A4243" t="s">
        <v>7932</v>
      </c>
      <c r="B4243" t="s">
        <v>7933</v>
      </c>
      <c r="C4243" s="1">
        <v>44083</v>
      </c>
      <c r="D4243" t="b">
        <v>1</v>
      </c>
      <c r="E4243" t="s">
        <v>10</v>
      </c>
      <c r="F4243">
        <v>15979</v>
      </c>
    </row>
    <row r="4244" spans="1:6" x14ac:dyDescent="0.25">
      <c r="A4244" t="s">
        <v>7934</v>
      </c>
      <c r="B4244" t="s">
        <v>7935</v>
      </c>
      <c r="C4244" s="1">
        <v>44083</v>
      </c>
      <c r="D4244" t="b">
        <v>1</v>
      </c>
      <c r="E4244" t="s">
        <v>10</v>
      </c>
      <c r="F4244">
        <v>14542</v>
      </c>
    </row>
    <row r="4245" spans="1:6" x14ac:dyDescent="0.25">
      <c r="A4245" t="s">
        <v>7936</v>
      </c>
      <c r="B4245" t="s">
        <v>7937</v>
      </c>
      <c r="C4245" s="1">
        <v>44083</v>
      </c>
      <c r="D4245" t="b">
        <v>1</v>
      </c>
      <c r="E4245" t="s">
        <v>10</v>
      </c>
      <c r="F4245">
        <v>3531</v>
      </c>
    </row>
    <row r="4246" spans="1:6" x14ac:dyDescent="0.25">
      <c r="A4246" t="s">
        <v>7938</v>
      </c>
      <c r="B4246" t="s">
        <v>7939</v>
      </c>
      <c r="C4246" s="1">
        <v>44083</v>
      </c>
      <c r="D4246" t="b">
        <v>1</v>
      </c>
      <c r="E4246" t="s">
        <v>10</v>
      </c>
      <c r="F4246">
        <v>3534</v>
      </c>
    </row>
    <row r="4247" spans="1:6" x14ac:dyDescent="0.25">
      <c r="A4247" t="s">
        <v>7940</v>
      </c>
      <c r="B4247" t="s">
        <v>7941</v>
      </c>
      <c r="C4247" s="1">
        <v>44083</v>
      </c>
      <c r="D4247" t="b">
        <v>1</v>
      </c>
      <c r="E4247" t="s">
        <v>10</v>
      </c>
      <c r="F4247">
        <v>3536</v>
      </c>
    </row>
    <row r="4248" spans="1:6" x14ac:dyDescent="0.25">
      <c r="A4248" t="s">
        <v>7942</v>
      </c>
      <c r="B4248" t="s">
        <v>7943</v>
      </c>
      <c r="C4248" s="1">
        <v>44083</v>
      </c>
      <c r="D4248" t="b">
        <v>1</v>
      </c>
      <c r="E4248" t="s">
        <v>10</v>
      </c>
      <c r="F4248">
        <v>8697</v>
      </c>
    </row>
    <row r="4249" spans="1:6" x14ac:dyDescent="0.25">
      <c r="A4249" t="s">
        <v>7944</v>
      </c>
      <c r="B4249" t="s">
        <v>7945</v>
      </c>
      <c r="C4249" s="1">
        <v>44083</v>
      </c>
      <c r="D4249" t="b">
        <v>1</v>
      </c>
      <c r="E4249" t="s">
        <v>10</v>
      </c>
      <c r="F4249">
        <v>12230</v>
      </c>
    </row>
    <row r="4250" spans="1:6" x14ac:dyDescent="0.25">
      <c r="A4250" t="s">
        <v>7946</v>
      </c>
      <c r="B4250" t="s">
        <v>7947</v>
      </c>
      <c r="C4250" s="1">
        <v>44083</v>
      </c>
      <c r="D4250" t="b">
        <v>1</v>
      </c>
      <c r="E4250" t="s">
        <v>10</v>
      </c>
      <c r="F4250">
        <v>3537</v>
      </c>
    </row>
    <row r="4251" spans="1:6" x14ac:dyDescent="0.25">
      <c r="A4251" t="s">
        <v>7948</v>
      </c>
      <c r="B4251" t="s">
        <v>7949</v>
      </c>
      <c r="C4251" s="1">
        <v>44083</v>
      </c>
      <c r="D4251" t="b">
        <v>1</v>
      </c>
      <c r="E4251" t="s">
        <v>10</v>
      </c>
      <c r="F4251">
        <v>3538</v>
      </c>
    </row>
    <row r="4252" spans="1:6" x14ac:dyDescent="0.25">
      <c r="A4252" t="s">
        <v>7950</v>
      </c>
      <c r="B4252" t="s">
        <v>7951</v>
      </c>
      <c r="C4252" s="1">
        <v>44083</v>
      </c>
      <c r="D4252" t="b">
        <v>1</v>
      </c>
      <c r="E4252" t="s">
        <v>10</v>
      </c>
      <c r="F4252">
        <v>3539</v>
      </c>
    </row>
    <row r="4253" spans="1:6" x14ac:dyDescent="0.25">
      <c r="A4253" t="s">
        <v>7952</v>
      </c>
      <c r="B4253" t="s">
        <v>7953</v>
      </c>
      <c r="C4253" s="1">
        <v>44083</v>
      </c>
      <c r="D4253" t="b">
        <v>1</v>
      </c>
      <c r="E4253" t="s">
        <v>10</v>
      </c>
      <c r="F4253">
        <v>8272</v>
      </c>
    </row>
    <row r="4254" spans="1:6" x14ac:dyDescent="0.25">
      <c r="A4254" t="s">
        <v>7954</v>
      </c>
      <c r="B4254" t="s">
        <v>7955</v>
      </c>
      <c r="C4254" s="1">
        <v>44083</v>
      </c>
      <c r="D4254" t="b">
        <v>1</v>
      </c>
      <c r="E4254" t="s">
        <v>10</v>
      </c>
      <c r="F4254">
        <v>3540</v>
      </c>
    </row>
    <row r="4255" spans="1:6" x14ac:dyDescent="0.25">
      <c r="A4255" t="s">
        <v>7956</v>
      </c>
      <c r="B4255" t="s">
        <v>7957</v>
      </c>
      <c r="C4255" s="1">
        <v>44083</v>
      </c>
      <c r="D4255" t="b">
        <v>1</v>
      </c>
      <c r="E4255" t="s">
        <v>10</v>
      </c>
      <c r="F4255">
        <v>3542</v>
      </c>
    </row>
    <row r="4256" spans="1:6" x14ac:dyDescent="0.25">
      <c r="A4256" t="s">
        <v>7958</v>
      </c>
      <c r="B4256" t="s">
        <v>7959</v>
      </c>
      <c r="C4256" s="1">
        <v>44083</v>
      </c>
      <c r="D4256" t="b">
        <v>1</v>
      </c>
      <c r="E4256" t="s">
        <v>10</v>
      </c>
      <c r="F4256">
        <v>14975</v>
      </c>
    </row>
    <row r="4257" spans="1:6" x14ac:dyDescent="0.25">
      <c r="A4257" t="s">
        <v>7960</v>
      </c>
      <c r="B4257" t="s">
        <v>7961</v>
      </c>
      <c r="C4257" s="1">
        <v>44083</v>
      </c>
      <c r="D4257" t="b">
        <v>1</v>
      </c>
      <c r="E4257" t="s">
        <v>10</v>
      </c>
      <c r="F4257">
        <v>15929</v>
      </c>
    </row>
    <row r="4258" spans="1:6" x14ac:dyDescent="0.25">
      <c r="A4258" t="s">
        <v>7962</v>
      </c>
      <c r="B4258" t="s">
        <v>7963</v>
      </c>
      <c r="C4258" s="1">
        <v>44083</v>
      </c>
      <c r="D4258" t="b">
        <v>1</v>
      </c>
      <c r="E4258" t="s">
        <v>10</v>
      </c>
      <c r="F4258">
        <v>3543</v>
      </c>
    </row>
    <row r="4259" spans="1:6" x14ac:dyDescent="0.25">
      <c r="A4259" t="s">
        <v>7964</v>
      </c>
      <c r="C4259" s="1">
        <v>44083</v>
      </c>
      <c r="D4259" t="b">
        <v>1</v>
      </c>
      <c r="E4259" t="s">
        <v>10</v>
      </c>
      <c r="F4259">
        <v>11559</v>
      </c>
    </row>
    <row r="4260" spans="1:6" x14ac:dyDescent="0.25">
      <c r="A4260" t="s">
        <v>7965</v>
      </c>
      <c r="C4260" s="1">
        <v>44083</v>
      </c>
      <c r="D4260" t="b">
        <v>1</v>
      </c>
      <c r="E4260" t="s">
        <v>10</v>
      </c>
      <c r="F4260">
        <v>13784</v>
      </c>
    </row>
    <row r="4261" spans="1:6" x14ac:dyDescent="0.25">
      <c r="A4261" t="s">
        <v>7966</v>
      </c>
      <c r="B4261" t="s">
        <v>7967</v>
      </c>
      <c r="C4261" s="1">
        <v>44083</v>
      </c>
      <c r="D4261" t="b">
        <v>1</v>
      </c>
      <c r="E4261" t="s">
        <v>10</v>
      </c>
      <c r="F4261">
        <v>3547</v>
      </c>
    </row>
    <row r="4262" spans="1:6" x14ac:dyDescent="0.25">
      <c r="A4262" t="s">
        <v>7968</v>
      </c>
      <c r="B4262" t="s">
        <v>7969</v>
      </c>
      <c r="C4262" s="1">
        <v>44083</v>
      </c>
      <c r="D4262" t="b">
        <v>1</v>
      </c>
      <c r="E4262" t="s">
        <v>10</v>
      </c>
      <c r="F4262">
        <v>3549</v>
      </c>
    </row>
    <row r="4263" spans="1:6" x14ac:dyDescent="0.25">
      <c r="A4263" t="s">
        <v>7970</v>
      </c>
      <c r="B4263" t="s">
        <v>7971</v>
      </c>
      <c r="C4263" s="1">
        <v>44083</v>
      </c>
      <c r="D4263" t="b">
        <v>1</v>
      </c>
      <c r="E4263" t="s">
        <v>10</v>
      </c>
      <c r="F4263">
        <v>9629</v>
      </c>
    </row>
    <row r="4264" spans="1:6" x14ac:dyDescent="0.25">
      <c r="A4264" t="s">
        <v>7972</v>
      </c>
      <c r="B4264" t="s">
        <v>7973</v>
      </c>
      <c r="C4264" s="1">
        <v>44083</v>
      </c>
      <c r="D4264" t="b">
        <v>1</v>
      </c>
      <c r="E4264" t="s">
        <v>10</v>
      </c>
      <c r="F4264">
        <v>8540</v>
      </c>
    </row>
    <row r="4265" spans="1:6" x14ac:dyDescent="0.25">
      <c r="A4265" t="s">
        <v>7974</v>
      </c>
      <c r="B4265" t="s">
        <v>7975</v>
      </c>
      <c r="C4265" s="1">
        <v>44083</v>
      </c>
      <c r="D4265" t="b">
        <v>1</v>
      </c>
      <c r="E4265" t="s">
        <v>10</v>
      </c>
      <c r="F4265">
        <v>3553</v>
      </c>
    </row>
    <row r="4266" spans="1:6" x14ac:dyDescent="0.25">
      <c r="A4266" t="s">
        <v>7976</v>
      </c>
      <c r="B4266" t="s">
        <v>7977</v>
      </c>
      <c r="C4266" s="1">
        <v>44083</v>
      </c>
      <c r="D4266" t="b">
        <v>1</v>
      </c>
      <c r="E4266" t="s">
        <v>10</v>
      </c>
      <c r="F4266">
        <v>9570</v>
      </c>
    </row>
    <row r="4267" spans="1:6" x14ac:dyDescent="0.25">
      <c r="A4267" t="s">
        <v>7978</v>
      </c>
      <c r="B4267" t="s">
        <v>7979</v>
      </c>
      <c r="C4267" s="1">
        <v>44083</v>
      </c>
      <c r="D4267" t="b">
        <v>1</v>
      </c>
      <c r="E4267" t="s">
        <v>10</v>
      </c>
      <c r="F4267">
        <v>12070</v>
      </c>
    </row>
    <row r="4268" spans="1:6" x14ac:dyDescent="0.25">
      <c r="A4268" t="s">
        <v>7980</v>
      </c>
      <c r="B4268" t="s">
        <v>7981</v>
      </c>
      <c r="C4268" s="1">
        <v>44083</v>
      </c>
      <c r="D4268" t="b">
        <v>1</v>
      </c>
      <c r="E4268" t="s">
        <v>10</v>
      </c>
      <c r="F4268">
        <v>1510</v>
      </c>
    </row>
    <row r="4269" spans="1:6" x14ac:dyDescent="0.25">
      <c r="A4269" t="s">
        <v>7982</v>
      </c>
      <c r="B4269" t="s">
        <v>7983</v>
      </c>
      <c r="C4269" s="1">
        <v>44083</v>
      </c>
      <c r="D4269" t="b">
        <v>1</v>
      </c>
      <c r="E4269" t="s">
        <v>10</v>
      </c>
      <c r="F4269">
        <v>3554</v>
      </c>
    </row>
    <row r="4270" spans="1:6" x14ac:dyDescent="0.25">
      <c r="A4270" t="s">
        <v>7984</v>
      </c>
      <c r="B4270" t="s">
        <v>7985</v>
      </c>
      <c r="C4270" s="1">
        <v>44083</v>
      </c>
      <c r="D4270" t="b">
        <v>1</v>
      </c>
      <c r="E4270" t="s">
        <v>10</v>
      </c>
      <c r="F4270">
        <v>14395</v>
      </c>
    </row>
    <row r="4271" spans="1:6" x14ac:dyDescent="0.25">
      <c r="A4271" t="s">
        <v>7986</v>
      </c>
      <c r="B4271" t="s">
        <v>7987</v>
      </c>
      <c r="C4271" s="1">
        <v>44083</v>
      </c>
      <c r="D4271" t="b">
        <v>1</v>
      </c>
      <c r="E4271" t="s">
        <v>10</v>
      </c>
      <c r="F4271">
        <v>15717</v>
      </c>
    </row>
    <row r="4272" spans="1:6" x14ac:dyDescent="0.25">
      <c r="A4272" t="s">
        <v>7988</v>
      </c>
      <c r="B4272" t="s">
        <v>7989</v>
      </c>
      <c r="C4272" s="1">
        <v>44083</v>
      </c>
      <c r="D4272" t="b">
        <v>1</v>
      </c>
      <c r="E4272" t="s">
        <v>10</v>
      </c>
      <c r="F4272">
        <v>15455</v>
      </c>
    </row>
    <row r="4273" spans="1:6" x14ac:dyDescent="0.25">
      <c r="A4273" t="s">
        <v>7990</v>
      </c>
      <c r="C4273" s="1">
        <v>44083</v>
      </c>
      <c r="D4273" t="b">
        <v>1</v>
      </c>
      <c r="E4273" t="s">
        <v>10</v>
      </c>
      <c r="F4273">
        <v>15722</v>
      </c>
    </row>
    <row r="4274" spans="1:6" x14ac:dyDescent="0.25">
      <c r="A4274" t="s">
        <v>7991</v>
      </c>
      <c r="B4274" t="s">
        <v>7992</v>
      </c>
      <c r="C4274" s="1">
        <v>44083</v>
      </c>
      <c r="D4274" t="b">
        <v>1</v>
      </c>
      <c r="E4274" t="s">
        <v>10</v>
      </c>
      <c r="F4274">
        <v>12099</v>
      </c>
    </row>
    <row r="4275" spans="1:6" x14ac:dyDescent="0.25">
      <c r="A4275" t="s">
        <v>7993</v>
      </c>
      <c r="C4275" s="1">
        <v>44083</v>
      </c>
      <c r="D4275" t="b">
        <v>1</v>
      </c>
      <c r="E4275" t="s">
        <v>10</v>
      </c>
      <c r="F4275">
        <v>14757</v>
      </c>
    </row>
    <row r="4276" spans="1:6" x14ac:dyDescent="0.25">
      <c r="A4276" t="s">
        <v>7994</v>
      </c>
      <c r="B4276" t="s">
        <v>7995</v>
      </c>
      <c r="C4276" s="1">
        <v>44083</v>
      </c>
      <c r="D4276" t="b">
        <v>1</v>
      </c>
      <c r="E4276" t="s">
        <v>10</v>
      </c>
      <c r="F4276">
        <v>3556</v>
      </c>
    </row>
    <row r="4277" spans="1:6" x14ac:dyDescent="0.25">
      <c r="A4277" t="s">
        <v>7996</v>
      </c>
      <c r="B4277" t="s">
        <v>7997</v>
      </c>
      <c r="C4277" s="1">
        <v>44083</v>
      </c>
      <c r="D4277" t="b">
        <v>1</v>
      </c>
      <c r="E4277" t="s">
        <v>10</v>
      </c>
      <c r="F4277">
        <v>3557</v>
      </c>
    </row>
    <row r="4278" spans="1:6" x14ac:dyDescent="0.25">
      <c r="A4278" t="s">
        <v>7998</v>
      </c>
      <c r="B4278" t="s">
        <v>7999</v>
      </c>
      <c r="C4278" s="1">
        <v>44083</v>
      </c>
      <c r="D4278" t="b">
        <v>1</v>
      </c>
      <c r="E4278" t="s">
        <v>10</v>
      </c>
      <c r="F4278">
        <v>9951</v>
      </c>
    </row>
    <row r="4279" spans="1:6" x14ac:dyDescent="0.25">
      <c r="A4279" t="s">
        <v>8000</v>
      </c>
      <c r="B4279" t="s">
        <v>8001</v>
      </c>
      <c r="C4279" s="1">
        <v>44083</v>
      </c>
      <c r="D4279" t="b">
        <v>1</v>
      </c>
      <c r="E4279" t="s">
        <v>10</v>
      </c>
      <c r="F4279">
        <v>3558</v>
      </c>
    </row>
    <row r="4280" spans="1:6" x14ac:dyDescent="0.25">
      <c r="A4280" t="s">
        <v>8002</v>
      </c>
      <c r="B4280" t="s">
        <v>8003</v>
      </c>
      <c r="C4280" s="1">
        <v>44083</v>
      </c>
      <c r="D4280" t="b">
        <v>1</v>
      </c>
      <c r="E4280" t="s">
        <v>10</v>
      </c>
      <c r="F4280">
        <v>3561</v>
      </c>
    </row>
    <row r="4281" spans="1:6" x14ac:dyDescent="0.25">
      <c r="A4281" t="s">
        <v>8004</v>
      </c>
      <c r="B4281" t="s">
        <v>8005</v>
      </c>
      <c r="C4281" s="1">
        <v>44083</v>
      </c>
      <c r="D4281" t="b">
        <v>1</v>
      </c>
      <c r="E4281" t="s">
        <v>10</v>
      </c>
      <c r="F4281">
        <v>3562</v>
      </c>
    </row>
    <row r="4282" spans="1:6" x14ac:dyDescent="0.25">
      <c r="A4282" t="s">
        <v>8006</v>
      </c>
      <c r="B4282" t="s">
        <v>8007</v>
      </c>
      <c r="C4282" s="1">
        <v>44083</v>
      </c>
      <c r="D4282" t="b">
        <v>1</v>
      </c>
      <c r="E4282" t="s">
        <v>10</v>
      </c>
      <c r="F4282">
        <v>3564</v>
      </c>
    </row>
    <row r="4283" spans="1:6" x14ac:dyDescent="0.25">
      <c r="A4283" t="s">
        <v>8008</v>
      </c>
      <c r="B4283" t="s">
        <v>8009</v>
      </c>
      <c r="C4283" s="1">
        <v>44083</v>
      </c>
      <c r="D4283" t="b">
        <v>1</v>
      </c>
      <c r="E4283" t="s">
        <v>10</v>
      </c>
      <c r="F4283">
        <v>6790</v>
      </c>
    </row>
    <row r="4284" spans="1:6" x14ac:dyDescent="0.25">
      <c r="A4284" t="s">
        <v>8010</v>
      </c>
      <c r="B4284" t="s">
        <v>8011</v>
      </c>
      <c r="C4284" s="1">
        <v>44083</v>
      </c>
      <c r="D4284" t="b">
        <v>1</v>
      </c>
      <c r="E4284" t="s">
        <v>10</v>
      </c>
      <c r="F4284">
        <v>3565</v>
      </c>
    </row>
    <row r="4285" spans="1:6" x14ac:dyDescent="0.25">
      <c r="A4285" t="s">
        <v>8012</v>
      </c>
      <c r="B4285" t="s">
        <v>8013</v>
      </c>
      <c r="C4285" s="1">
        <v>44083</v>
      </c>
      <c r="D4285" t="b">
        <v>1</v>
      </c>
      <c r="E4285" t="s">
        <v>10</v>
      </c>
      <c r="F4285">
        <v>12268</v>
      </c>
    </row>
    <row r="4286" spans="1:6" x14ac:dyDescent="0.25">
      <c r="A4286" t="s">
        <v>8014</v>
      </c>
      <c r="B4286" t="s">
        <v>8015</v>
      </c>
      <c r="C4286" s="1">
        <v>44083</v>
      </c>
      <c r="D4286" t="b">
        <v>1</v>
      </c>
      <c r="E4286" t="s">
        <v>10</v>
      </c>
      <c r="F4286">
        <v>3567</v>
      </c>
    </row>
    <row r="4287" spans="1:6" x14ac:dyDescent="0.25">
      <c r="A4287" t="s">
        <v>8016</v>
      </c>
      <c r="B4287" t="s">
        <v>8017</v>
      </c>
      <c r="C4287" s="1">
        <v>44083</v>
      </c>
      <c r="D4287" t="b">
        <v>1</v>
      </c>
      <c r="E4287" t="s">
        <v>10</v>
      </c>
      <c r="F4287">
        <v>16931</v>
      </c>
    </row>
    <row r="4288" spans="1:6" x14ac:dyDescent="0.25">
      <c r="A4288" t="s">
        <v>8018</v>
      </c>
      <c r="B4288" t="s">
        <v>8019</v>
      </c>
      <c r="C4288" s="1">
        <v>44083</v>
      </c>
      <c r="D4288" t="b">
        <v>1</v>
      </c>
      <c r="E4288" t="s">
        <v>10</v>
      </c>
      <c r="F4288">
        <v>3573</v>
      </c>
    </row>
    <row r="4289" spans="1:6" x14ac:dyDescent="0.25">
      <c r="A4289" t="s">
        <v>8020</v>
      </c>
      <c r="B4289" t="s">
        <v>8021</v>
      </c>
      <c r="C4289" s="1">
        <v>44083</v>
      </c>
      <c r="D4289" t="b">
        <v>1</v>
      </c>
      <c r="E4289" t="s">
        <v>10</v>
      </c>
      <c r="F4289">
        <v>3638</v>
      </c>
    </row>
    <row r="4290" spans="1:6" x14ac:dyDescent="0.25">
      <c r="A4290" t="s">
        <v>8022</v>
      </c>
      <c r="B4290" t="s">
        <v>8023</v>
      </c>
      <c r="C4290" s="1">
        <v>44083</v>
      </c>
      <c r="D4290" t="b">
        <v>1</v>
      </c>
      <c r="E4290" t="s">
        <v>10</v>
      </c>
      <c r="F4290">
        <v>3576</v>
      </c>
    </row>
    <row r="4291" spans="1:6" x14ac:dyDescent="0.25">
      <c r="A4291" t="s">
        <v>8024</v>
      </c>
      <c r="B4291" t="s">
        <v>8025</v>
      </c>
      <c r="C4291" s="1">
        <v>44083</v>
      </c>
      <c r="D4291" t="b">
        <v>1</v>
      </c>
      <c r="E4291" t="s">
        <v>10</v>
      </c>
      <c r="F4291">
        <v>3578</v>
      </c>
    </row>
    <row r="4292" spans="1:6" x14ac:dyDescent="0.25">
      <c r="A4292" t="s">
        <v>8026</v>
      </c>
      <c r="B4292" t="s">
        <v>8027</v>
      </c>
      <c r="C4292" s="1">
        <v>44083</v>
      </c>
      <c r="D4292" t="b">
        <v>1</v>
      </c>
      <c r="E4292" t="s">
        <v>10</v>
      </c>
      <c r="F4292">
        <v>3577</v>
      </c>
    </row>
    <row r="4293" spans="1:6" x14ac:dyDescent="0.25">
      <c r="A4293" t="s">
        <v>8028</v>
      </c>
      <c r="B4293" t="s">
        <v>8029</v>
      </c>
      <c r="C4293" s="1">
        <v>44083</v>
      </c>
      <c r="D4293" t="b">
        <v>1</v>
      </c>
      <c r="E4293" t="s">
        <v>10</v>
      </c>
      <c r="F4293">
        <v>9776</v>
      </c>
    </row>
    <row r="4294" spans="1:6" x14ac:dyDescent="0.25">
      <c r="A4294" t="s">
        <v>8030</v>
      </c>
      <c r="B4294" t="s">
        <v>8031</v>
      </c>
      <c r="C4294" s="1">
        <v>44083</v>
      </c>
      <c r="D4294" t="b">
        <v>1</v>
      </c>
      <c r="E4294" t="s">
        <v>10</v>
      </c>
      <c r="F4294">
        <v>3579</v>
      </c>
    </row>
    <row r="4295" spans="1:6" x14ac:dyDescent="0.25">
      <c r="A4295" t="s">
        <v>8032</v>
      </c>
      <c r="B4295" t="s">
        <v>8033</v>
      </c>
      <c r="C4295" s="1">
        <v>44083</v>
      </c>
      <c r="D4295" t="b">
        <v>1</v>
      </c>
      <c r="E4295" t="s">
        <v>10</v>
      </c>
      <c r="F4295">
        <v>8712</v>
      </c>
    </row>
    <row r="4296" spans="1:6" x14ac:dyDescent="0.25">
      <c r="A4296" t="s">
        <v>8034</v>
      </c>
      <c r="B4296" t="s">
        <v>8035</v>
      </c>
      <c r="C4296" s="1">
        <v>44083</v>
      </c>
      <c r="D4296" t="b">
        <v>1</v>
      </c>
      <c r="E4296" t="s">
        <v>10</v>
      </c>
      <c r="F4296">
        <v>3580</v>
      </c>
    </row>
    <row r="4297" spans="1:6" x14ac:dyDescent="0.25">
      <c r="A4297" t="s">
        <v>8036</v>
      </c>
      <c r="B4297" t="s">
        <v>8037</v>
      </c>
      <c r="C4297" s="1">
        <v>44083</v>
      </c>
      <c r="D4297" t="b">
        <v>1</v>
      </c>
      <c r="E4297" t="s">
        <v>10</v>
      </c>
      <c r="F4297">
        <v>10305</v>
      </c>
    </row>
    <row r="4298" spans="1:6" x14ac:dyDescent="0.25">
      <c r="A4298" t="s">
        <v>8038</v>
      </c>
      <c r="C4298" s="1">
        <v>44083</v>
      </c>
      <c r="D4298" t="b">
        <v>1</v>
      </c>
      <c r="E4298" t="s">
        <v>10</v>
      </c>
      <c r="F4298">
        <v>3582</v>
      </c>
    </row>
    <row r="4299" spans="1:6" x14ac:dyDescent="0.25">
      <c r="A4299" t="s">
        <v>8039</v>
      </c>
      <c r="B4299" t="s">
        <v>8040</v>
      </c>
      <c r="C4299" s="1">
        <v>44083</v>
      </c>
      <c r="D4299" t="b">
        <v>1</v>
      </c>
      <c r="E4299" t="s">
        <v>10</v>
      </c>
      <c r="F4299">
        <v>3587</v>
      </c>
    </row>
    <row r="4300" spans="1:6" x14ac:dyDescent="0.25">
      <c r="A4300" t="s">
        <v>8041</v>
      </c>
      <c r="B4300" t="s">
        <v>8042</v>
      </c>
      <c r="C4300" s="1">
        <v>44083</v>
      </c>
      <c r="D4300" t="b">
        <v>1</v>
      </c>
      <c r="E4300" t="s">
        <v>10</v>
      </c>
      <c r="F4300">
        <v>3590</v>
      </c>
    </row>
    <row r="4301" spans="1:6" x14ac:dyDescent="0.25">
      <c r="A4301" t="s">
        <v>8043</v>
      </c>
      <c r="B4301" t="s">
        <v>8044</v>
      </c>
      <c r="C4301" s="1">
        <v>44083</v>
      </c>
      <c r="D4301" t="b">
        <v>1</v>
      </c>
      <c r="E4301" t="s">
        <v>10</v>
      </c>
      <c r="F4301">
        <v>3591</v>
      </c>
    </row>
    <row r="4302" spans="1:6" x14ac:dyDescent="0.25">
      <c r="A4302" t="s">
        <v>8045</v>
      </c>
      <c r="B4302" t="s">
        <v>8046</v>
      </c>
      <c r="C4302" s="1">
        <v>44083</v>
      </c>
      <c r="D4302" t="b">
        <v>1</v>
      </c>
      <c r="E4302" t="s">
        <v>10</v>
      </c>
      <c r="F4302">
        <v>3592</v>
      </c>
    </row>
    <row r="4303" spans="1:6" x14ac:dyDescent="0.25">
      <c r="A4303" t="s">
        <v>8047</v>
      </c>
      <c r="B4303" t="s">
        <v>8048</v>
      </c>
      <c r="C4303" s="1">
        <v>44083</v>
      </c>
      <c r="D4303" t="b">
        <v>1</v>
      </c>
      <c r="E4303" t="s">
        <v>10</v>
      </c>
      <c r="F4303">
        <v>16206</v>
      </c>
    </row>
    <row r="4304" spans="1:6" x14ac:dyDescent="0.25">
      <c r="A4304" t="s">
        <v>8049</v>
      </c>
      <c r="B4304" t="s">
        <v>8050</v>
      </c>
      <c r="C4304" s="1">
        <v>44083</v>
      </c>
      <c r="D4304" t="b">
        <v>1</v>
      </c>
      <c r="E4304" t="s">
        <v>10</v>
      </c>
      <c r="F4304">
        <v>3593</v>
      </c>
    </row>
    <row r="4305" spans="1:6" x14ac:dyDescent="0.25">
      <c r="A4305" t="s">
        <v>8051</v>
      </c>
      <c r="B4305" t="s">
        <v>8052</v>
      </c>
      <c r="C4305" s="1">
        <v>44083</v>
      </c>
      <c r="D4305" t="b">
        <v>1</v>
      </c>
      <c r="E4305" t="s">
        <v>10</v>
      </c>
      <c r="F4305">
        <v>3595</v>
      </c>
    </row>
    <row r="4306" spans="1:6" x14ac:dyDescent="0.25">
      <c r="A4306" t="s">
        <v>8053</v>
      </c>
      <c r="B4306" t="s">
        <v>8054</v>
      </c>
      <c r="C4306" s="1">
        <v>44083</v>
      </c>
      <c r="D4306" t="b">
        <v>1</v>
      </c>
      <c r="E4306" t="s">
        <v>10</v>
      </c>
      <c r="F4306">
        <v>8309</v>
      </c>
    </row>
    <row r="4307" spans="1:6" x14ac:dyDescent="0.25">
      <c r="A4307" t="s">
        <v>8055</v>
      </c>
      <c r="C4307" s="1">
        <v>44083</v>
      </c>
      <c r="D4307" t="b">
        <v>1</v>
      </c>
      <c r="E4307" t="s">
        <v>10</v>
      </c>
      <c r="F4307">
        <v>3597</v>
      </c>
    </row>
    <row r="4308" spans="1:6" x14ac:dyDescent="0.25">
      <c r="A4308" t="s">
        <v>8056</v>
      </c>
      <c r="B4308" t="s">
        <v>8057</v>
      </c>
      <c r="C4308" s="1">
        <v>44083</v>
      </c>
      <c r="D4308" t="b">
        <v>1</v>
      </c>
      <c r="E4308" t="s">
        <v>10</v>
      </c>
      <c r="F4308">
        <v>8012</v>
      </c>
    </row>
    <row r="4309" spans="1:6" x14ac:dyDescent="0.25">
      <c r="A4309" t="s">
        <v>8058</v>
      </c>
      <c r="B4309" t="s">
        <v>8059</v>
      </c>
      <c r="C4309" s="1">
        <v>44083</v>
      </c>
      <c r="D4309" t="b">
        <v>1</v>
      </c>
      <c r="E4309" t="s">
        <v>10</v>
      </c>
      <c r="F4309">
        <v>16798</v>
      </c>
    </row>
    <row r="4310" spans="1:6" x14ac:dyDescent="0.25">
      <c r="A4310" t="s">
        <v>8060</v>
      </c>
      <c r="C4310" s="1">
        <v>44083</v>
      </c>
      <c r="D4310" t="b">
        <v>1</v>
      </c>
      <c r="E4310" t="s">
        <v>10</v>
      </c>
      <c r="F4310">
        <v>16851</v>
      </c>
    </row>
    <row r="4311" spans="1:6" x14ac:dyDescent="0.25">
      <c r="A4311" t="s">
        <v>8061</v>
      </c>
      <c r="B4311" t="s">
        <v>8062</v>
      </c>
      <c r="C4311" s="1">
        <v>44083</v>
      </c>
      <c r="D4311" t="b">
        <v>1</v>
      </c>
      <c r="E4311" t="s">
        <v>10</v>
      </c>
      <c r="F4311">
        <v>16580</v>
      </c>
    </row>
    <row r="4312" spans="1:6" x14ac:dyDescent="0.25">
      <c r="A4312" t="s">
        <v>8063</v>
      </c>
      <c r="B4312" t="s">
        <v>8059</v>
      </c>
      <c r="C4312" s="1">
        <v>44083</v>
      </c>
      <c r="D4312" t="b">
        <v>1</v>
      </c>
      <c r="E4312" t="s">
        <v>10</v>
      </c>
      <c r="F4312">
        <v>16781</v>
      </c>
    </row>
    <row r="4313" spans="1:6" x14ac:dyDescent="0.25">
      <c r="A4313" t="s">
        <v>8064</v>
      </c>
      <c r="C4313" s="1">
        <v>44083</v>
      </c>
      <c r="D4313" t="b">
        <v>1</v>
      </c>
      <c r="E4313" t="s">
        <v>10</v>
      </c>
      <c r="F4313">
        <v>16819</v>
      </c>
    </row>
    <row r="4314" spans="1:6" x14ac:dyDescent="0.25">
      <c r="A4314" t="s">
        <v>8065</v>
      </c>
      <c r="B4314" t="s">
        <v>8066</v>
      </c>
      <c r="C4314" s="1">
        <v>44083</v>
      </c>
      <c r="D4314" t="b">
        <v>1</v>
      </c>
      <c r="E4314" t="s">
        <v>10</v>
      </c>
      <c r="F4314">
        <v>16581</v>
      </c>
    </row>
    <row r="4315" spans="1:6" x14ac:dyDescent="0.25">
      <c r="A4315" t="s">
        <v>8067</v>
      </c>
      <c r="B4315" t="s">
        <v>8068</v>
      </c>
      <c r="C4315" s="1">
        <v>44083</v>
      </c>
      <c r="D4315" t="b">
        <v>1</v>
      </c>
      <c r="E4315" t="s">
        <v>10</v>
      </c>
      <c r="F4315">
        <v>9347</v>
      </c>
    </row>
    <row r="4316" spans="1:6" x14ac:dyDescent="0.25">
      <c r="A4316" t="s">
        <v>8069</v>
      </c>
      <c r="B4316" t="s">
        <v>8070</v>
      </c>
      <c r="C4316" s="1">
        <v>44083</v>
      </c>
      <c r="D4316" t="b">
        <v>1</v>
      </c>
      <c r="E4316" t="s">
        <v>10</v>
      </c>
      <c r="F4316">
        <v>16548</v>
      </c>
    </row>
    <row r="4317" spans="1:6" x14ac:dyDescent="0.25">
      <c r="A4317" t="s">
        <v>8071</v>
      </c>
      <c r="C4317" s="1">
        <v>44083</v>
      </c>
      <c r="D4317" t="b">
        <v>1</v>
      </c>
      <c r="E4317" t="s">
        <v>10</v>
      </c>
      <c r="F4317">
        <v>16568</v>
      </c>
    </row>
    <row r="4318" spans="1:6" x14ac:dyDescent="0.25">
      <c r="A4318" t="s">
        <v>8072</v>
      </c>
      <c r="B4318" t="s">
        <v>8070</v>
      </c>
      <c r="C4318" s="1">
        <v>44083</v>
      </c>
      <c r="D4318" t="b">
        <v>1</v>
      </c>
      <c r="E4318" t="s">
        <v>10</v>
      </c>
      <c r="F4318">
        <v>16446</v>
      </c>
    </row>
    <row r="4319" spans="1:6" x14ac:dyDescent="0.25">
      <c r="A4319" t="s">
        <v>8073</v>
      </c>
      <c r="B4319" t="s">
        <v>8074</v>
      </c>
      <c r="C4319" s="1">
        <v>44083</v>
      </c>
      <c r="D4319" t="b">
        <v>1</v>
      </c>
      <c r="E4319" t="s">
        <v>10</v>
      </c>
      <c r="F4319">
        <v>8133</v>
      </c>
    </row>
    <row r="4320" spans="1:6" x14ac:dyDescent="0.25">
      <c r="A4320" t="s">
        <v>8075</v>
      </c>
      <c r="B4320" t="s">
        <v>8076</v>
      </c>
      <c r="C4320" s="1">
        <v>44083</v>
      </c>
      <c r="D4320" t="b">
        <v>1</v>
      </c>
      <c r="E4320" t="s">
        <v>10</v>
      </c>
      <c r="F4320">
        <v>14206</v>
      </c>
    </row>
    <row r="4321" spans="1:6" x14ac:dyDescent="0.25">
      <c r="A4321" t="s">
        <v>8077</v>
      </c>
      <c r="B4321" t="s">
        <v>8078</v>
      </c>
      <c r="C4321" s="1">
        <v>44083</v>
      </c>
      <c r="D4321" t="b">
        <v>1</v>
      </c>
      <c r="E4321" t="s">
        <v>10</v>
      </c>
      <c r="F4321">
        <v>3604</v>
      </c>
    </row>
    <row r="4322" spans="1:6" x14ac:dyDescent="0.25">
      <c r="A4322" t="s">
        <v>8079</v>
      </c>
      <c r="B4322" t="s">
        <v>8080</v>
      </c>
      <c r="C4322" s="1">
        <v>44083</v>
      </c>
      <c r="D4322" t="b">
        <v>1</v>
      </c>
      <c r="E4322" t="s">
        <v>10</v>
      </c>
      <c r="F4322">
        <v>3605</v>
      </c>
    </row>
    <row r="4323" spans="1:6" x14ac:dyDescent="0.25">
      <c r="A4323" t="s">
        <v>8081</v>
      </c>
      <c r="B4323" t="s">
        <v>8082</v>
      </c>
      <c r="C4323" s="1">
        <v>44083</v>
      </c>
      <c r="D4323" t="b">
        <v>1</v>
      </c>
      <c r="E4323" t="s">
        <v>10</v>
      </c>
      <c r="F4323">
        <v>11217</v>
      </c>
    </row>
    <row r="4324" spans="1:6" x14ac:dyDescent="0.25">
      <c r="A4324" t="s">
        <v>8083</v>
      </c>
      <c r="B4324" t="s">
        <v>8084</v>
      </c>
      <c r="C4324" s="1">
        <v>44083</v>
      </c>
      <c r="D4324" t="b">
        <v>1</v>
      </c>
      <c r="E4324" t="s">
        <v>10</v>
      </c>
      <c r="F4324">
        <v>3606</v>
      </c>
    </row>
    <row r="4325" spans="1:6" x14ac:dyDescent="0.25">
      <c r="A4325" t="s">
        <v>8085</v>
      </c>
      <c r="B4325" t="s">
        <v>8086</v>
      </c>
      <c r="C4325" s="1">
        <v>44083</v>
      </c>
      <c r="D4325" t="b">
        <v>1</v>
      </c>
      <c r="E4325" t="s">
        <v>10</v>
      </c>
      <c r="F4325">
        <v>3607</v>
      </c>
    </row>
    <row r="4326" spans="1:6" x14ac:dyDescent="0.25">
      <c r="A4326" t="s">
        <v>8087</v>
      </c>
      <c r="B4326" t="s">
        <v>8088</v>
      </c>
      <c r="C4326" s="1">
        <v>44083</v>
      </c>
      <c r="D4326" t="b">
        <v>1</v>
      </c>
      <c r="E4326" t="s">
        <v>10</v>
      </c>
      <c r="F4326">
        <v>15309</v>
      </c>
    </row>
    <row r="4327" spans="1:6" x14ac:dyDescent="0.25">
      <c r="A4327" t="s">
        <v>8089</v>
      </c>
      <c r="B4327" t="s">
        <v>8090</v>
      </c>
      <c r="C4327" s="1">
        <v>44083</v>
      </c>
      <c r="D4327" t="b">
        <v>1</v>
      </c>
      <c r="E4327" t="s">
        <v>10</v>
      </c>
      <c r="F4327">
        <v>9657</v>
      </c>
    </row>
    <row r="4328" spans="1:6" x14ac:dyDescent="0.25">
      <c r="A4328" t="s">
        <v>8091</v>
      </c>
      <c r="B4328" t="s">
        <v>8092</v>
      </c>
      <c r="C4328" s="1">
        <v>44083</v>
      </c>
      <c r="D4328" t="b">
        <v>1</v>
      </c>
      <c r="E4328" t="s">
        <v>10</v>
      </c>
      <c r="F4328">
        <v>16565</v>
      </c>
    </row>
    <row r="4329" spans="1:6" x14ac:dyDescent="0.25">
      <c r="A4329" t="s">
        <v>8093</v>
      </c>
      <c r="B4329" t="s">
        <v>8094</v>
      </c>
      <c r="C4329" s="1">
        <v>44083</v>
      </c>
      <c r="D4329" t="b">
        <v>1</v>
      </c>
      <c r="E4329" t="s">
        <v>10</v>
      </c>
      <c r="F4329">
        <v>16381</v>
      </c>
    </row>
    <row r="4330" spans="1:6" x14ac:dyDescent="0.25">
      <c r="A4330" t="s">
        <v>8095</v>
      </c>
      <c r="B4330" t="s">
        <v>8096</v>
      </c>
      <c r="C4330" s="1">
        <v>44083</v>
      </c>
      <c r="D4330" t="b">
        <v>1</v>
      </c>
      <c r="E4330" t="s">
        <v>10</v>
      </c>
      <c r="F4330">
        <v>16382</v>
      </c>
    </row>
    <row r="4331" spans="1:6" x14ac:dyDescent="0.25">
      <c r="A4331" t="s">
        <v>8097</v>
      </c>
      <c r="B4331" t="s">
        <v>8098</v>
      </c>
      <c r="C4331" s="1">
        <v>44083</v>
      </c>
      <c r="D4331" t="b">
        <v>1</v>
      </c>
      <c r="E4331" t="s">
        <v>10</v>
      </c>
      <c r="F4331">
        <v>5728</v>
      </c>
    </row>
    <row r="4332" spans="1:6" x14ac:dyDescent="0.25">
      <c r="A4332" t="s">
        <v>8099</v>
      </c>
      <c r="B4332" t="s">
        <v>8100</v>
      </c>
      <c r="C4332" s="1">
        <v>44083</v>
      </c>
      <c r="D4332" t="b">
        <v>1</v>
      </c>
      <c r="E4332" t="s">
        <v>10</v>
      </c>
      <c r="F4332">
        <v>12896</v>
      </c>
    </row>
    <row r="4333" spans="1:6" x14ac:dyDescent="0.25">
      <c r="A4333" t="s">
        <v>8101</v>
      </c>
      <c r="B4333" t="s">
        <v>8102</v>
      </c>
      <c r="C4333" s="1">
        <v>44083</v>
      </c>
      <c r="D4333" t="b">
        <v>1</v>
      </c>
      <c r="E4333" t="s">
        <v>10</v>
      </c>
      <c r="F4333">
        <v>14785</v>
      </c>
    </row>
    <row r="4334" spans="1:6" x14ac:dyDescent="0.25">
      <c r="A4334" t="s">
        <v>8103</v>
      </c>
      <c r="B4334" t="s">
        <v>8104</v>
      </c>
      <c r="C4334" s="1">
        <v>44083</v>
      </c>
      <c r="D4334" t="b">
        <v>1</v>
      </c>
      <c r="E4334" t="s">
        <v>10</v>
      </c>
      <c r="F4334">
        <v>3610</v>
      </c>
    </row>
    <row r="4335" spans="1:6" x14ac:dyDescent="0.25">
      <c r="A4335" t="s">
        <v>8105</v>
      </c>
      <c r="B4335" t="s">
        <v>8106</v>
      </c>
      <c r="C4335" s="1">
        <v>44083</v>
      </c>
      <c r="D4335" t="b">
        <v>1</v>
      </c>
      <c r="E4335" t="s">
        <v>10</v>
      </c>
      <c r="F4335">
        <v>382</v>
      </c>
    </row>
    <row r="4336" spans="1:6" x14ac:dyDescent="0.25">
      <c r="A4336" t="s">
        <v>8107</v>
      </c>
      <c r="B4336" t="s">
        <v>8108</v>
      </c>
      <c r="C4336" s="1">
        <v>44083</v>
      </c>
      <c r="D4336" t="b">
        <v>1</v>
      </c>
      <c r="E4336" t="s">
        <v>10</v>
      </c>
      <c r="F4336">
        <v>3613</v>
      </c>
    </row>
    <row r="4337" spans="1:6" x14ac:dyDescent="0.25">
      <c r="A4337" t="s">
        <v>8109</v>
      </c>
      <c r="B4337" t="s">
        <v>8110</v>
      </c>
      <c r="C4337" s="1">
        <v>44083</v>
      </c>
      <c r="D4337" t="b">
        <v>1</v>
      </c>
      <c r="E4337" t="s">
        <v>10</v>
      </c>
      <c r="F4337">
        <v>3615</v>
      </c>
    </row>
    <row r="4338" spans="1:6" x14ac:dyDescent="0.25">
      <c r="A4338" t="s">
        <v>8111</v>
      </c>
      <c r="C4338" s="1">
        <v>44083</v>
      </c>
      <c r="D4338" t="b">
        <v>1</v>
      </c>
      <c r="E4338" t="s">
        <v>10</v>
      </c>
      <c r="F4338">
        <v>13493</v>
      </c>
    </row>
    <row r="4339" spans="1:6" x14ac:dyDescent="0.25">
      <c r="A4339" t="s">
        <v>8112</v>
      </c>
      <c r="B4339" t="s">
        <v>8113</v>
      </c>
      <c r="C4339" s="1">
        <v>44083</v>
      </c>
      <c r="D4339" t="b">
        <v>1</v>
      </c>
      <c r="E4339" t="s">
        <v>10</v>
      </c>
      <c r="F4339">
        <v>3620</v>
      </c>
    </row>
    <row r="4340" spans="1:6" x14ac:dyDescent="0.25">
      <c r="A4340" t="s">
        <v>8114</v>
      </c>
      <c r="B4340" t="s">
        <v>8115</v>
      </c>
      <c r="C4340" s="1">
        <v>44083</v>
      </c>
      <c r="D4340" t="b">
        <v>1</v>
      </c>
      <c r="E4340" t="s">
        <v>10</v>
      </c>
      <c r="F4340">
        <v>3621</v>
      </c>
    </row>
    <row r="4341" spans="1:6" x14ac:dyDescent="0.25">
      <c r="A4341" t="s">
        <v>8116</v>
      </c>
      <c r="B4341" t="s">
        <v>8117</v>
      </c>
      <c r="C4341" s="1">
        <v>44083</v>
      </c>
      <c r="D4341" t="b">
        <v>1</v>
      </c>
      <c r="E4341" t="s">
        <v>10</v>
      </c>
      <c r="F4341">
        <v>3622</v>
      </c>
    </row>
    <row r="4342" spans="1:6" x14ac:dyDescent="0.25">
      <c r="A4342" t="s">
        <v>8118</v>
      </c>
      <c r="B4342" t="s">
        <v>8119</v>
      </c>
      <c r="C4342" s="1">
        <v>44083</v>
      </c>
      <c r="D4342" t="b">
        <v>1</v>
      </c>
      <c r="E4342" t="s">
        <v>10</v>
      </c>
      <c r="F4342">
        <v>8943</v>
      </c>
    </row>
    <row r="4343" spans="1:6" x14ac:dyDescent="0.25">
      <c r="A4343" t="s">
        <v>8120</v>
      </c>
      <c r="B4343" t="s">
        <v>8121</v>
      </c>
      <c r="C4343" s="1">
        <v>44083</v>
      </c>
      <c r="D4343" t="b">
        <v>1</v>
      </c>
      <c r="E4343" t="s">
        <v>10</v>
      </c>
      <c r="F4343">
        <v>3623</v>
      </c>
    </row>
    <row r="4344" spans="1:6" x14ac:dyDescent="0.25">
      <c r="A4344" t="s">
        <v>8122</v>
      </c>
      <c r="B4344" t="s">
        <v>8123</v>
      </c>
      <c r="C4344" s="1">
        <v>44083</v>
      </c>
      <c r="D4344" t="b">
        <v>1</v>
      </c>
      <c r="E4344" t="s">
        <v>10</v>
      </c>
      <c r="F4344">
        <v>3624</v>
      </c>
    </row>
    <row r="4345" spans="1:6" x14ac:dyDescent="0.25">
      <c r="A4345" t="s">
        <v>8124</v>
      </c>
      <c r="B4345" t="s">
        <v>8125</v>
      </c>
      <c r="C4345" s="1">
        <v>44083</v>
      </c>
      <c r="D4345" t="b">
        <v>1</v>
      </c>
      <c r="E4345" t="s">
        <v>10</v>
      </c>
      <c r="F4345">
        <v>3625</v>
      </c>
    </row>
    <row r="4346" spans="1:6" x14ac:dyDescent="0.25">
      <c r="A4346" t="s">
        <v>8126</v>
      </c>
      <c r="B4346" t="s">
        <v>8127</v>
      </c>
      <c r="C4346" s="1">
        <v>44083</v>
      </c>
      <c r="D4346" t="b">
        <v>1</v>
      </c>
      <c r="E4346" t="s">
        <v>10</v>
      </c>
      <c r="F4346">
        <v>7725</v>
      </c>
    </row>
    <row r="4347" spans="1:6" x14ac:dyDescent="0.25">
      <c r="A4347" t="s">
        <v>8128</v>
      </c>
      <c r="B4347" t="s">
        <v>8129</v>
      </c>
      <c r="C4347" s="1">
        <v>44083</v>
      </c>
      <c r="D4347" t="b">
        <v>1</v>
      </c>
      <c r="E4347" t="s">
        <v>10</v>
      </c>
      <c r="F4347">
        <v>11994</v>
      </c>
    </row>
    <row r="4348" spans="1:6" x14ac:dyDescent="0.25">
      <c r="A4348" t="s">
        <v>8130</v>
      </c>
      <c r="B4348" t="s">
        <v>8131</v>
      </c>
      <c r="C4348" s="1">
        <v>44083</v>
      </c>
      <c r="D4348" t="b">
        <v>1</v>
      </c>
      <c r="E4348" t="s">
        <v>10</v>
      </c>
      <c r="F4348">
        <v>3627</v>
      </c>
    </row>
    <row r="4349" spans="1:6" x14ac:dyDescent="0.25">
      <c r="A4349" t="s">
        <v>8132</v>
      </c>
      <c r="B4349" t="s">
        <v>8133</v>
      </c>
      <c r="C4349" s="1">
        <v>44083</v>
      </c>
      <c r="D4349" t="b">
        <v>1</v>
      </c>
      <c r="E4349" t="s">
        <v>10</v>
      </c>
      <c r="F4349">
        <v>3629</v>
      </c>
    </row>
    <row r="4350" spans="1:6" x14ac:dyDescent="0.25">
      <c r="A4350" t="s">
        <v>8134</v>
      </c>
      <c r="B4350" t="s">
        <v>8135</v>
      </c>
      <c r="C4350" s="1">
        <v>44083</v>
      </c>
      <c r="D4350" t="b">
        <v>1</v>
      </c>
      <c r="E4350" t="s">
        <v>10</v>
      </c>
      <c r="F4350">
        <v>9948</v>
      </c>
    </row>
    <row r="4351" spans="1:6" x14ac:dyDescent="0.25">
      <c r="A4351" t="s">
        <v>8136</v>
      </c>
      <c r="B4351" t="s">
        <v>8137</v>
      </c>
      <c r="C4351" s="1">
        <v>44083</v>
      </c>
      <c r="D4351" t="b">
        <v>1</v>
      </c>
      <c r="E4351" t="s">
        <v>10</v>
      </c>
      <c r="F4351">
        <v>3631</v>
      </c>
    </row>
    <row r="4352" spans="1:6" x14ac:dyDescent="0.25">
      <c r="A4352" t="s">
        <v>8138</v>
      </c>
      <c r="B4352" t="s">
        <v>8139</v>
      </c>
      <c r="C4352" s="1">
        <v>44083</v>
      </c>
      <c r="D4352" t="b">
        <v>1</v>
      </c>
      <c r="E4352" t="s">
        <v>10</v>
      </c>
      <c r="F4352">
        <v>8391</v>
      </c>
    </row>
    <row r="4353" spans="1:6" x14ac:dyDescent="0.25">
      <c r="A4353" t="s">
        <v>8140</v>
      </c>
      <c r="B4353" t="s">
        <v>8141</v>
      </c>
      <c r="C4353" s="1">
        <v>44083</v>
      </c>
      <c r="D4353" t="b">
        <v>1</v>
      </c>
      <c r="E4353" t="s">
        <v>10</v>
      </c>
      <c r="F4353">
        <v>15000</v>
      </c>
    </row>
    <row r="4354" spans="1:6" x14ac:dyDescent="0.25">
      <c r="A4354" t="s">
        <v>8142</v>
      </c>
      <c r="B4354" t="s">
        <v>8143</v>
      </c>
      <c r="C4354" s="1">
        <v>44083</v>
      </c>
      <c r="D4354" t="b">
        <v>1</v>
      </c>
      <c r="E4354" t="s">
        <v>10</v>
      </c>
      <c r="F4354">
        <v>7794</v>
      </c>
    </row>
    <row r="4355" spans="1:6" x14ac:dyDescent="0.25">
      <c r="A4355" t="s">
        <v>8144</v>
      </c>
      <c r="B4355" t="s">
        <v>8145</v>
      </c>
      <c r="C4355" s="1">
        <v>44083</v>
      </c>
      <c r="D4355" t="b">
        <v>1</v>
      </c>
      <c r="E4355" t="s">
        <v>10</v>
      </c>
      <c r="F4355">
        <v>15001</v>
      </c>
    </row>
    <row r="4356" spans="1:6" x14ac:dyDescent="0.25">
      <c r="A4356" t="s">
        <v>8146</v>
      </c>
      <c r="B4356" t="s">
        <v>8147</v>
      </c>
      <c r="C4356" s="1">
        <v>44083</v>
      </c>
      <c r="D4356" t="b">
        <v>1</v>
      </c>
      <c r="E4356" t="s">
        <v>10</v>
      </c>
      <c r="F4356">
        <v>3635</v>
      </c>
    </row>
    <row r="4357" spans="1:6" x14ac:dyDescent="0.25">
      <c r="A4357" t="s">
        <v>8148</v>
      </c>
      <c r="B4357" t="s">
        <v>8149</v>
      </c>
      <c r="C4357" s="1">
        <v>44083</v>
      </c>
      <c r="D4357" t="b">
        <v>1</v>
      </c>
      <c r="E4357" t="s">
        <v>10</v>
      </c>
      <c r="F4357">
        <v>3636</v>
      </c>
    </row>
    <row r="4358" spans="1:6" x14ac:dyDescent="0.25">
      <c r="A4358" t="s">
        <v>8150</v>
      </c>
      <c r="B4358" t="s">
        <v>8151</v>
      </c>
      <c r="C4358" s="1">
        <v>44083</v>
      </c>
      <c r="D4358" t="b">
        <v>1</v>
      </c>
      <c r="E4358" t="s">
        <v>10</v>
      </c>
      <c r="F4358">
        <v>12415</v>
      </c>
    </row>
    <row r="4359" spans="1:6" x14ac:dyDescent="0.25">
      <c r="A4359" t="s">
        <v>8152</v>
      </c>
      <c r="B4359" t="s">
        <v>8153</v>
      </c>
      <c r="C4359" s="1">
        <v>44083</v>
      </c>
      <c r="D4359" t="b">
        <v>1</v>
      </c>
      <c r="E4359" t="s">
        <v>10</v>
      </c>
      <c r="F4359">
        <v>3642</v>
      </c>
    </row>
    <row r="4360" spans="1:6" x14ac:dyDescent="0.25">
      <c r="A4360" t="s">
        <v>8154</v>
      </c>
      <c r="B4360" t="s">
        <v>8155</v>
      </c>
      <c r="C4360" s="1">
        <v>44083</v>
      </c>
      <c r="D4360" t="b">
        <v>1</v>
      </c>
      <c r="E4360" t="s">
        <v>10</v>
      </c>
      <c r="F4360">
        <v>3643</v>
      </c>
    </row>
    <row r="4361" spans="1:6" x14ac:dyDescent="0.25">
      <c r="A4361" t="s">
        <v>8156</v>
      </c>
      <c r="B4361" t="s">
        <v>8157</v>
      </c>
      <c r="C4361" s="1">
        <v>44083</v>
      </c>
      <c r="D4361" t="b">
        <v>1</v>
      </c>
      <c r="E4361" t="s">
        <v>10</v>
      </c>
      <c r="F4361">
        <v>3644</v>
      </c>
    </row>
    <row r="4362" spans="1:6" x14ac:dyDescent="0.25">
      <c r="A4362" t="s">
        <v>8158</v>
      </c>
      <c r="B4362" t="s">
        <v>8159</v>
      </c>
      <c r="C4362" s="1">
        <v>44083</v>
      </c>
      <c r="D4362" t="b">
        <v>1</v>
      </c>
      <c r="E4362" t="s">
        <v>10</v>
      </c>
      <c r="F4362">
        <v>3645</v>
      </c>
    </row>
    <row r="4363" spans="1:6" x14ac:dyDescent="0.25">
      <c r="A4363" t="s">
        <v>8160</v>
      </c>
      <c r="B4363" t="s">
        <v>8161</v>
      </c>
      <c r="C4363" s="1">
        <v>44083</v>
      </c>
      <c r="D4363" t="b">
        <v>1</v>
      </c>
      <c r="E4363" t="s">
        <v>10</v>
      </c>
      <c r="F4363">
        <v>3648</v>
      </c>
    </row>
    <row r="4364" spans="1:6" x14ac:dyDescent="0.25">
      <c r="A4364" t="s">
        <v>8162</v>
      </c>
      <c r="B4364" t="s">
        <v>8163</v>
      </c>
      <c r="C4364" s="1">
        <v>44083</v>
      </c>
      <c r="D4364" t="b">
        <v>1</v>
      </c>
      <c r="E4364" t="s">
        <v>10</v>
      </c>
      <c r="F4364">
        <v>3651</v>
      </c>
    </row>
    <row r="4365" spans="1:6" x14ac:dyDescent="0.25">
      <c r="A4365" t="s">
        <v>8164</v>
      </c>
      <c r="B4365" t="s">
        <v>8165</v>
      </c>
      <c r="C4365" s="1">
        <v>44083</v>
      </c>
      <c r="D4365" t="b">
        <v>1</v>
      </c>
      <c r="E4365" t="s">
        <v>10</v>
      </c>
      <c r="F4365">
        <v>8639</v>
      </c>
    </row>
    <row r="4366" spans="1:6" x14ac:dyDescent="0.25">
      <c r="A4366" t="s">
        <v>8166</v>
      </c>
      <c r="B4366" t="s">
        <v>8135</v>
      </c>
      <c r="C4366" s="1">
        <v>44083</v>
      </c>
      <c r="D4366" t="b">
        <v>1</v>
      </c>
      <c r="E4366" t="s">
        <v>10</v>
      </c>
      <c r="F4366">
        <v>10191</v>
      </c>
    </row>
    <row r="4367" spans="1:6" x14ac:dyDescent="0.25">
      <c r="A4367" t="s">
        <v>8167</v>
      </c>
      <c r="B4367" t="s">
        <v>8168</v>
      </c>
      <c r="C4367" s="1">
        <v>44083</v>
      </c>
      <c r="D4367" t="b">
        <v>1</v>
      </c>
      <c r="E4367" t="s">
        <v>10</v>
      </c>
      <c r="F4367">
        <v>3652</v>
      </c>
    </row>
    <row r="4368" spans="1:6" x14ac:dyDescent="0.25">
      <c r="A4368" t="s">
        <v>8169</v>
      </c>
      <c r="B4368" t="s">
        <v>8170</v>
      </c>
      <c r="C4368" s="1">
        <v>44083</v>
      </c>
      <c r="D4368" t="b">
        <v>1</v>
      </c>
      <c r="E4368" t="s">
        <v>10</v>
      </c>
      <c r="F4368">
        <v>3653</v>
      </c>
    </row>
    <row r="4369" spans="1:6" x14ac:dyDescent="0.25">
      <c r="A4369" t="s">
        <v>8171</v>
      </c>
      <c r="B4369" t="s">
        <v>8172</v>
      </c>
      <c r="C4369" s="1">
        <v>44083</v>
      </c>
      <c r="D4369" t="b">
        <v>1</v>
      </c>
      <c r="E4369" t="s">
        <v>10</v>
      </c>
      <c r="F4369">
        <v>17077</v>
      </c>
    </row>
    <row r="4370" spans="1:6" x14ac:dyDescent="0.25">
      <c r="A4370" t="s">
        <v>8173</v>
      </c>
      <c r="B4370" t="s">
        <v>8174</v>
      </c>
      <c r="C4370" s="1">
        <v>44083</v>
      </c>
      <c r="D4370" t="b">
        <v>1</v>
      </c>
      <c r="E4370" t="s">
        <v>10</v>
      </c>
      <c r="F4370">
        <v>3654</v>
      </c>
    </row>
    <row r="4371" spans="1:6" x14ac:dyDescent="0.25">
      <c r="A4371" t="s">
        <v>8175</v>
      </c>
      <c r="B4371" t="s">
        <v>8176</v>
      </c>
      <c r="C4371" s="1">
        <v>44083</v>
      </c>
      <c r="D4371" t="b">
        <v>1</v>
      </c>
      <c r="E4371" t="s">
        <v>10</v>
      </c>
      <c r="F4371">
        <v>647</v>
      </c>
    </row>
    <row r="4372" spans="1:6" x14ac:dyDescent="0.25">
      <c r="A4372" t="s">
        <v>8177</v>
      </c>
      <c r="B4372" t="s">
        <v>8178</v>
      </c>
      <c r="C4372" s="1">
        <v>44083</v>
      </c>
      <c r="D4372" t="b">
        <v>1</v>
      </c>
      <c r="E4372" t="s">
        <v>10</v>
      </c>
      <c r="F4372">
        <v>8250</v>
      </c>
    </row>
    <row r="4373" spans="1:6" x14ac:dyDescent="0.25">
      <c r="A4373" t="s">
        <v>8179</v>
      </c>
      <c r="B4373" t="s">
        <v>8180</v>
      </c>
      <c r="C4373" s="1">
        <v>44083</v>
      </c>
      <c r="D4373" t="b">
        <v>1</v>
      </c>
      <c r="E4373" t="s">
        <v>10</v>
      </c>
      <c r="F4373">
        <v>10793</v>
      </c>
    </row>
    <row r="4374" spans="1:6" x14ac:dyDescent="0.25">
      <c r="A4374" t="s">
        <v>8181</v>
      </c>
      <c r="B4374" t="s">
        <v>8182</v>
      </c>
      <c r="C4374" s="1">
        <v>44083</v>
      </c>
      <c r="D4374" t="b">
        <v>1</v>
      </c>
      <c r="E4374" t="s">
        <v>10</v>
      </c>
      <c r="F4374">
        <v>2763</v>
      </c>
    </row>
    <row r="4375" spans="1:6" x14ac:dyDescent="0.25">
      <c r="A4375" t="s">
        <v>8183</v>
      </c>
      <c r="B4375" t="s">
        <v>8184</v>
      </c>
      <c r="C4375" s="1">
        <v>44083</v>
      </c>
      <c r="D4375" t="b">
        <v>1</v>
      </c>
      <c r="E4375" t="s">
        <v>10</v>
      </c>
      <c r="F4375">
        <v>3659</v>
      </c>
    </row>
    <row r="4376" spans="1:6" x14ac:dyDescent="0.25">
      <c r="A4376" t="s">
        <v>8185</v>
      </c>
      <c r="B4376" t="s">
        <v>8186</v>
      </c>
      <c r="C4376" s="1">
        <v>44083</v>
      </c>
      <c r="D4376" t="b">
        <v>1</v>
      </c>
      <c r="E4376" t="s">
        <v>10</v>
      </c>
      <c r="F4376">
        <v>3660</v>
      </c>
    </row>
    <row r="4377" spans="1:6" x14ac:dyDescent="0.25">
      <c r="A4377" t="s">
        <v>8187</v>
      </c>
      <c r="B4377" t="s">
        <v>8188</v>
      </c>
      <c r="C4377" s="1">
        <v>44083</v>
      </c>
      <c r="D4377" t="b">
        <v>1</v>
      </c>
      <c r="E4377" t="s">
        <v>10</v>
      </c>
      <c r="F4377">
        <v>3664</v>
      </c>
    </row>
    <row r="4378" spans="1:6" x14ac:dyDescent="0.25">
      <c r="A4378" t="s">
        <v>8189</v>
      </c>
      <c r="B4378" t="s">
        <v>8190</v>
      </c>
      <c r="C4378" s="1">
        <v>44083</v>
      </c>
      <c r="D4378" t="b">
        <v>1</v>
      </c>
      <c r="E4378" t="s">
        <v>10</v>
      </c>
      <c r="F4378">
        <v>15469</v>
      </c>
    </row>
    <row r="4379" spans="1:6" x14ac:dyDescent="0.25">
      <c r="A4379" t="s">
        <v>8191</v>
      </c>
      <c r="B4379" t="s">
        <v>8192</v>
      </c>
      <c r="C4379" s="1">
        <v>44083</v>
      </c>
      <c r="D4379" t="b">
        <v>1</v>
      </c>
      <c r="E4379" t="s">
        <v>10</v>
      </c>
      <c r="F4379">
        <v>16889</v>
      </c>
    </row>
    <row r="4380" spans="1:6" x14ac:dyDescent="0.25">
      <c r="A4380" t="s">
        <v>8193</v>
      </c>
      <c r="B4380" t="s">
        <v>8194</v>
      </c>
      <c r="C4380" s="1">
        <v>44083</v>
      </c>
      <c r="D4380" t="b">
        <v>1</v>
      </c>
      <c r="E4380" t="s">
        <v>10</v>
      </c>
      <c r="F4380">
        <v>3666</v>
      </c>
    </row>
    <row r="4381" spans="1:6" x14ac:dyDescent="0.25">
      <c r="A4381" t="s">
        <v>8195</v>
      </c>
      <c r="B4381" t="s">
        <v>8196</v>
      </c>
      <c r="C4381" s="1">
        <v>44083</v>
      </c>
      <c r="D4381" t="b">
        <v>1</v>
      </c>
      <c r="E4381" t="s">
        <v>10</v>
      </c>
      <c r="F4381">
        <v>5162</v>
      </c>
    </row>
    <row r="4382" spans="1:6" x14ac:dyDescent="0.25">
      <c r="A4382" t="s">
        <v>8197</v>
      </c>
      <c r="B4382" t="s">
        <v>8198</v>
      </c>
      <c r="C4382" s="1">
        <v>44083</v>
      </c>
      <c r="D4382" t="b">
        <v>1</v>
      </c>
      <c r="E4382" t="s">
        <v>10</v>
      </c>
      <c r="F4382">
        <v>17035</v>
      </c>
    </row>
    <row r="4383" spans="1:6" x14ac:dyDescent="0.25">
      <c r="A4383" t="s">
        <v>8199</v>
      </c>
      <c r="B4383" t="s">
        <v>8200</v>
      </c>
      <c r="C4383" s="1">
        <v>44083</v>
      </c>
      <c r="D4383" t="b">
        <v>1</v>
      </c>
      <c r="E4383" t="s">
        <v>10</v>
      </c>
      <c r="F4383">
        <v>3668</v>
      </c>
    </row>
    <row r="4384" spans="1:6" x14ac:dyDescent="0.25">
      <c r="A4384" t="s">
        <v>8201</v>
      </c>
      <c r="B4384" t="s">
        <v>8202</v>
      </c>
      <c r="C4384" s="1">
        <v>44083</v>
      </c>
      <c r="D4384" t="b">
        <v>1</v>
      </c>
      <c r="E4384" t="s">
        <v>10</v>
      </c>
      <c r="F4384">
        <v>14512</v>
      </c>
    </row>
    <row r="4385" spans="1:6" x14ac:dyDescent="0.25">
      <c r="A4385" t="s">
        <v>8203</v>
      </c>
      <c r="B4385" t="s">
        <v>8204</v>
      </c>
      <c r="C4385" s="1">
        <v>44083</v>
      </c>
      <c r="D4385" t="b">
        <v>1</v>
      </c>
      <c r="E4385" t="s">
        <v>10</v>
      </c>
      <c r="F4385">
        <v>3669</v>
      </c>
    </row>
    <row r="4386" spans="1:6" x14ac:dyDescent="0.25">
      <c r="A4386" t="s">
        <v>8205</v>
      </c>
      <c r="B4386" t="s">
        <v>8206</v>
      </c>
      <c r="C4386" s="1">
        <v>44083</v>
      </c>
      <c r="D4386" t="b">
        <v>1</v>
      </c>
      <c r="E4386" t="s">
        <v>10</v>
      </c>
      <c r="F4386">
        <v>11388</v>
      </c>
    </row>
    <row r="4387" spans="1:6" x14ac:dyDescent="0.25">
      <c r="A4387" t="s">
        <v>8207</v>
      </c>
      <c r="B4387" t="s">
        <v>8208</v>
      </c>
      <c r="C4387" s="1">
        <v>44083</v>
      </c>
      <c r="D4387" t="b">
        <v>1</v>
      </c>
      <c r="E4387" t="s">
        <v>10</v>
      </c>
      <c r="F4387">
        <v>3671</v>
      </c>
    </row>
    <row r="4388" spans="1:6" x14ac:dyDescent="0.25">
      <c r="A4388" t="s">
        <v>8209</v>
      </c>
      <c r="B4388" t="s">
        <v>8210</v>
      </c>
      <c r="C4388" s="1">
        <v>44083</v>
      </c>
      <c r="D4388" t="b">
        <v>1</v>
      </c>
      <c r="E4388" t="s">
        <v>10</v>
      </c>
      <c r="F4388">
        <v>3672</v>
      </c>
    </row>
    <row r="4389" spans="1:6" x14ac:dyDescent="0.25">
      <c r="A4389" t="s">
        <v>8211</v>
      </c>
      <c r="B4389" t="s">
        <v>8212</v>
      </c>
      <c r="C4389" s="1">
        <v>44083</v>
      </c>
      <c r="D4389" t="b">
        <v>1</v>
      </c>
      <c r="E4389" t="s">
        <v>10</v>
      </c>
      <c r="F4389">
        <v>15002</v>
      </c>
    </row>
    <row r="4390" spans="1:6" x14ac:dyDescent="0.25">
      <c r="A4390" t="s">
        <v>8213</v>
      </c>
      <c r="B4390" t="s">
        <v>8214</v>
      </c>
      <c r="C4390" s="1">
        <v>44083</v>
      </c>
      <c r="D4390" t="b">
        <v>1</v>
      </c>
      <c r="E4390" t="s">
        <v>10</v>
      </c>
      <c r="F4390">
        <v>8713</v>
      </c>
    </row>
    <row r="4391" spans="1:6" x14ac:dyDescent="0.25">
      <c r="A4391" t="s">
        <v>8215</v>
      </c>
      <c r="B4391" t="s">
        <v>8216</v>
      </c>
      <c r="C4391" s="1">
        <v>44083</v>
      </c>
      <c r="D4391" t="b">
        <v>1</v>
      </c>
      <c r="E4391" t="s">
        <v>10</v>
      </c>
      <c r="F4391">
        <v>3702</v>
      </c>
    </row>
    <row r="4392" spans="1:6" x14ac:dyDescent="0.25">
      <c r="A4392" t="s">
        <v>8217</v>
      </c>
      <c r="B4392" t="s">
        <v>8218</v>
      </c>
      <c r="C4392" s="1">
        <v>44083</v>
      </c>
      <c r="D4392" t="b">
        <v>1</v>
      </c>
      <c r="E4392" t="s">
        <v>10</v>
      </c>
      <c r="F4392">
        <v>15003</v>
      </c>
    </row>
    <row r="4393" spans="1:6" x14ac:dyDescent="0.25">
      <c r="A4393" t="s">
        <v>8219</v>
      </c>
      <c r="B4393" t="s">
        <v>8220</v>
      </c>
      <c r="C4393" s="1">
        <v>44083</v>
      </c>
      <c r="D4393" t="b">
        <v>1</v>
      </c>
      <c r="E4393" t="s">
        <v>10</v>
      </c>
      <c r="F4393">
        <v>3699</v>
      </c>
    </row>
    <row r="4394" spans="1:6" x14ac:dyDescent="0.25">
      <c r="A4394" t="s">
        <v>8221</v>
      </c>
      <c r="B4394" t="s">
        <v>8222</v>
      </c>
      <c r="C4394" s="1">
        <v>44083</v>
      </c>
      <c r="D4394" t="b">
        <v>1</v>
      </c>
      <c r="E4394" t="s">
        <v>10</v>
      </c>
      <c r="F4394">
        <v>16863</v>
      </c>
    </row>
    <row r="4395" spans="1:6" x14ac:dyDescent="0.25">
      <c r="A4395" t="s">
        <v>8223</v>
      </c>
      <c r="B4395" t="s">
        <v>8224</v>
      </c>
      <c r="C4395" s="1">
        <v>44083</v>
      </c>
      <c r="D4395" t="b">
        <v>1</v>
      </c>
      <c r="E4395" t="s">
        <v>10</v>
      </c>
      <c r="F4395">
        <v>3673</v>
      </c>
    </row>
    <row r="4396" spans="1:6" x14ac:dyDescent="0.25">
      <c r="A4396" t="s">
        <v>8225</v>
      </c>
      <c r="B4396" t="s">
        <v>8226</v>
      </c>
      <c r="C4396" s="1">
        <v>44083</v>
      </c>
      <c r="D4396" t="b">
        <v>1</v>
      </c>
      <c r="E4396" t="s">
        <v>10</v>
      </c>
      <c r="F4396">
        <v>9587</v>
      </c>
    </row>
    <row r="4397" spans="1:6" x14ac:dyDescent="0.25">
      <c r="A4397" t="s">
        <v>8227</v>
      </c>
      <c r="B4397" t="s">
        <v>8228</v>
      </c>
      <c r="C4397" s="1">
        <v>44083</v>
      </c>
      <c r="D4397" t="b">
        <v>1</v>
      </c>
      <c r="E4397" t="s">
        <v>10</v>
      </c>
      <c r="F4397">
        <v>3675</v>
      </c>
    </row>
    <row r="4398" spans="1:6" x14ac:dyDescent="0.25">
      <c r="A4398" t="s">
        <v>8229</v>
      </c>
      <c r="B4398" t="s">
        <v>8230</v>
      </c>
      <c r="C4398" s="1">
        <v>44083</v>
      </c>
      <c r="D4398" t="b">
        <v>1</v>
      </c>
      <c r="E4398" t="s">
        <v>10</v>
      </c>
      <c r="F4398">
        <v>3676</v>
      </c>
    </row>
    <row r="4399" spans="1:6" x14ac:dyDescent="0.25">
      <c r="A4399" t="s">
        <v>8231</v>
      </c>
      <c r="B4399" t="s">
        <v>8232</v>
      </c>
      <c r="C4399" s="1">
        <v>44083</v>
      </c>
      <c r="D4399" t="b">
        <v>1</v>
      </c>
      <c r="E4399" t="s">
        <v>10</v>
      </c>
      <c r="F4399">
        <v>11131</v>
      </c>
    </row>
    <row r="4400" spans="1:6" x14ac:dyDescent="0.25">
      <c r="A4400" t="s">
        <v>8233</v>
      </c>
      <c r="B4400" t="s">
        <v>8234</v>
      </c>
      <c r="C4400" s="1">
        <v>44083</v>
      </c>
      <c r="D4400" t="b">
        <v>1</v>
      </c>
      <c r="E4400" t="s">
        <v>10</v>
      </c>
      <c r="F4400">
        <v>3677</v>
      </c>
    </row>
    <row r="4401" spans="1:6" x14ac:dyDescent="0.25">
      <c r="A4401" t="s">
        <v>8235</v>
      </c>
      <c r="B4401" t="s">
        <v>8236</v>
      </c>
      <c r="C4401" s="1">
        <v>44083</v>
      </c>
      <c r="D4401" t="b">
        <v>1</v>
      </c>
      <c r="E4401" t="s">
        <v>10</v>
      </c>
      <c r="F4401">
        <v>10192</v>
      </c>
    </row>
    <row r="4402" spans="1:6" x14ac:dyDescent="0.25">
      <c r="A4402" t="s">
        <v>8237</v>
      </c>
      <c r="B4402" t="s">
        <v>8238</v>
      </c>
      <c r="C4402" s="1">
        <v>44083</v>
      </c>
      <c r="D4402" t="b">
        <v>1</v>
      </c>
      <c r="E4402" t="s">
        <v>10</v>
      </c>
      <c r="F4402">
        <v>3678</v>
      </c>
    </row>
    <row r="4403" spans="1:6" x14ac:dyDescent="0.25">
      <c r="A4403" t="s">
        <v>8239</v>
      </c>
      <c r="B4403" t="s">
        <v>8240</v>
      </c>
      <c r="C4403" s="1">
        <v>44083</v>
      </c>
      <c r="D4403" t="b">
        <v>1</v>
      </c>
      <c r="E4403" t="s">
        <v>10</v>
      </c>
      <c r="F4403">
        <v>15617</v>
      </c>
    </row>
    <row r="4404" spans="1:6" x14ac:dyDescent="0.25">
      <c r="A4404" t="s">
        <v>8241</v>
      </c>
      <c r="B4404" t="s">
        <v>8242</v>
      </c>
      <c r="C4404" s="1">
        <v>44083</v>
      </c>
      <c r="D4404" t="b">
        <v>1</v>
      </c>
      <c r="E4404" t="s">
        <v>10</v>
      </c>
      <c r="F4404">
        <v>3679</v>
      </c>
    </row>
    <row r="4405" spans="1:6" x14ac:dyDescent="0.25">
      <c r="A4405" t="s">
        <v>8243</v>
      </c>
      <c r="B4405" t="s">
        <v>8244</v>
      </c>
      <c r="C4405" s="1">
        <v>44083</v>
      </c>
      <c r="D4405" t="b">
        <v>1</v>
      </c>
      <c r="E4405" t="s">
        <v>10</v>
      </c>
      <c r="F4405">
        <v>3681</v>
      </c>
    </row>
    <row r="4406" spans="1:6" x14ac:dyDescent="0.25">
      <c r="A4406" t="s">
        <v>8245</v>
      </c>
      <c r="B4406" t="s">
        <v>8246</v>
      </c>
      <c r="C4406" s="1">
        <v>44083</v>
      </c>
      <c r="D4406" t="b">
        <v>1</v>
      </c>
      <c r="E4406" t="s">
        <v>10</v>
      </c>
      <c r="F4406">
        <v>3682</v>
      </c>
    </row>
    <row r="4407" spans="1:6" x14ac:dyDescent="0.25">
      <c r="A4407" t="s">
        <v>8247</v>
      </c>
      <c r="C4407" s="1">
        <v>44083</v>
      </c>
      <c r="D4407" t="b">
        <v>1</v>
      </c>
      <c r="E4407" t="s">
        <v>10</v>
      </c>
      <c r="F4407">
        <v>3683</v>
      </c>
    </row>
    <row r="4408" spans="1:6" x14ac:dyDescent="0.25">
      <c r="A4408" t="s">
        <v>8248</v>
      </c>
      <c r="C4408" s="1">
        <v>44083</v>
      </c>
      <c r="D4408" t="b">
        <v>1</v>
      </c>
      <c r="E4408" t="s">
        <v>10</v>
      </c>
      <c r="F4408">
        <v>9260</v>
      </c>
    </row>
    <row r="4409" spans="1:6" x14ac:dyDescent="0.25">
      <c r="A4409" t="s">
        <v>8249</v>
      </c>
      <c r="C4409" s="1">
        <v>44083</v>
      </c>
      <c r="D4409" t="b">
        <v>1</v>
      </c>
      <c r="E4409" t="s">
        <v>10</v>
      </c>
      <c r="F4409">
        <v>13303</v>
      </c>
    </row>
    <row r="4410" spans="1:6" x14ac:dyDescent="0.25">
      <c r="A4410" t="s">
        <v>8250</v>
      </c>
      <c r="B4410" t="s">
        <v>8251</v>
      </c>
      <c r="C4410" s="1">
        <v>44083</v>
      </c>
      <c r="D4410" t="b">
        <v>1</v>
      </c>
      <c r="E4410" t="s">
        <v>10</v>
      </c>
      <c r="F4410">
        <v>3684</v>
      </c>
    </row>
    <row r="4411" spans="1:6" x14ac:dyDescent="0.25">
      <c r="A4411" t="s">
        <v>8252</v>
      </c>
      <c r="B4411" t="s">
        <v>8253</v>
      </c>
      <c r="C4411" s="1">
        <v>44083</v>
      </c>
      <c r="D4411" t="b">
        <v>1</v>
      </c>
      <c r="E4411" t="s">
        <v>10</v>
      </c>
      <c r="F4411">
        <v>3685</v>
      </c>
    </row>
    <row r="4412" spans="1:6" x14ac:dyDescent="0.25">
      <c r="A4412" t="s">
        <v>8254</v>
      </c>
      <c r="B4412" t="s">
        <v>8255</v>
      </c>
      <c r="C4412" s="1">
        <v>44083</v>
      </c>
      <c r="D4412" t="b">
        <v>1</v>
      </c>
      <c r="E4412" t="s">
        <v>10</v>
      </c>
      <c r="F4412">
        <v>3686</v>
      </c>
    </row>
    <row r="4413" spans="1:6" x14ac:dyDescent="0.25">
      <c r="A4413" t="s">
        <v>8256</v>
      </c>
      <c r="B4413" t="s">
        <v>8257</v>
      </c>
      <c r="C4413" s="1">
        <v>44083</v>
      </c>
      <c r="D4413" t="b">
        <v>1</v>
      </c>
      <c r="E4413" t="s">
        <v>10</v>
      </c>
      <c r="F4413">
        <v>3687</v>
      </c>
    </row>
    <row r="4414" spans="1:6" x14ac:dyDescent="0.25">
      <c r="A4414" t="s">
        <v>8258</v>
      </c>
      <c r="B4414" t="s">
        <v>8259</v>
      </c>
      <c r="C4414" s="1">
        <v>44083</v>
      </c>
      <c r="D4414" t="b">
        <v>1</v>
      </c>
      <c r="E4414" t="s">
        <v>10</v>
      </c>
      <c r="F4414">
        <v>3688</v>
      </c>
    </row>
    <row r="4415" spans="1:6" x14ac:dyDescent="0.25">
      <c r="A4415" t="s">
        <v>8260</v>
      </c>
      <c r="B4415" t="s">
        <v>8261</v>
      </c>
      <c r="C4415" s="1">
        <v>44083</v>
      </c>
      <c r="D4415" t="b">
        <v>1</v>
      </c>
      <c r="E4415" t="s">
        <v>10</v>
      </c>
      <c r="F4415">
        <v>3689</v>
      </c>
    </row>
    <row r="4416" spans="1:6" x14ac:dyDescent="0.25">
      <c r="A4416" t="s">
        <v>8262</v>
      </c>
      <c r="B4416" t="s">
        <v>8263</v>
      </c>
      <c r="C4416" s="1">
        <v>44083</v>
      </c>
      <c r="D4416" t="b">
        <v>1</v>
      </c>
      <c r="E4416" t="s">
        <v>10</v>
      </c>
      <c r="F4416">
        <v>3690</v>
      </c>
    </row>
    <row r="4417" spans="1:6" x14ac:dyDescent="0.25">
      <c r="A4417" t="s">
        <v>8264</v>
      </c>
      <c r="B4417" t="s">
        <v>8265</v>
      </c>
      <c r="C4417" s="1">
        <v>44083</v>
      </c>
      <c r="D4417" t="b">
        <v>1</v>
      </c>
      <c r="E4417" t="s">
        <v>10</v>
      </c>
      <c r="F4417">
        <v>3691</v>
      </c>
    </row>
    <row r="4418" spans="1:6" x14ac:dyDescent="0.25">
      <c r="A4418" t="s">
        <v>8266</v>
      </c>
      <c r="B4418" t="s">
        <v>8267</v>
      </c>
      <c r="C4418" s="1">
        <v>44083</v>
      </c>
      <c r="D4418" t="b">
        <v>1</v>
      </c>
      <c r="E4418" t="s">
        <v>10</v>
      </c>
      <c r="F4418">
        <v>3692</v>
      </c>
    </row>
    <row r="4419" spans="1:6" x14ac:dyDescent="0.25">
      <c r="A4419" t="s">
        <v>8268</v>
      </c>
      <c r="B4419" t="s">
        <v>8269</v>
      </c>
      <c r="C4419" s="1">
        <v>44083</v>
      </c>
      <c r="D4419" t="b">
        <v>1</v>
      </c>
      <c r="E4419" t="s">
        <v>10</v>
      </c>
      <c r="F4419">
        <v>3693</v>
      </c>
    </row>
    <row r="4420" spans="1:6" x14ac:dyDescent="0.25">
      <c r="A4420" t="s">
        <v>8270</v>
      </c>
      <c r="B4420" t="s">
        <v>8271</v>
      </c>
      <c r="C4420" s="1">
        <v>44083</v>
      </c>
      <c r="D4420" t="b">
        <v>1</v>
      </c>
      <c r="E4420" t="s">
        <v>10</v>
      </c>
      <c r="F4420">
        <v>3694</v>
      </c>
    </row>
    <row r="4421" spans="1:6" x14ac:dyDescent="0.25">
      <c r="A4421" t="s">
        <v>8272</v>
      </c>
      <c r="B4421" t="s">
        <v>8273</v>
      </c>
      <c r="C4421" s="1">
        <v>44083</v>
      </c>
      <c r="D4421" t="b">
        <v>1</v>
      </c>
      <c r="E4421" t="s">
        <v>10</v>
      </c>
      <c r="F4421">
        <v>3695</v>
      </c>
    </row>
    <row r="4422" spans="1:6" x14ac:dyDescent="0.25">
      <c r="A4422" t="s">
        <v>8274</v>
      </c>
      <c r="B4422" t="s">
        <v>8275</v>
      </c>
      <c r="C4422" s="1">
        <v>44083</v>
      </c>
      <c r="D4422" t="b">
        <v>1</v>
      </c>
      <c r="E4422" t="s">
        <v>10</v>
      </c>
      <c r="F4422">
        <v>3696</v>
      </c>
    </row>
    <row r="4423" spans="1:6" x14ac:dyDescent="0.25">
      <c r="A4423" t="s">
        <v>8276</v>
      </c>
      <c r="B4423" t="s">
        <v>8277</v>
      </c>
      <c r="C4423" s="1">
        <v>44083</v>
      </c>
      <c r="D4423" t="b">
        <v>1</v>
      </c>
      <c r="E4423" t="s">
        <v>10</v>
      </c>
      <c r="F4423">
        <v>3697</v>
      </c>
    </row>
    <row r="4424" spans="1:6" x14ac:dyDescent="0.25">
      <c r="A4424" t="s">
        <v>8278</v>
      </c>
      <c r="B4424" t="s">
        <v>8279</v>
      </c>
      <c r="C4424" s="1">
        <v>44083</v>
      </c>
      <c r="D4424" t="b">
        <v>1</v>
      </c>
      <c r="E4424" t="s">
        <v>10</v>
      </c>
      <c r="F4424">
        <v>3698</v>
      </c>
    </row>
    <row r="4425" spans="1:6" x14ac:dyDescent="0.25">
      <c r="A4425" t="s">
        <v>8280</v>
      </c>
      <c r="B4425" t="s">
        <v>8281</v>
      </c>
      <c r="C4425" s="1">
        <v>44083</v>
      </c>
      <c r="D4425" t="b">
        <v>1</v>
      </c>
      <c r="E4425" t="s">
        <v>10</v>
      </c>
      <c r="F4425">
        <v>3700</v>
      </c>
    </row>
    <row r="4426" spans="1:6" x14ac:dyDescent="0.25">
      <c r="A4426" t="s">
        <v>8282</v>
      </c>
      <c r="B4426" t="s">
        <v>8283</v>
      </c>
      <c r="C4426" s="1">
        <v>44083</v>
      </c>
      <c r="D4426" t="b">
        <v>1</v>
      </c>
      <c r="E4426" t="s">
        <v>10</v>
      </c>
      <c r="F4426">
        <v>3701</v>
      </c>
    </row>
    <row r="4427" spans="1:6" x14ac:dyDescent="0.25">
      <c r="A4427" t="s">
        <v>8284</v>
      </c>
      <c r="B4427" t="s">
        <v>8285</v>
      </c>
      <c r="C4427" s="1">
        <v>44083</v>
      </c>
      <c r="D4427" t="b">
        <v>1</v>
      </c>
      <c r="E4427" t="s">
        <v>10</v>
      </c>
      <c r="F4427">
        <v>3703</v>
      </c>
    </row>
    <row r="4428" spans="1:6" x14ac:dyDescent="0.25">
      <c r="A4428" t="s">
        <v>8286</v>
      </c>
      <c r="B4428" t="s">
        <v>8287</v>
      </c>
      <c r="C4428" s="1">
        <v>44083</v>
      </c>
      <c r="D4428" t="b">
        <v>1</v>
      </c>
      <c r="E4428" t="s">
        <v>10</v>
      </c>
      <c r="F4428">
        <v>3704</v>
      </c>
    </row>
    <row r="4429" spans="1:6" x14ac:dyDescent="0.25">
      <c r="A4429" t="s">
        <v>8288</v>
      </c>
      <c r="B4429" t="s">
        <v>8289</v>
      </c>
      <c r="C4429" s="1">
        <v>44083</v>
      </c>
      <c r="D4429" t="b">
        <v>1</v>
      </c>
      <c r="E4429" t="s">
        <v>10</v>
      </c>
      <c r="F4429">
        <v>3705</v>
      </c>
    </row>
    <row r="4430" spans="1:6" x14ac:dyDescent="0.25">
      <c r="A4430" t="s">
        <v>8290</v>
      </c>
      <c r="B4430" t="s">
        <v>8291</v>
      </c>
      <c r="C4430" s="1">
        <v>44083</v>
      </c>
      <c r="D4430" t="b">
        <v>1</v>
      </c>
      <c r="E4430" t="s">
        <v>10</v>
      </c>
      <c r="F4430">
        <v>3706</v>
      </c>
    </row>
    <row r="4431" spans="1:6" x14ac:dyDescent="0.25">
      <c r="A4431" t="s">
        <v>8292</v>
      </c>
      <c r="B4431" t="s">
        <v>8293</v>
      </c>
      <c r="C4431" s="1">
        <v>44083</v>
      </c>
      <c r="D4431" t="b">
        <v>1</v>
      </c>
      <c r="E4431" t="s">
        <v>10</v>
      </c>
      <c r="F4431">
        <v>3707</v>
      </c>
    </row>
    <row r="4432" spans="1:6" x14ac:dyDescent="0.25">
      <c r="A4432" t="s">
        <v>8294</v>
      </c>
      <c r="B4432" t="s">
        <v>8295</v>
      </c>
      <c r="C4432" s="1">
        <v>44083</v>
      </c>
      <c r="D4432" t="b">
        <v>1</v>
      </c>
      <c r="E4432" t="s">
        <v>10</v>
      </c>
      <c r="F4432">
        <v>3708</v>
      </c>
    </row>
    <row r="4433" spans="1:6" x14ac:dyDescent="0.25">
      <c r="A4433" t="s">
        <v>8296</v>
      </c>
      <c r="B4433" t="s">
        <v>8297</v>
      </c>
      <c r="C4433" s="1">
        <v>44083</v>
      </c>
      <c r="D4433" t="b">
        <v>1</v>
      </c>
      <c r="E4433" t="s">
        <v>10</v>
      </c>
      <c r="F4433">
        <v>15591</v>
      </c>
    </row>
    <row r="4434" spans="1:6" x14ac:dyDescent="0.25">
      <c r="A4434" t="s">
        <v>8298</v>
      </c>
      <c r="B4434" t="s">
        <v>8299</v>
      </c>
      <c r="C4434" s="1">
        <v>44083</v>
      </c>
      <c r="D4434" t="b">
        <v>1</v>
      </c>
      <c r="E4434" t="s">
        <v>10</v>
      </c>
      <c r="F4434">
        <v>3709</v>
      </c>
    </row>
    <row r="4435" spans="1:6" x14ac:dyDescent="0.25">
      <c r="A4435" t="s">
        <v>8300</v>
      </c>
      <c r="B4435" t="s">
        <v>8301</v>
      </c>
      <c r="C4435" s="1">
        <v>44083</v>
      </c>
      <c r="D4435" t="b">
        <v>1</v>
      </c>
      <c r="E4435" t="s">
        <v>10</v>
      </c>
      <c r="F4435">
        <v>3711</v>
      </c>
    </row>
    <row r="4436" spans="1:6" x14ac:dyDescent="0.25">
      <c r="A4436" t="s">
        <v>8302</v>
      </c>
      <c r="B4436" t="s">
        <v>8303</v>
      </c>
      <c r="C4436" s="1">
        <v>44083</v>
      </c>
      <c r="D4436" t="b">
        <v>1</v>
      </c>
      <c r="E4436" t="s">
        <v>10</v>
      </c>
      <c r="F4436">
        <v>3712</v>
      </c>
    </row>
    <row r="4437" spans="1:6" x14ac:dyDescent="0.25">
      <c r="A4437" t="s">
        <v>8304</v>
      </c>
      <c r="B4437" t="s">
        <v>8305</v>
      </c>
      <c r="C4437" s="1">
        <v>44083</v>
      </c>
      <c r="D4437" t="b">
        <v>1</v>
      </c>
      <c r="E4437" t="s">
        <v>10</v>
      </c>
      <c r="F4437">
        <v>3713</v>
      </c>
    </row>
    <row r="4438" spans="1:6" x14ac:dyDescent="0.25">
      <c r="A4438" t="s">
        <v>8306</v>
      </c>
      <c r="B4438" t="s">
        <v>8307</v>
      </c>
      <c r="C4438" s="1">
        <v>44083</v>
      </c>
      <c r="D4438" t="b">
        <v>1</v>
      </c>
      <c r="E4438" t="s">
        <v>10</v>
      </c>
      <c r="F4438">
        <v>3714</v>
      </c>
    </row>
    <row r="4439" spans="1:6" x14ac:dyDescent="0.25">
      <c r="A4439" t="s">
        <v>8308</v>
      </c>
      <c r="B4439" t="s">
        <v>8309</v>
      </c>
      <c r="C4439" s="1">
        <v>44083</v>
      </c>
      <c r="D4439" t="b">
        <v>1</v>
      </c>
      <c r="E4439" t="s">
        <v>10</v>
      </c>
      <c r="F4439">
        <v>3715</v>
      </c>
    </row>
    <row r="4440" spans="1:6" x14ac:dyDescent="0.25">
      <c r="A4440" t="s">
        <v>8310</v>
      </c>
      <c r="B4440" t="s">
        <v>8311</v>
      </c>
      <c r="C4440" s="1">
        <v>44083</v>
      </c>
      <c r="D4440" t="b">
        <v>1</v>
      </c>
      <c r="E4440" t="s">
        <v>10</v>
      </c>
      <c r="F4440">
        <v>3716</v>
      </c>
    </row>
    <row r="4441" spans="1:6" x14ac:dyDescent="0.25">
      <c r="A4441" t="s">
        <v>8312</v>
      </c>
      <c r="B4441" t="s">
        <v>8313</v>
      </c>
      <c r="C4441" s="1">
        <v>44083</v>
      </c>
      <c r="D4441" t="b">
        <v>1</v>
      </c>
      <c r="E4441" t="s">
        <v>10</v>
      </c>
      <c r="F4441">
        <v>3717</v>
      </c>
    </row>
    <row r="4442" spans="1:6" x14ac:dyDescent="0.25">
      <c r="A4442" t="s">
        <v>8314</v>
      </c>
      <c r="B4442" t="s">
        <v>8315</v>
      </c>
      <c r="C4442" s="1">
        <v>44083</v>
      </c>
      <c r="D4442" t="b">
        <v>1</v>
      </c>
      <c r="E4442" t="s">
        <v>10</v>
      </c>
      <c r="F4442">
        <v>3718</v>
      </c>
    </row>
    <row r="4443" spans="1:6" x14ac:dyDescent="0.25">
      <c r="A4443" t="s">
        <v>8316</v>
      </c>
      <c r="B4443" t="s">
        <v>8317</v>
      </c>
      <c r="C4443" s="1">
        <v>44083</v>
      </c>
      <c r="D4443" t="b">
        <v>1</v>
      </c>
      <c r="E4443" t="s">
        <v>10</v>
      </c>
      <c r="F4443">
        <v>3719</v>
      </c>
    </row>
    <row r="4444" spans="1:6" x14ac:dyDescent="0.25">
      <c r="A4444" t="s">
        <v>8318</v>
      </c>
      <c r="B4444" t="s">
        <v>8319</v>
      </c>
      <c r="C4444" s="1">
        <v>44083</v>
      </c>
      <c r="D4444" t="b">
        <v>1</v>
      </c>
      <c r="E4444" t="s">
        <v>10</v>
      </c>
      <c r="F4444">
        <v>3720</v>
      </c>
    </row>
    <row r="4445" spans="1:6" x14ac:dyDescent="0.25">
      <c r="A4445" t="s">
        <v>8320</v>
      </c>
      <c r="B4445" t="s">
        <v>8321</v>
      </c>
      <c r="C4445" s="1">
        <v>44083</v>
      </c>
      <c r="D4445" t="b">
        <v>1</v>
      </c>
      <c r="E4445" t="s">
        <v>10</v>
      </c>
      <c r="F4445">
        <v>3721</v>
      </c>
    </row>
    <row r="4446" spans="1:6" x14ac:dyDescent="0.25">
      <c r="A4446" t="s">
        <v>8322</v>
      </c>
      <c r="B4446" t="s">
        <v>8323</v>
      </c>
      <c r="C4446" s="1">
        <v>44083</v>
      </c>
      <c r="D4446" t="b">
        <v>1</v>
      </c>
      <c r="E4446" t="s">
        <v>10</v>
      </c>
      <c r="F4446">
        <v>3722</v>
      </c>
    </row>
    <row r="4447" spans="1:6" x14ac:dyDescent="0.25">
      <c r="A4447" t="s">
        <v>8324</v>
      </c>
      <c r="B4447" t="s">
        <v>8325</v>
      </c>
      <c r="C4447" s="1">
        <v>44083</v>
      </c>
      <c r="D4447" t="b">
        <v>1</v>
      </c>
      <c r="E4447" t="s">
        <v>10</v>
      </c>
      <c r="F4447">
        <v>3723</v>
      </c>
    </row>
    <row r="4448" spans="1:6" x14ac:dyDescent="0.25">
      <c r="A4448" t="s">
        <v>8326</v>
      </c>
      <c r="B4448" t="s">
        <v>8327</v>
      </c>
      <c r="C4448" s="1">
        <v>44083</v>
      </c>
      <c r="D4448" t="b">
        <v>1</v>
      </c>
      <c r="E4448" t="s">
        <v>10</v>
      </c>
      <c r="F4448">
        <v>3724</v>
      </c>
    </row>
    <row r="4449" spans="1:6" x14ac:dyDescent="0.25">
      <c r="A4449" t="s">
        <v>8328</v>
      </c>
      <c r="B4449" t="s">
        <v>8329</v>
      </c>
      <c r="C4449" s="1">
        <v>44083</v>
      </c>
      <c r="D4449" t="b">
        <v>1</v>
      </c>
      <c r="E4449" t="s">
        <v>10</v>
      </c>
      <c r="F4449">
        <v>11107</v>
      </c>
    </row>
    <row r="4450" spans="1:6" x14ac:dyDescent="0.25">
      <c r="A4450" t="s">
        <v>8330</v>
      </c>
      <c r="B4450" t="s">
        <v>8331</v>
      </c>
      <c r="C4450" s="1">
        <v>44083</v>
      </c>
      <c r="D4450" t="b">
        <v>1</v>
      </c>
      <c r="E4450" t="s">
        <v>10</v>
      </c>
      <c r="F4450">
        <v>13868</v>
      </c>
    </row>
    <row r="4451" spans="1:6" x14ac:dyDescent="0.25">
      <c r="A4451" t="s">
        <v>8332</v>
      </c>
      <c r="B4451" t="s">
        <v>8333</v>
      </c>
      <c r="C4451" s="1">
        <v>44083</v>
      </c>
      <c r="D4451" t="b">
        <v>1</v>
      </c>
      <c r="E4451" t="s">
        <v>10</v>
      </c>
      <c r="F4451">
        <v>3753</v>
      </c>
    </row>
    <row r="4452" spans="1:6" x14ac:dyDescent="0.25">
      <c r="A4452" t="s">
        <v>8334</v>
      </c>
      <c r="B4452" t="s">
        <v>8335</v>
      </c>
      <c r="C4452" s="1">
        <v>44083</v>
      </c>
      <c r="D4452" t="b">
        <v>1</v>
      </c>
      <c r="E4452" t="s">
        <v>10</v>
      </c>
      <c r="F4452">
        <v>3725</v>
      </c>
    </row>
    <row r="4453" spans="1:6" x14ac:dyDescent="0.25">
      <c r="A4453" t="s">
        <v>8336</v>
      </c>
      <c r="B4453" t="s">
        <v>8337</v>
      </c>
      <c r="C4453" s="1">
        <v>44083</v>
      </c>
      <c r="D4453" t="b">
        <v>1</v>
      </c>
      <c r="E4453" t="s">
        <v>10</v>
      </c>
      <c r="F4453">
        <v>15314</v>
      </c>
    </row>
    <row r="4454" spans="1:6" x14ac:dyDescent="0.25">
      <c r="A4454" t="s">
        <v>8338</v>
      </c>
      <c r="B4454" t="s">
        <v>8339</v>
      </c>
      <c r="C4454" s="1">
        <v>44083</v>
      </c>
      <c r="D4454" t="b">
        <v>1</v>
      </c>
      <c r="E4454" t="s">
        <v>10</v>
      </c>
      <c r="F4454">
        <v>9204</v>
      </c>
    </row>
    <row r="4455" spans="1:6" x14ac:dyDescent="0.25">
      <c r="A4455" t="s">
        <v>8340</v>
      </c>
      <c r="B4455" t="s">
        <v>8341</v>
      </c>
      <c r="C4455" s="1">
        <v>44083</v>
      </c>
      <c r="D4455" t="b">
        <v>1</v>
      </c>
      <c r="E4455" t="s">
        <v>10</v>
      </c>
      <c r="F4455">
        <v>3729</v>
      </c>
    </row>
    <row r="4456" spans="1:6" x14ac:dyDescent="0.25">
      <c r="A4456" t="s">
        <v>8342</v>
      </c>
      <c r="B4456" t="s">
        <v>8343</v>
      </c>
      <c r="C4456" s="1">
        <v>44083</v>
      </c>
      <c r="D4456" t="b">
        <v>1</v>
      </c>
      <c r="E4456" t="s">
        <v>10</v>
      </c>
      <c r="F4456">
        <v>16979</v>
      </c>
    </row>
    <row r="4457" spans="1:6" x14ac:dyDescent="0.25">
      <c r="A4457" t="s">
        <v>8344</v>
      </c>
      <c r="B4457" t="s">
        <v>8345</v>
      </c>
      <c r="C4457" s="1">
        <v>44083</v>
      </c>
      <c r="D4457" t="b">
        <v>1</v>
      </c>
      <c r="E4457" t="s">
        <v>10</v>
      </c>
      <c r="F4457">
        <v>394</v>
      </c>
    </row>
    <row r="4458" spans="1:6" x14ac:dyDescent="0.25">
      <c r="A4458" t="s">
        <v>8346</v>
      </c>
      <c r="B4458" t="s">
        <v>8347</v>
      </c>
      <c r="C4458" s="1">
        <v>44083</v>
      </c>
      <c r="D4458" t="b">
        <v>1</v>
      </c>
      <c r="E4458" t="s">
        <v>10</v>
      </c>
      <c r="F4458">
        <v>9460</v>
      </c>
    </row>
    <row r="4459" spans="1:6" x14ac:dyDescent="0.25">
      <c r="A4459" t="s">
        <v>8348</v>
      </c>
      <c r="B4459" t="s">
        <v>8349</v>
      </c>
      <c r="C4459" s="1">
        <v>44083</v>
      </c>
      <c r="D4459" t="b">
        <v>1</v>
      </c>
      <c r="E4459" t="s">
        <v>10</v>
      </c>
      <c r="F4459">
        <v>3732</v>
      </c>
    </row>
    <row r="4460" spans="1:6" x14ac:dyDescent="0.25">
      <c r="A4460" t="s">
        <v>8350</v>
      </c>
      <c r="B4460" t="s">
        <v>8351</v>
      </c>
      <c r="C4460" s="1">
        <v>44083</v>
      </c>
      <c r="D4460" t="b">
        <v>1</v>
      </c>
      <c r="E4460" t="s">
        <v>10</v>
      </c>
      <c r="F4460">
        <v>13103</v>
      </c>
    </row>
    <row r="4461" spans="1:6" x14ac:dyDescent="0.25">
      <c r="A4461" t="s">
        <v>8352</v>
      </c>
      <c r="B4461" t="s">
        <v>8353</v>
      </c>
      <c r="C4461" s="1">
        <v>44083</v>
      </c>
      <c r="D4461" t="b">
        <v>1</v>
      </c>
      <c r="E4461" t="s">
        <v>10</v>
      </c>
      <c r="F4461">
        <v>3733</v>
      </c>
    </row>
    <row r="4462" spans="1:6" x14ac:dyDescent="0.25">
      <c r="A4462" t="s">
        <v>8354</v>
      </c>
      <c r="C4462" s="1">
        <v>44083</v>
      </c>
      <c r="D4462" t="b">
        <v>1</v>
      </c>
      <c r="E4462" t="s">
        <v>10</v>
      </c>
      <c r="F4462">
        <v>3736</v>
      </c>
    </row>
    <row r="4463" spans="1:6" x14ac:dyDescent="0.25">
      <c r="A4463" t="s">
        <v>8355</v>
      </c>
      <c r="B4463" t="s">
        <v>8356</v>
      </c>
      <c r="C4463" s="1">
        <v>44083</v>
      </c>
      <c r="D4463" t="b">
        <v>1</v>
      </c>
      <c r="E4463" t="s">
        <v>10</v>
      </c>
      <c r="F4463">
        <v>3737</v>
      </c>
    </row>
    <row r="4464" spans="1:6" x14ac:dyDescent="0.25">
      <c r="A4464" t="s">
        <v>8357</v>
      </c>
      <c r="B4464" t="s">
        <v>8358</v>
      </c>
      <c r="C4464" s="1">
        <v>44083</v>
      </c>
      <c r="D4464" t="b">
        <v>1</v>
      </c>
      <c r="E4464" t="s">
        <v>10</v>
      </c>
      <c r="F4464">
        <v>3738</v>
      </c>
    </row>
    <row r="4465" spans="1:6" x14ac:dyDescent="0.25">
      <c r="A4465" t="s">
        <v>8359</v>
      </c>
      <c r="B4465" t="s">
        <v>8360</v>
      </c>
      <c r="C4465" s="1">
        <v>44083</v>
      </c>
      <c r="D4465" t="b">
        <v>1</v>
      </c>
      <c r="E4465" t="s">
        <v>10</v>
      </c>
      <c r="F4465">
        <v>3742</v>
      </c>
    </row>
    <row r="4466" spans="1:6" x14ac:dyDescent="0.25">
      <c r="A4466" t="s">
        <v>8361</v>
      </c>
      <c r="B4466" t="s">
        <v>8362</v>
      </c>
      <c r="C4466" s="1">
        <v>44083</v>
      </c>
      <c r="D4466" t="b">
        <v>1</v>
      </c>
      <c r="E4466" t="s">
        <v>10</v>
      </c>
      <c r="F4466">
        <v>3743</v>
      </c>
    </row>
    <row r="4467" spans="1:6" x14ac:dyDescent="0.25">
      <c r="A4467" t="s">
        <v>8363</v>
      </c>
      <c r="B4467" t="s">
        <v>8364</v>
      </c>
      <c r="C4467" s="1">
        <v>44083</v>
      </c>
      <c r="D4467" t="b">
        <v>1</v>
      </c>
      <c r="E4467" t="s">
        <v>10</v>
      </c>
      <c r="F4467">
        <v>9832</v>
      </c>
    </row>
    <row r="4468" spans="1:6" x14ac:dyDescent="0.25">
      <c r="A4468" t="s">
        <v>8365</v>
      </c>
      <c r="C4468" s="1">
        <v>44083</v>
      </c>
      <c r="D4468" t="b">
        <v>1</v>
      </c>
      <c r="E4468" t="s">
        <v>10</v>
      </c>
      <c r="F4468">
        <v>14099</v>
      </c>
    </row>
    <row r="4469" spans="1:6" x14ac:dyDescent="0.25">
      <c r="A4469" t="s">
        <v>8366</v>
      </c>
      <c r="B4469" t="s">
        <v>8367</v>
      </c>
      <c r="C4469" s="1">
        <v>44083</v>
      </c>
      <c r="D4469" t="b">
        <v>1</v>
      </c>
      <c r="E4469" t="s">
        <v>10</v>
      </c>
      <c r="F4469">
        <v>3744</v>
      </c>
    </row>
    <row r="4470" spans="1:6" x14ac:dyDescent="0.25">
      <c r="A4470" t="s">
        <v>8368</v>
      </c>
      <c r="B4470" t="s">
        <v>8369</v>
      </c>
      <c r="C4470" s="1">
        <v>44083</v>
      </c>
      <c r="D4470" t="b">
        <v>1</v>
      </c>
      <c r="E4470" t="s">
        <v>10</v>
      </c>
      <c r="F4470">
        <v>6991</v>
      </c>
    </row>
    <row r="4471" spans="1:6" x14ac:dyDescent="0.25">
      <c r="A4471" t="s">
        <v>8370</v>
      </c>
      <c r="B4471" t="s">
        <v>8371</v>
      </c>
      <c r="C4471" s="1">
        <v>44083</v>
      </c>
      <c r="D4471" t="b">
        <v>1</v>
      </c>
      <c r="E4471" t="s">
        <v>10</v>
      </c>
      <c r="F4471">
        <v>12734</v>
      </c>
    </row>
    <row r="4472" spans="1:6" x14ac:dyDescent="0.25">
      <c r="A4472" t="s">
        <v>8372</v>
      </c>
      <c r="B4472" t="s">
        <v>8373</v>
      </c>
      <c r="C4472" s="1">
        <v>44083</v>
      </c>
      <c r="D4472" t="b">
        <v>1</v>
      </c>
      <c r="E4472" t="s">
        <v>10</v>
      </c>
      <c r="F4472">
        <v>3746</v>
      </c>
    </row>
    <row r="4473" spans="1:6" x14ac:dyDescent="0.25">
      <c r="A4473" t="s">
        <v>8374</v>
      </c>
      <c r="B4473" t="s">
        <v>8375</v>
      </c>
      <c r="C4473" s="1">
        <v>44083</v>
      </c>
      <c r="D4473" t="b">
        <v>1</v>
      </c>
      <c r="E4473" t="s">
        <v>10</v>
      </c>
      <c r="F4473">
        <v>15409</v>
      </c>
    </row>
    <row r="4474" spans="1:6" x14ac:dyDescent="0.25">
      <c r="A4474" t="s">
        <v>8376</v>
      </c>
      <c r="B4474" t="s">
        <v>8377</v>
      </c>
      <c r="C4474" s="1">
        <v>44083</v>
      </c>
      <c r="D4474" t="b">
        <v>1</v>
      </c>
      <c r="E4474" t="s">
        <v>10</v>
      </c>
      <c r="F4474">
        <v>3748</v>
      </c>
    </row>
    <row r="4475" spans="1:6" x14ac:dyDescent="0.25">
      <c r="A4475" t="s">
        <v>8378</v>
      </c>
      <c r="B4475" t="s">
        <v>8379</v>
      </c>
      <c r="C4475" s="1">
        <v>44083</v>
      </c>
      <c r="D4475" t="b">
        <v>1</v>
      </c>
      <c r="E4475" t="s">
        <v>10</v>
      </c>
      <c r="F4475">
        <v>3749</v>
      </c>
    </row>
    <row r="4476" spans="1:6" x14ac:dyDescent="0.25">
      <c r="A4476" t="s">
        <v>8380</v>
      </c>
      <c r="B4476" t="s">
        <v>8381</v>
      </c>
      <c r="C4476" s="1">
        <v>44083</v>
      </c>
      <c r="D4476" t="b">
        <v>1</v>
      </c>
      <c r="E4476" t="s">
        <v>10</v>
      </c>
      <c r="F4476">
        <v>8640</v>
      </c>
    </row>
    <row r="4477" spans="1:6" x14ac:dyDescent="0.25">
      <c r="A4477" t="s">
        <v>8382</v>
      </c>
      <c r="B4477" t="s">
        <v>8383</v>
      </c>
      <c r="C4477" s="1">
        <v>44083</v>
      </c>
      <c r="D4477" t="b">
        <v>1</v>
      </c>
      <c r="E4477" t="s">
        <v>10</v>
      </c>
      <c r="F4477">
        <v>3750</v>
      </c>
    </row>
    <row r="4478" spans="1:6" x14ac:dyDescent="0.25">
      <c r="A4478" t="s">
        <v>8384</v>
      </c>
      <c r="B4478" t="s">
        <v>8385</v>
      </c>
      <c r="C4478" s="1">
        <v>44083</v>
      </c>
      <c r="D4478" t="b">
        <v>1</v>
      </c>
      <c r="E4478" t="s">
        <v>10</v>
      </c>
      <c r="F4478">
        <v>13735</v>
      </c>
    </row>
    <row r="4479" spans="1:6" x14ac:dyDescent="0.25">
      <c r="A4479" t="s">
        <v>8386</v>
      </c>
      <c r="B4479" t="s">
        <v>8387</v>
      </c>
      <c r="C4479" s="1">
        <v>44083</v>
      </c>
      <c r="D4479" t="b">
        <v>1</v>
      </c>
      <c r="E4479" t="s">
        <v>10</v>
      </c>
      <c r="F4479">
        <v>7891</v>
      </c>
    </row>
    <row r="4480" spans="1:6" x14ac:dyDescent="0.25">
      <c r="A4480" t="s">
        <v>8388</v>
      </c>
      <c r="B4480" t="s">
        <v>8389</v>
      </c>
      <c r="C4480" s="1">
        <v>44083</v>
      </c>
      <c r="D4480" t="b">
        <v>1</v>
      </c>
      <c r="E4480" t="s">
        <v>10</v>
      </c>
      <c r="F4480">
        <v>3752</v>
      </c>
    </row>
    <row r="4481" spans="1:6" x14ac:dyDescent="0.25">
      <c r="A4481" t="s">
        <v>8390</v>
      </c>
      <c r="C4481" s="1">
        <v>44083</v>
      </c>
      <c r="D4481" t="b">
        <v>1</v>
      </c>
      <c r="E4481" t="s">
        <v>10</v>
      </c>
      <c r="F4481">
        <v>12390</v>
      </c>
    </row>
    <row r="4482" spans="1:6" x14ac:dyDescent="0.25">
      <c r="A4482" t="s">
        <v>8391</v>
      </c>
      <c r="B4482" t="s">
        <v>8392</v>
      </c>
      <c r="C4482" s="1">
        <v>44083</v>
      </c>
      <c r="D4482" t="b">
        <v>1</v>
      </c>
      <c r="E4482" t="s">
        <v>10</v>
      </c>
      <c r="F4482">
        <v>4188</v>
      </c>
    </row>
    <row r="4483" spans="1:6" x14ac:dyDescent="0.25">
      <c r="A4483" t="s">
        <v>8393</v>
      </c>
      <c r="B4483" t="s">
        <v>8394</v>
      </c>
      <c r="C4483" s="1">
        <v>44083</v>
      </c>
      <c r="D4483" t="b">
        <v>1</v>
      </c>
      <c r="E4483" t="s">
        <v>10</v>
      </c>
      <c r="F4483">
        <v>12320</v>
      </c>
    </row>
    <row r="4484" spans="1:6" x14ac:dyDescent="0.25">
      <c r="A4484" t="s">
        <v>8395</v>
      </c>
      <c r="B4484" t="s">
        <v>8396</v>
      </c>
      <c r="C4484" s="1">
        <v>44083</v>
      </c>
      <c r="D4484" t="b">
        <v>1</v>
      </c>
      <c r="E4484" t="s">
        <v>10</v>
      </c>
      <c r="F4484">
        <v>13434</v>
      </c>
    </row>
    <row r="4485" spans="1:6" x14ac:dyDescent="0.25">
      <c r="A4485" t="s">
        <v>8397</v>
      </c>
      <c r="B4485" t="s">
        <v>8398</v>
      </c>
      <c r="C4485" s="1">
        <v>44083</v>
      </c>
      <c r="D4485" t="b">
        <v>1</v>
      </c>
      <c r="E4485" t="s">
        <v>10</v>
      </c>
      <c r="F4485">
        <v>16743</v>
      </c>
    </row>
    <row r="4486" spans="1:6" x14ac:dyDescent="0.25">
      <c r="A4486" t="s">
        <v>8399</v>
      </c>
      <c r="B4486" t="s">
        <v>8400</v>
      </c>
      <c r="C4486" s="1">
        <v>44083</v>
      </c>
      <c r="D4486" t="b">
        <v>1</v>
      </c>
      <c r="E4486" t="s">
        <v>10</v>
      </c>
      <c r="F4486">
        <v>3755</v>
      </c>
    </row>
    <row r="4487" spans="1:6" x14ac:dyDescent="0.25">
      <c r="A4487" t="s">
        <v>8401</v>
      </c>
      <c r="B4487" t="s">
        <v>8402</v>
      </c>
      <c r="C4487" s="1">
        <v>44083</v>
      </c>
      <c r="D4487" t="b">
        <v>1</v>
      </c>
      <c r="E4487" t="s">
        <v>10</v>
      </c>
      <c r="F4487">
        <v>9952</v>
      </c>
    </row>
    <row r="4488" spans="1:6" x14ac:dyDescent="0.25">
      <c r="A4488" t="s">
        <v>8403</v>
      </c>
      <c r="B4488" t="s">
        <v>8404</v>
      </c>
      <c r="C4488" s="1">
        <v>44083</v>
      </c>
      <c r="D4488" t="b">
        <v>1</v>
      </c>
      <c r="E4488" t="s">
        <v>10</v>
      </c>
      <c r="F4488">
        <v>15324</v>
      </c>
    </row>
    <row r="4489" spans="1:6" x14ac:dyDescent="0.25">
      <c r="A4489" t="s">
        <v>8405</v>
      </c>
      <c r="B4489" t="s">
        <v>8406</v>
      </c>
      <c r="C4489" s="1">
        <v>44083</v>
      </c>
      <c r="D4489" t="b">
        <v>1</v>
      </c>
      <c r="E4489" t="s">
        <v>10</v>
      </c>
      <c r="F4489">
        <v>15730</v>
      </c>
    </row>
    <row r="4490" spans="1:6" x14ac:dyDescent="0.25">
      <c r="A4490" t="s">
        <v>8407</v>
      </c>
      <c r="B4490" t="s">
        <v>8408</v>
      </c>
      <c r="C4490" s="1">
        <v>44083</v>
      </c>
      <c r="D4490" t="b">
        <v>1</v>
      </c>
      <c r="E4490" t="s">
        <v>10</v>
      </c>
      <c r="F4490">
        <v>15731</v>
      </c>
    </row>
    <row r="4491" spans="1:6" x14ac:dyDescent="0.25">
      <c r="A4491" t="s">
        <v>8409</v>
      </c>
      <c r="B4491" t="s">
        <v>8406</v>
      </c>
      <c r="C4491" s="1">
        <v>44083</v>
      </c>
      <c r="D4491" t="b">
        <v>1</v>
      </c>
      <c r="E4491" t="s">
        <v>10</v>
      </c>
      <c r="F4491">
        <v>15461</v>
      </c>
    </row>
    <row r="4492" spans="1:6" x14ac:dyDescent="0.25">
      <c r="A4492" t="s">
        <v>8410</v>
      </c>
      <c r="C4492" s="1">
        <v>44083</v>
      </c>
      <c r="D4492" t="b">
        <v>1</v>
      </c>
      <c r="E4492" t="s">
        <v>10</v>
      </c>
      <c r="F4492">
        <v>15735</v>
      </c>
    </row>
    <row r="4493" spans="1:6" x14ac:dyDescent="0.25">
      <c r="A4493" t="s">
        <v>8411</v>
      </c>
      <c r="B4493" t="s">
        <v>8412</v>
      </c>
      <c r="C4493" s="1">
        <v>44083</v>
      </c>
      <c r="D4493" t="b">
        <v>1</v>
      </c>
      <c r="E4493" t="s">
        <v>10</v>
      </c>
      <c r="F4493">
        <v>3758</v>
      </c>
    </row>
    <row r="4494" spans="1:6" x14ac:dyDescent="0.25">
      <c r="A4494" t="s">
        <v>8413</v>
      </c>
      <c r="B4494" t="s">
        <v>8414</v>
      </c>
      <c r="C4494" s="1">
        <v>44083</v>
      </c>
      <c r="D4494" t="b">
        <v>1</v>
      </c>
      <c r="E4494" t="s">
        <v>10</v>
      </c>
      <c r="F4494">
        <v>15970</v>
      </c>
    </row>
    <row r="4495" spans="1:6" x14ac:dyDescent="0.25">
      <c r="A4495" t="s">
        <v>8415</v>
      </c>
      <c r="B4495" t="s">
        <v>8416</v>
      </c>
      <c r="C4495" s="1">
        <v>44083</v>
      </c>
      <c r="D4495" t="b">
        <v>1</v>
      </c>
      <c r="E4495" t="s">
        <v>10</v>
      </c>
      <c r="F4495">
        <v>14798</v>
      </c>
    </row>
    <row r="4496" spans="1:6" x14ac:dyDescent="0.25">
      <c r="A4496" t="s">
        <v>8417</v>
      </c>
      <c r="B4496" t="s">
        <v>8418</v>
      </c>
      <c r="C4496" s="1">
        <v>44083</v>
      </c>
      <c r="D4496" t="b">
        <v>1</v>
      </c>
      <c r="E4496" t="s">
        <v>10</v>
      </c>
      <c r="F4496">
        <v>9519</v>
      </c>
    </row>
    <row r="4497" spans="1:6" x14ac:dyDescent="0.25">
      <c r="A4497" t="s">
        <v>8419</v>
      </c>
      <c r="B4497" t="s">
        <v>8420</v>
      </c>
      <c r="C4497" s="1">
        <v>44083</v>
      </c>
      <c r="D4497" t="b">
        <v>1</v>
      </c>
      <c r="E4497" t="s">
        <v>10</v>
      </c>
      <c r="F4497">
        <v>15070</v>
      </c>
    </row>
    <row r="4498" spans="1:6" x14ac:dyDescent="0.25">
      <c r="A4498" t="s">
        <v>8421</v>
      </c>
      <c r="B4498" t="s">
        <v>8422</v>
      </c>
      <c r="C4498" s="1">
        <v>44083</v>
      </c>
      <c r="D4498" t="b">
        <v>1</v>
      </c>
      <c r="E4498" t="s">
        <v>10</v>
      </c>
      <c r="F4498">
        <v>11696</v>
      </c>
    </row>
    <row r="4499" spans="1:6" x14ac:dyDescent="0.25">
      <c r="A4499" t="s">
        <v>8423</v>
      </c>
      <c r="B4499" t="s">
        <v>8424</v>
      </c>
      <c r="C4499" s="1">
        <v>44083</v>
      </c>
      <c r="D4499" t="b">
        <v>1</v>
      </c>
      <c r="E4499" t="s">
        <v>10</v>
      </c>
      <c r="F4499">
        <v>15510</v>
      </c>
    </row>
    <row r="4500" spans="1:6" x14ac:dyDescent="0.25">
      <c r="A4500" t="s">
        <v>8425</v>
      </c>
      <c r="B4500" t="s">
        <v>8426</v>
      </c>
      <c r="C4500" s="1">
        <v>44083</v>
      </c>
      <c r="D4500" t="b">
        <v>1</v>
      </c>
      <c r="E4500" t="s">
        <v>10</v>
      </c>
      <c r="F4500">
        <v>15079</v>
      </c>
    </row>
    <row r="4501" spans="1:6" x14ac:dyDescent="0.25">
      <c r="A4501" t="s">
        <v>8427</v>
      </c>
      <c r="B4501" t="s">
        <v>8428</v>
      </c>
      <c r="C4501" s="1">
        <v>44083</v>
      </c>
      <c r="D4501" t="b">
        <v>1</v>
      </c>
      <c r="E4501" t="s">
        <v>10</v>
      </c>
      <c r="F4501">
        <v>12955</v>
      </c>
    </row>
    <row r="4502" spans="1:6" x14ac:dyDescent="0.25">
      <c r="A4502" t="s">
        <v>8429</v>
      </c>
      <c r="B4502" t="s">
        <v>8430</v>
      </c>
      <c r="C4502" s="1">
        <v>44083</v>
      </c>
      <c r="D4502" t="b">
        <v>1</v>
      </c>
      <c r="E4502" t="s">
        <v>10</v>
      </c>
      <c r="F4502">
        <v>3767</v>
      </c>
    </row>
    <row r="4503" spans="1:6" x14ac:dyDescent="0.25">
      <c r="A4503" t="s">
        <v>8431</v>
      </c>
      <c r="B4503" t="s">
        <v>8432</v>
      </c>
      <c r="C4503" s="1">
        <v>44083</v>
      </c>
      <c r="D4503" t="b">
        <v>1</v>
      </c>
      <c r="E4503" t="s">
        <v>10</v>
      </c>
      <c r="F4503">
        <v>11193</v>
      </c>
    </row>
    <row r="4504" spans="1:6" x14ac:dyDescent="0.25">
      <c r="A4504" t="s">
        <v>8433</v>
      </c>
      <c r="B4504" t="s">
        <v>8434</v>
      </c>
      <c r="C4504" s="1">
        <v>44083</v>
      </c>
      <c r="D4504" t="b">
        <v>1</v>
      </c>
      <c r="E4504" t="s">
        <v>10</v>
      </c>
      <c r="F4504">
        <v>10598</v>
      </c>
    </row>
    <row r="4505" spans="1:6" x14ac:dyDescent="0.25">
      <c r="A4505" t="s">
        <v>8435</v>
      </c>
      <c r="B4505" t="s">
        <v>8436</v>
      </c>
      <c r="C4505" s="1">
        <v>44083</v>
      </c>
      <c r="D4505" t="b">
        <v>1</v>
      </c>
      <c r="E4505" t="s">
        <v>10</v>
      </c>
      <c r="F4505">
        <v>12199</v>
      </c>
    </row>
    <row r="4506" spans="1:6" x14ac:dyDescent="0.25">
      <c r="A4506" t="s">
        <v>8437</v>
      </c>
      <c r="B4506" t="s">
        <v>8438</v>
      </c>
      <c r="C4506" s="1">
        <v>44083</v>
      </c>
      <c r="D4506" t="b">
        <v>1</v>
      </c>
      <c r="E4506" t="s">
        <v>10</v>
      </c>
      <c r="F4506">
        <v>11194</v>
      </c>
    </row>
    <row r="4507" spans="1:6" x14ac:dyDescent="0.25">
      <c r="A4507" t="s">
        <v>8439</v>
      </c>
      <c r="B4507" t="s">
        <v>8440</v>
      </c>
      <c r="C4507" s="1">
        <v>44083</v>
      </c>
      <c r="D4507" t="b">
        <v>1</v>
      </c>
      <c r="E4507" t="s">
        <v>10</v>
      </c>
      <c r="F4507">
        <v>10599</v>
      </c>
    </row>
    <row r="4508" spans="1:6" x14ac:dyDescent="0.25">
      <c r="A4508" t="s">
        <v>8441</v>
      </c>
      <c r="B4508" t="s">
        <v>8442</v>
      </c>
      <c r="C4508" s="1">
        <v>44083</v>
      </c>
      <c r="D4508" t="b">
        <v>1</v>
      </c>
      <c r="E4508" t="s">
        <v>10</v>
      </c>
      <c r="F4508">
        <v>10600</v>
      </c>
    </row>
    <row r="4509" spans="1:6" x14ac:dyDescent="0.25">
      <c r="A4509" t="s">
        <v>8443</v>
      </c>
      <c r="B4509" t="s">
        <v>8444</v>
      </c>
      <c r="C4509" s="1">
        <v>44083</v>
      </c>
      <c r="D4509" t="b">
        <v>1</v>
      </c>
      <c r="E4509" t="s">
        <v>10</v>
      </c>
      <c r="F4509">
        <v>11195</v>
      </c>
    </row>
    <row r="4510" spans="1:6" x14ac:dyDescent="0.25">
      <c r="A4510" t="s">
        <v>8445</v>
      </c>
      <c r="B4510" t="s">
        <v>8446</v>
      </c>
      <c r="C4510" s="1">
        <v>44083</v>
      </c>
      <c r="D4510" t="b">
        <v>1</v>
      </c>
      <c r="E4510" t="s">
        <v>10</v>
      </c>
      <c r="F4510">
        <v>10601</v>
      </c>
    </row>
    <row r="4511" spans="1:6" x14ac:dyDescent="0.25">
      <c r="A4511" t="s">
        <v>8447</v>
      </c>
      <c r="B4511" t="s">
        <v>8448</v>
      </c>
      <c r="C4511" s="1">
        <v>44083</v>
      </c>
      <c r="D4511" t="b">
        <v>1</v>
      </c>
      <c r="E4511" t="s">
        <v>10</v>
      </c>
      <c r="F4511">
        <v>10602</v>
      </c>
    </row>
    <row r="4512" spans="1:6" x14ac:dyDescent="0.25">
      <c r="A4512" t="s">
        <v>8449</v>
      </c>
      <c r="B4512" t="s">
        <v>8450</v>
      </c>
      <c r="C4512" s="1">
        <v>44083</v>
      </c>
      <c r="D4512" t="b">
        <v>1</v>
      </c>
      <c r="E4512" t="s">
        <v>10</v>
      </c>
      <c r="F4512">
        <v>11196</v>
      </c>
    </row>
    <row r="4513" spans="1:6" x14ac:dyDescent="0.25">
      <c r="A4513" t="s">
        <v>8451</v>
      </c>
      <c r="B4513" t="s">
        <v>8452</v>
      </c>
      <c r="C4513" s="1">
        <v>44083</v>
      </c>
      <c r="D4513" t="b">
        <v>1</v>
      </c>
      <c r="E4513" t="s">
        <v>10</v>
      </c>
      <c r="F4513">
        <v>10603</v>
      </c>
    </row>
    <row r="4514" spans="1:6" x14ac:dyDescent="0.25">
      <c r="A4514" t="s">
        <v>8453</v>
      </c>
      <c r="B4514" t="s">
        <v>8454</v>
      </c>
      <c r="C4514" s="1">
        <v>44083</v>
      </c>
      <c r="D4514" t="b">
        <v>1</v>
      </c>
      <c r="E4514" t="s">
        <v>10</v>
      </c>
      <c r="F4514">
        <v>11197</v>
      </c>
    </row>
    <row r="4515" spans="1:6" x14ac:dyDescent="0.25">
      <c r="A4515" t="s">
        <v>8455</v>
      </c>
      <c r="B4515" t="s">
        <v>8456</v>
      </c>
      <c r="C4515" s="1">
        <v>44083</v>
      </c>
      <c r="D4515" t="b">
        <v>1</v>
      </c>
      <c r="E4515" t="s">
        <v>10</v>
      </c>
      <c r="F4515">
        <v>3769</v>
      </c>
    </row>
    <row r="4516" spans="1:6" x14ac:dyDescent="0.25">
      <c r="A4516" t="s">
        <v>8457</v>
      </c>
      <c r="B4516" t="s">
        <v>8458</v>
      </c>
      <c r="C4516" s="1">
        <v>44083</v>
      </c>
      <c r="D4516" t="b">
        <v>1</v>
      </c>
      <c r="E4516" t="s">
        <v>10</v>
      </c>
      <c r="F4516">
        <v>13748</v>
      </c>
    </row>
    <row r="4517" spans="1:6" x14ac:dyDescent="0.25">
      <c r="A4517" t="s">
        <v>8459</v>
      </c>
      <c r="B4517" t="s">
        <v>8460</v>
      </c>
      <c r="C4517" s="1">
        <v>44083</v>
      </c>
      <c r="D4517" t="b">
        <v>1</v>
      </c>
      <c r="E4517" t="s">
        <v>10</v>
      </c>
      <c r="F4517">
        <v>3770</v>
      </c>
    </row>
    <row r="4518" spans="1:6" x14ac:dyDescent="0.25">
      <c r="A4518" t="s">
        <v>8461</v>
      </c>
      <c r="B4518" t="s">
        <v>8462</v>
      </c>
      <c r="C4518" s="1">
        <v>44083</v>
      </c>
      <c r="D4518" t="b">
        <v>1</v>
      </c>
      <c r="E4518" t="s">
        <v>10</v>
      </c>
      <c r="F4518">
        <v>10238</v>
      </c>
    </row>
    <row r="4519" spans="1:6" x14ac:dyDescent="0.25">
      <c r="A4519" t="s">
        <v>8463</v>
      </c>
      <c r="B4519" t="s">
        <v>8464</v>
      </c>
      <c r="C4519" s="1">
        <v>44083</v>
      </c>
      <c r="D4519" t="b">
        <v>1</v>
      </c>
      <c r="E4519" t="s">
        <v>10</v>
      </c>
      <c r="F4519">
        <v>16744</v>
      </c>
    </row>
    <row r="4520" spans="1:6" x14ac:dyDescent="0.25">
      <c r="A4520" t="s">
        <v>8465</v>
      </c>
      <c r="B4520" t="s">
        <v>8466</v>
      </c>
      <c r="C4520" s="1">
        <v>44083</v>
      </c>
      <c r="D4520" t="b">
        <v>1</v>
      </c>
      <c r="E4520" t="s">
        <v>10</v>
      </c>
      <c r="F4520">
        <v>15315</v>
      </c>
    </row>
    <row r="4521" spans="1:6" x14ac:dyDescent="0.25">
      <c r="A4521" t="s">
        <v>8467</v>
      </c>
      <c r="B4521" t="s">
        <v>8468</v>
      </c>
      <c r="C4521" s="1">
        <v>44083</v>
      </c>
      <c r="D4521" t="b">
        <v>1</v>
      </c>
      <c r="E4521" t="s">
        <v>10</v>
      </c>
      <c r="F4521">
        <v>16218</v>
      </c>
    </row>
    <row r="4522" spans="1:6" x14ac:dyDescent="0.25">
      <c r="A4522" t="s">
        <v>8469</v>
      </c>
      <c r="C4522" s="1">
        <v>44083</v>
      </c>
      <c r="D4522" t="b">
        <v>1</v>
      </c>
      <c r="E4522" t="s">
        <v>10</v>
      </c>
      <c r="F4522">
        <v>16402</v>
      </c>
    </row>
    <row r="4523" spans="1:6" x14ac:dyDescent="0.25">
      <c r="A4523" t="s">
        <v>8470</v>
      </c>
      <c r="B4523" t="s">
        <v>8471</v>
      </c>
      <c r="C4523" s="1">
        <v>44083</v>
      </c>
      <c r="D4523" t="b">
        <v>1</v>
      </c>
      <c r="E4523" t="s">
        <v>10</v>
      </c>
      <c r="F4523">
        <v>16210</v>
      </c>
    </row>
    <row r="4524" spans="1:6" x14ac:dyDescent="0.25">
      <c r="A4524" t="s">
        <v>8472</v>
      </c>
      <c r="B4524" t="s">
        <v>8473</v>
      </c>
      <c r="C4524" s="1">
        <v>44083</v>
      </c>
      <c r="D4524" t="b">
        <v>1</v>
      </c>
      <c r="E4524" t="s">
        <v>10</v>
      </c>
      <c r="F4524">
        <v>12377</v>
      </c>
    </row>
    <row r="4525" spans="1:6" x14ac:dyDescent="0.25">
      <c r="A4525" t="s">
        <v>8474</v>
      </c>
      <c r="B4525" t="s">
        <v>8475</v>
      </c>
      <c r="C4525" s="1">
        <v>44083</v>
      </c>
      <c r="D4525" t="b">
        <v>1</v>
      </c>
      <c r="E4525" t="s">
        <v>10</v>
      </c>
      <c r="F4525">
        <v>14048</v>
      </c>
    </row>
    <row r="4526" spans="1:6" x14ac:dyDescent="0.25">
      <c r="A4526" t="s">
        <v>8476</v>
      </c>
      <c r="B4526" t="s">
        <v>8477</v>
      </c>
      <c r="C4526" s="1">
        <v>44083</v>
      </c>
      <c r="D4526" t="b">
        <v>1</v>
      </c>
      <c r="E4526" t="s">
        <v>10</v>
      </c>
      <c r="F4526">
        <v>14049</v>
      </c>
    </row>
    <row r="4527" spans="1:6" x14ac:dyDescent="0.25">
      <c r="A4527" t="s">
        <v>8478</v>
      </c>
      <c r="B4527" t="s">
        <v>8479</v>
      </c>
      <c r="C4527" s="1">
        <v>44083</v>
      </c>
      <c r="D4527" t="b">
        <v>1</v>
      </c>
      <c r="E4527" t="s">
        <v>10</v>
      </c>
      <c r="F4527">
        <v>14050</v>
      </c>
    </row>
    <row r="4528" spans="1:6" x14ac:dyDescent="0.25">
      <c r="A4528" t="s">
        <v>8480</v>
      </c>
      <c r="B4528" t="s">
        <v>8481</v>
      </c>
      <c r="C4528" s="1">
        <v>44083</v>
      </c>
      <c r="D4528" t="b">
        <v>1</v>
      </c>
      <c r="E4528" t="s">
        <v>10</v>
      </c>
      <c r="F4528">
        <v>14051</v>
      </c>
    </row>
    <row r="4529" spans="1:6" x14ac:dyDescent="0.25">
      <c r="A4529" t="s">
        <v>8482</v>
      </c>
      <c r="B4529" t="s">
        <v>8483</v>
      </c>
      <c r="C4529" s="1">
        <v>44083</v>
      </c>
      <c r="D4529" t="b">
        <v>1</v>
      </c>
      <c r="E4529" t="s">
        <v>10</v>
      </c>
      <c r="F4529">
        <v>14052</v>
      </c>
    </row>
    <row r="4530" spans="1:6" x14ac:dyDescent="0.25">
      <c r="A4530" t="s">
        <v>8484</v>
      </c>
      <c r="B4530" t="s">
        <v>8485</v>
      </c>
      <c r="C4530" s="1">
        <v>44083</v>
      </c>
      <c r="D4530" t="b">
        <v>1</v>
      </c>
      <c r="E4530" t="s">
        <v>10</v>
      </c>
      <c r="F4530">
        <v>14042</v>
      </c>
    </row>
    <row r="4531" spans="1:6" x14ac:dyDescent="0.25">
      <c r="A4531" t="s">
        <v>8486</v>
      </c>
      <c r="B4531" t="s">
        <v>8487</v>
      </c>
      <c r="C4531" s="1">
        <v>44083</v>
      </c>
      <c r="D4531" t="b">
        <v>1</v>
      </c>
      <c r="E4531" t="s">
        <v>10</v>
      </c>
      <c r="F4531">
        <v>14053</v>
      </c>
    </row>
    <row r="4532" spans="1:6" x14ac:dyDescent="0.25">
      <c r="A4532" t="s">
        <v>8488</v>
      </c>
      <c r="B4532" t="s">
        <v>8489</v>
      </c>
      <c r="C4532" s="1">
        <v>44083</v>
      </c>
      <c r="D4532" t="b">
        <v>1</v>
      </c>
      <c r="E4532" t="s">
        <v>10</v>
      </c>
      <c r="F4532">
        <v>14054</v>
      </c>
    </row>
    <row r="4533" spans="1:6" x14ac:dyDescent="0.25">
      <c r="A4533" t="s">
        <v>8490</v>
      </c>
      <c r="B4533" t="s">
        <v>8491</v>
      </c>
      <c r="C4533" s="1">
        <v>44083</v>
      </c>
      <c r="D4533" t="b">
        <v>1</v>
      </c>
      <c r="E4533" t="s">
        <v>10</v>
      </c>
      <c r="F4533">
        <v>3780</v>
      </c>
    </row>
    <row r="4534" spans="1:6" x14ac:dyDescent="0.25">
      <c r="A4534" t="s">
        <v>8492</v>
      </c>
      <c r="B4534" t="s">
        <v>8493</v>
      </c>
      <c r="C4534" s="1">
        <v>44083</v>
      </c>
      <c r="D4534" t="b">
        <v>1</v>
      </c>
      <c r="E4534" t="s">
        <v>10</v>
      </c>
      <c r="F4534">
        <v>14055</v>
      </c>
    </row>
    <row r="4535" spans="1:6" x14ac:dyDescent="0.25">
      <c r="A4535" t="s">
        <v>8494</v>
      </c>
      <c r="B4535" t="s">
        <v>8495</v>
      </c>
      <c r="C4535" s="1">
        <v>44083</v>
      </c>
      <c r="D4535" t="b">
        <v>1</v>
      </c>
      <c r="E4535" t="s">
        <v>10</v>
      </c>
      <c r="F4535">
        <v>14056</v>
      </c>
    </row>
    <row r="4536" spans="1:6" x14ac:dyDescent="0.25">
      <c r="A4536" t="s">
        <v>8496</v>
      </c>
      <c r="B4536" t="s">
        <v>8497</v>
      </c>
      <c r="C4536" s="1">
        <v>44083</v>
      </c>
      <c r="D4536" t="b">
        <v>1</v>
      </c>
      <c r="E4536" t="s">
        <v>10</v>
      </c>
      <c r="F4536">
        <v>3783</v>
      </c>
    </row>
    <row r="4537" spans="1:6" x14ac:dyDescent="0.25">
      <c r="A4537" t="s">
        <v>8498</v>
      </c>
      <c r="B4537" t="s">
        <v>8497</v>
      </c>
      <c r="C4537" s="1">
        <v>44083</v>
      </c>
      <c r="D4537" t="b">
        <v>1</v>
      </c>
      <c r="E4537" t="s">
        <v>10</v>
      </c>
      <c r="F4537">
        <v>3784</v>
      </c>
    </row>
    <row r="4538" spans="1:6" x14ac:dyDescent="0.25">
      <c r="A4538" t="s">
        <v>8499</v>
      </c>
      <c r="B4538" t="s">
        <v>8497</v>
      </c>
      <c r="C4538" s="1">
        <v>44083</v>
      </c>
      <c r="D4538" t="b">
        <v>1</v>
      </c>
      <c r="E4538" t="s">
        <v>10</v>
      </c>
      <c r="F4538">
        <v>3785</v>
      </c>
    </row>
    <row r="4539" spans="1:6" x14ac:dyDescent="0.25">
      <c r="A4539" t="s">
        <v>8500</v>
      </c>
      <c r="B4539" t="s">
        <v>8501</v>
      </c>
      <c r="C4539" s="1">
        <v>44083</v>
      </c>
      <c r="D4539" t="b">
        <v>1</v>
      </c>
      <c r="E4539" t="s">
        <v>10</v>
      </c>
      <c r="F4539">
        <v>3786</v>
      </c>
    </row>
    <row r="4540" spans="1:6" x14ac:dyDescent="0.25">
      <c r="A4540" t="s">
        <v>8502</v>
      </c>
      <c r="B4540" t="s">
        <v>8501</v>
      </c>
      <c r="C4540" s="1">
        <v>44083</v>
      </c>
      <c r="D4540" t="b">
        <v>1</v>
      </c>
      <c r="E4540" t="s">
        <v>10</v>
      </c>
      <c r="F4540">
        <v>3787</v>
      </c>
    </row>
    <row r="4541" spans="1:6" x14ac:dyDescent="0.25">
      <c r="A4541" t="s">
        <v>8503</v>
      </c>
      <c r="B4541" t="s">
        <v>8504</v>
      </c>
      <c r="C4541" s="1">
        <v>44083</v>
      </c>
      <c r="D4541" t="b">
        <v>1</v>
      </c>
      <c r="E4541" t="s">
        <v>10</v>
      </c>
      <c r="F4541">
        <v>3788</v>
      </c>
    </row>
    <row r="4542" spans="1:6" x14ac:dyDescent="0.25">
      <c r="A4542" t="s">
        <v>8505</v>
      </c>
      <c r="B4542" t="s">
        <v>8501</v>
      </c>
      <c r="C4542" s="1">
        <v>44083</v>
      </c>
      <c r="D4542" t="b">
        <v>1</v>
      </c>
      <c r="E4542" t="s">
        <v>10</v>
      </c>
      <c r="F4542">
        <v>3789</v>
      </c>
    </row>
    <row r="4543" spans="1:6" x14ac:dyDescent="0.25">
      <c r="A4543" t="s">
        <v>8506</v>
      </c>
      <c r="B4543" t="s">
        <v>8507</v>
      </c>
      <c r="C4543" s="1">
        <v>44083</v>
      </c>
      <c r="D4543" t="b">
        <v>1</v>
      </c>
      <c r="E4543" t="s">
        <v>10</v>
      </c>
      <c r="F4543">
        <v>3790</v>
      </c>
    </row>
    <row r="4544" spans="1:6" x14ac:dyDescent="0.25">
      <c r="A4544" t="s">
        <v>8508</v>
      </c>
      <c r="B4544" t="s">
        <v>8507</v>
      </c>
      <c r="C4544" s="1">
        <v>44083</v>
      </c>
      <c r="D4544" t="b">
        <v>1</v>
      </c>
      <c r="E4544" t="s">
        <v>10</v>
      </c>
      <c r="F4544">
        <v>3791</v>
      </c>
    </row>
    <row r="4545" spans="1:6" x14ac:dyDescent="0.25">
      <c r="A4545" t="s">
        <v>8509</v>
      </c>
      <c r="B4545" t="s">
        <v>8507</v>
      </c>
      <c r="C4545" s="1">
        <v>44083</v>
      </c>
      <c r="D4545" t="b">
        <v>1</v>
      </c>
      <c r="E4545" t="s">
        <v>10</v>
      </c>
      <c r="F4545">
        <v>3792</v>
      </c>
    </row>
    <row r="4546" spans="1:6" x14ac:dyDescent="0.25">
      <c r="A4546" t="s">
        <v>8510</v>
      </c>
      <c r="B4546" t="s">
        <v>8511</v>
      </c>
      <c r="C4546" s="1">
        <v>44083</v>
      </c>
      <c r="D4546" t="b">
        <v>1</v>
      </c>
      <c r="E4546" t="s">
        <v>10</v>
      </c>
      <c r="F4546">
        <v>3793</v>
      </c>
    </row>
    <row r="4547" spans="1:6" x14ac:dyDescent="0.25">
      <c r="A4547" t="s">
        <v>8512</v>
      </c>
      <c r="B4547" t="s">
        <v>8513</v>
      </c>
      <c r="C4547" s="1">
        <v>44083</v>
      </c>
      <c r="D4547" t="b">
        <v>1</v>
      </c>
      <c r="E4547" t="s">
        <v>10</v>
      </c>
      <c r="F4547">
        <v>3795</v>
      </c>
    </row>
    <row r="4548" spans="1:6" x14ac:dyDescent="0.25">
      <c r="A4548" t="s">
        <v>8514</v>
      </c>
      <c r="B4548" t="s">
        <v>8515</v>
      </c>
      <c r="C4548" s="1">
        <v>44083</v>
      </c>
      <c r="D4548" t="b">
        <v>1</v>
      </c>
      <c r="E4548" t="s">
        <v>10</v>
      </c>
      <c r="F4548">
        <v>3796</v>
      </c>
    </row>
    <row r="4549" spans="1:6" x14ac:dyDescent="0.25">
      <c r="A4549" t="s">
        <v>8516</v>
      </c>
      <c r="B4549" t="s">
        <v>8517</v>
      </c>
      <c r="C4549" s="1">
        <v>44083</v>
      </c>
      <c r="D4549" t="b">
        <v>1</v>
      </c>
      <c r="E4549" t="s">
        <v>10</v>
      </c>
      <c r="F4549">
        <v>15010</v>
      </c>
    </row>
    <row r="4550" spans="1:6" x14ac:dyDescent="0.25">
      <c r="A4550" t="s">
        <v>8518</v>
      </c>
      <c r="B4550" t="s">
        <v>8519</v>
      </c>
      <c r="C4550" s="1">
        <v>44083</v>
      </c>
      <c r="D4550" t="b">
        <v>1</v>
      </c>
      <c r="E4550" t="s">
        <v>10</v>
      </c>
      <c r="F4550">
        <v>15515</v>
      </c>
    </row>
    <row r="4551" spans="1:6" x14ac:dyDescent="0.25">
      <c r="A4551" t="s">
        <v>8520</v>
      </c>
      <c r="B4551" t="s">
        <v>8521</v>
      </c>
      <c r="C4551" s="1">
        <v>44083</v>
      </c>
      <c r="D4551" t="b">
        <v>1</v>
      </c>
      <c r="E4551" t="s">
        <v>10</v>
      </c>
      <c r="F4551">
        <v>13736</v>
      </c>
    </row>
    <row r="4552" spans="1:6" x14ac:dyDescent="0.25">
      <c r="A4552" t="s">
        <v>8522</v>
      </c>
      <c r="B4552" t="s">
        <v>8523</v>
      </c>
      <c r="C4552" s="1">
        <v>44083</v>
      </c>
      <c r="D4552" t="b">
        <v>1</v>
      </c>
      <c r="E4552" t="s">
        <v>10</v>
      </c>
      <c r="F4552">
        <v>4539</v>
      </c>
    </row>
    <row r="4553" spans="1:6" x14ac:dyDescent="0.25">
      <c r="A4553" t="s">
        <v>8524</v>
      </c>
      <c r="B4553" t="s">
        <v>8525</v>
      </c>
      <c r="C4553" s="1">
        <v>44083</v>
      </c>
      <c r="D4553" t="b">
        <v>1</v>
      </c>
      <c r="E4553" t="s">
        <v>10</v>
      </c>
      <c r="F4553">
        <v>13737</v>
      </c>
    </row>
    <row r="4554" spans="1:6" x14ac:dyDescent="0.25">
      <c r="A4554" t="s">
        <v>8526</v>
      </c>
      <c r="B4554" t="s">
        <v>8527</v>
      </c>
      <c r="C4554" s="1">
        <v>44083</v>
      </c>
      <c r="D4554" t="b">
        <v>1</v>
      </c>
      <c r="E4554" t="s">
        <v>10</v>
      </c>
      <c r="F4554">
        <v>3800</v>
      </c>
    </row>
    <row r="4555" spans="1:6" x14ac:dyDescent="0.25">
      <c r="A4555" t="s">
        <v>8528</v>
      </c>
      <c r="C4555" s="1">
        <v>44083</v>
      </c>
      <c r="D4555" t="b">
        <v>1</v>
      </c>
      <c r="E4555" t="s">
        <v>10</v>
      </c>
      <c r="F4555">
        <v>13832</v>
      </c>
    </row>
    <row r="4556" spans="1:6" x14ac:dyDescent="0.25">
      <c r="A4556" t="s">
        <v>8529</v>
      </c>
      <c r="C4556" s="1">
        <v>44083</v>
      </c>
      <c r="D4556" t="b">
        <v>1</v>
      </c>
      <c r="E4556" t="s">
        <v>10</v>
      </c>
      <c r="F4556">
        <v>16101</v>
      </c>
    </row>
    <row r="4557" spans="1:6" x14ac:dyDescent="0.25">
      <c r="A4557" t="s">
        <v>8530</v>
      </c>
      <c r="B4557" t="s">
        <v>8531</v>
      </c>
      <c r="C4557" s="1">
        <v>44083</v>
      </c>
      <c r="D4557" t="b">
        <v>1</v>
      </c>
      <c r="E4557" t="s">
        <v>10</v>
      </c>
      <c r="F4557">
        <v>15146</v>
      </c>
    </row>
    <row r="4558" spans="1:6" x14ac:dyDescent="0.25">
      <c r="A4558" t="s">
        <v>8532</v>
      </c>
      <c r="B4558" t="s">
        <v>8533</v>
      </c>
      <c r="C4558" s="1">
        <v>44083</v>
      </c>
      <c r="D4558" t="b">
        <v>1</v>
      </c>
      <c r="E4558" t="s">
        <v>10</v>
      </c>
      <c r="F4558">
        <v>15190</v>
      </c>
    </row>
    <row r="4559" spans="1:6" x14ac:dyDescent="0.25">
      <c r="A4559" t="s">
        <v>8534</v>
      </c>
      <c r="B4559" t="s">
        <v>8535</v>
      </c>
      <c r="C4559" s="1">
        <v>44083</v>
      </c>
      <c r="D4559" t="b">
        <v>1</v>
      </c>
      <c r="E4559" t="s">
        <v>10</v>
      </c>
      <c r="F4559">
        <v>12321</v>
      </c>
    </row>
    <row r="4560" spans="1:6" x14ac:dyDescent="0.25">
      <c r="A4560" t="s">
        <v>8536</v>
      </c>
      <c r="B4560" t="s">
        <v>8537</v>
      </c>
      <c r="C4560" s="1">
        <v>44083</v>
      </c>
      <c r="D4560" t="b">
        <v>1</v>
      </c>
      <c r="E4560" t="s">
        <v>10</v>
      </c>
      <c r="F4560">
        <v>3803</v>
      </c>
    </row>
    <row r="4561" spans="1:6" x14ac:dyDescent="0.25">
      <c r="A4561" t="s">
        <v>8538</v>
      </c>
      <c r="B4561" t="s">
        <v>8539</v>
      </c>
      <c r="C4561" s="1">
        <v>44083</v>
      </c>
      <c r="D4561" t="b">
        <v>1</v>
      </c>
      <c r="E4561" t="s">
        <v>10</v>
      </c>
      <c r="F4561">
        <v>3804</v>
      </c>
    </row>
    <row r="4562" spans="1:6" x14ac:dyDescent="0.25">
      <c r="A4562" t="s">
        <v>8540</v>
      </c>
      <c r="B4562" t="s">
        <v>8541</v>
      </c>
      <c r="C4562" s="1">
        <v>44083</v>
      </c>
      <c r="D4562" t="b">
        <v>1</v>
      </c>
      <c r="E4562" t="s">
        <v>10</v>
      </c>
      <c r="F4562">
        <v>3805</v>
      </c>
    </row>
    <row r="4563" spans="1:6" x14ac:dyDescent="0.25">
      <c r="A4563" t="s">
        <v>8542</v>
      </c>
      <c r="B4563" t="s">
        <v>8387</v>
      </c>
      <c r="C4563" s="1">
        <v>44083</v>
      </c>
      <c r="D4563" t="b">
        <v>1</v>
      </c>
      <c r="E4563" t="s">
        <v>10</v>
      </c>
      <c r="F4563">
        <v>7844</v>
      </c>
    </row>
    <row r="4564" spans="1:6" x14ac:dyDescent="0.25">
      <c r="A4564" t="s">
        <v>8543</v>
      </c>
      <c r="B4564" t="s">
        <v>8544</v>
      </c>
      <c r="C4564" s="1">
        <v>44083</v>
      </c>
      <c r="D4564" t="b">
        <v>1</v>
      </c>
      <c r="E4564" t="s">
        <v>10</v>
      </c>
      <c r="F4564">
        <v>14043</v>
      </c>
    </row>
    <row r="4565" spans="1:6" x14ac:dyDescent="0.25">
      <c r="A4565" t="s">
        <v>8545</v>
      </c>
      <c r="B4565" t="s">
        <v>8546</v>
      </c>
      <c r="C4565" s="1">
        <v>44083</v>
      </c>
      <c r="D4565" t="b">
        <v>1</v>
      </c>
      <c r="E4565" t="s">
        <v>10</v>
      </c>
      <c r="F4565">
        <v>3809</v>
      </c>
    </row>
    <row r="4566" spans="1:6" x14ac:dyDescent="0.25">
      <c r="A4566" t="s">
        <v>8547</v>
      </c>
      <c r="B4566" t="s">
        <v>8548</v>
      </c>
      <c r="C4566" s="1">
        <v>44083</v>
      </c>
      <c r="D4566" t="b">
        <v>1</v>
      </c>
      <c r="E4566" t="s">
        <v>10</v>
      </c>
      <c r="F4566">
        <v>3810</v>
      </c>
    </row>
    <row r="4567" spans="1:6" x14ac:dyDescent="0.25">
      <c r="A4567" t="s">
        <v>8549</v>
      </c>
      <c r="B4567" t="s">
        <v>8550</v>
      </c>
      <c r="C4567" s="1">
        <v>44083</v>
      </c>
      <c r="D4567" t="b">
        <v>1</v>
      </c>
      <c r="E4567" t="s">
        <v>10</v>
      </c>
      <c r="F4567">
        <v>3811</v>
      </c>
    </row>
    <row r="4568" spans="1:6" x14ac:dyDescent="0.25">
      <c r="A4568" t="s">
        <v>8551</v>
      </c>
      <c r="B4568" t="s">
        <v>8552</v>
      </c>
      <c r="C4568" s="1">
        <v>44083</v>
      </c>
      <c r="D4568" t="b">
        <v>1</v>
      </c>
      <c r="E4568" t="s">
        <v>10</v>
      </c>
      <c r="F4568">
        <v>3813</v>
      </c>
    </row>
    <row r="4569" spans="1:6" x14ac:dyDescent="0.25">
      <c r="A4569" t="s">
        <v>8553</v>
      </c>
      <c r="B4569" t="s">
        <v>8554</v>
      </c>
      <c r="C4569" s="1">
        <v>44083</v>
      </c>
      <c r="D4569" t="b">
        <v>1</v>
      </c>
      <c r="E4569" t="s">
        <v>10</v>
      </c>
      <c r="F4569">
        <v>3816</v>
      </c>
    </row>
    <row r="4570" spans="1:6" x14ac:dyDescent="0.25">
      <c r="A4570" t="s">
        <v>8555</v>
      </c>
      <c r="B4570" t="s">
        <v>8556</v>
      </c>
      <c r="C4570" s="1">
        <v>44083</v>
      </c>
      <c r="D4570" t="b">
        <v>1</v>
      </c>
      <c r="E4570" t="s">
        <v>10</v>
      </c>
      <c r="F4570">
        <v>16418</v>
      </c>
    </row>
    <row r="4571" spans="1:6" x14ac:dyDescent="0.25">
      <c r="A4571" t="s">
        <v>8557</v>
      </c>
      <c r="B4571" t="s">
        <v>8558</v>
      </c>
      <c r="C4571" s="1">
        <v>44083</v>
      </c>
      <c r="D4571" t="b">
        <v>1</v>
      </c>
      <c r="E4571" t="s">
        <v>10</v>
      </c>
      <c r="F4571">
        <v>10133</v>
      </c>
    </row>
    <row r="4572" spans="1:6" x14ac:dyDescent="0.25">
      <c r="A4572" t="s">
        <v>8559</v>
      </c>
      <c r="B4572" t="s">
        <v>8560</v>
      </c>
      <c r="C4572" s="1">
        <v>44083</v>
      </c>
      <c r="D4572" t="b">
        <v>1</v>
      </c>
      <c r="E4572" t="s">
        <v>10</v>
      </c>
      <c r="F4572">
        <v>3818</v>
      </c>
    </row>
    <row r="4573" spans="1:6" x14ac:dyDescent="0.25">
      <c r="A4573" t="s">
        <v>8561</v>
      </c>
      <c r="B4573" t="s">
        <v>8562</v>
      </c>
      <c r="C4573" s="1">
        <v>44083</v>
      </c>
      <c r="D4573" t="b">
        <v>1</v>
      </c>
      <c r="E4573" t="s">
        <v>10</v>
      </c>
      <c r="F4573">
        <v>9639</v>
      </c>
    </row>
    <row r="4574" spans="1:6" x14ac:dyDescent="0.25">
      <c r="A4574" t="s">
        <v>8563</v>
      </c>
      <c r="B4574" t="s">
        <v>8564</v>
      </c>
      <c r="C4574" s="1">
        <v>44083</v>
      </c>
      <c r="D4574" t="b">
        <v>1</v>
      </c>
      <c r="E4574" t="s">
        <v>10</v>
      </c>
      <c r="F4574">
        <v>12766</v>
      </c>
    </row>
    <row r="4575" spans="1:6" x14ac:dyDescent="0.25">
      <c r="A4575" t="s">
        <v>8565</v>
      </c>
      <c r="B4575" t="s">
        <v>8566</v>
      </c>
      <c r="C4575" s="1">
        <v>44083</v>
      </c>
      <c r="D4575" t="b">
        <v>1</v>
      </c>
      <c r="E4575" t="s">
        <v>10</v>
      </c>
      <c r="F4575">
        <v>11825</v>
      </c>
    </row>
    <row r="4576" spans="1:6" x14ac:dyDescent="0.25">
      <c r="A4576" t="s">
        <v>8567</v>
      </c>
      <c r="B4576" t="s">
        <v>8568</v>
      </c>
      <c r="C4576" s="1">
        <v>44083</v>
      </c>
      <c r="D4576" t="b">
        <v>1</v>
      </c>
      <c r="E4576" t="s">
        <v>10</v>
      </c>
      <c r="F4576">
        <v>3820</v>
      </c>
    </row>
    <row r="4577" spans="1:6" x14ac:dyDescent="0.25">
      <c r="A4577" t="s">
        <v>8569</v>
      </c>
      <c r="B4577" t="s">
        <v>8570</v>
      </c>
      <c r="C4577" s="1">
        <v>44083</v>
      </c>
      <c r="D4577" t="b">
        <v>1</v>
      </c>
      <c r="E4577" t="s">
        <v>10</v>
      </c>
      <c r="F4577">
        <v>9476</v>
      </c>
    </row>
    <row r="4578" spans="1:6" x14ac:dyDescent="0.25">
      <c r="A4578" t="s">
        <v>8571</v>
      </c>
      <c r="B4578" t="s">
        <v>8572</v>
      </c>
      <c r="C4578" s="1">
        <v>44083</v>
      </c>
      <c r="D4578" t="b">
        <v>1</v>
      </c>
      <c r="E4578" t="s">
        <v>10</v>
      </c>
      <c r="F4578">
        <v>3821</v>
      </c>
    </row>
    <row r="4579" spans="1:6" x14ac:dyDescent="0.25">
      <c r="A4579" t="s">
        <v>8573</v>
      </c>
      <c r="C4579" s="1">
        <v>44083</v>
      </c>
      <c r="D4579" t="b">
        <v>1</v>
      </c>
      <c r="E4579" t="s">
        <v>10</v>
      </c>
      <c r="F4579">
        <v>15418</v>
      </c>
    </row>
    <row r="4580" spans="1:6" x14ac:dyDescent="0.25">
      <c r="A4580" t="s">
        <v>8574</v>
      </c>
      <c r="C4580" s="1">
        <v>44083</v>
      </c>
      <c r="D4580" t="b">
        <v>1</v>
      </c>
      <c r="E4580" t="s">
        <v>10</v>
      </c>
      <c r="F4580">
        <v>15090</v>
      </c>
    </row>
    <row r="4581" spans="1:6" x14ac:dyDescent="0.25">
      <c r="A4581" t="s">
        <v>8575</v>
      </c>
      <c r="C4581" s="1">
        <v>44083</v>
      </c>
      <c r="D4581" t="b">
        <v>1</v>
      </c>
      <c r="E4581" t="s">
        <v>10</v>
      </c>
      <c r="F4581">
        <v>10134</v>
      </c>
    </row>
    <row r="4582" spans="1:6" x14ac:dyDescent="0.25">
      <c r="A4582" t="s">
        <v>8576</v>
      </c>
      <c r="C4582" s="1">
        <v>44083</v>
      </c>
      <c r="D4582" t="b">
        <v>1</v>
      </c>
      <c r="E4582" t="s">
        <v>10</v>
      </c>
      <c r="F4582">
        <v>10391</v>
      </c>
    </row>
    <row r="4583" spans="1:6" x14ac:dyDescent="0.25">
      <c r="A4583" t="s">
        <v>8577</v>
      </c>
      <c r="C4583" s="1">
        <v>44083</v>
      </c>
      <c r="D4583" t="b">
        <v>1</v>
      </c>
      <c r="E4583" t="s">
        <v>10</v>
      </c>
      <c r="F4583">
        <v>16304</v>
      </c>
    </row>
    <row r="4584" spans="1:6" x14ac:dyDescent="0.25">
      <c r="A4584" t="s">
        <v>8578</v>
      </c>
      <c r="B4584" t="s">
        <v>8579</v>
      </c>
      <c r="C4584" s="1">
        <v>44083</v>
      </c>
      <c r="D4584" t="b">
        <v>1</v>
      </c>
      <c r="E4584" t="s">
        <v>10</v>
      </c>
      <c r="F4584">
        <v>14093</v>
      </c>
    </row>
    <row r="4585" spans="1:6" x14ac:dyDescent="0.25">
      <c r="A4585" t="s">
        <v>8580</v>
      </c>
      <c r="B4585" t="s">
        <v>8581</v>
      </c>
      <c r="C4585" s="1">
        <v>44083</v>
      </c>
      <c r="D4585" t="b">
        <v>1</v>
      </c>
      <c r="E4585" t="s">
        <v>10</v>
      </c>
      <c r="F4585">
        <v>11349</v>
      </c>
    </row>
    <row r="4586" spans="1:6" x14ac:dyDescent="0.25">
      <c r="A4586" t="s">
        <v>8582</v>
      </c>
      <c r="B4586" t="s">
        <v>8583</v>
      </c>
      <c r="C4586" s="1">
        <v>44083</v>
      </c>
      <c r="D4586" t="b">
        <v>1</v>
      </c>
      <c r="E4586" t="s">
        <v>10</v>
      </c>
      <c r="F4586">
        <v>10220</v>
      </c>
    </row>
    <row r="4587" spans="1:6" x14ac:dyDescent="0.25">
      <c r="A4587" t="s">
        <v>8584</v>
      </c>
      <c r="B4587" t="s">
        <v>8585</v>
      </c>
      <c r="C4587" s="1">
        <v>44083</v>
      </c>
      <c r="D4587" t="b">
        <v>1</v>
      </c>
      <c r="E4587" t="s">
        <v>10</v>
      </c>
      <c r="F4587">
        <v>3826</v>
      </c>
    </row>
    <row r="4588" spans="1:6" x14ac:dyDescent="0.25">
      <c r="A4588" t="s">
        <v>8586</v>
      </c>
      <c r="B4588" t="s">
        <v>8587</v>
      </c>
      <c r="C4588" s="1">
        <v>44083</v>
      </c>
      <c r="D4588" t="b">
        <v>1</v>
      </c>
      <c r="E4588" t="s">
        <v>10</v>
      </c>
      <c r="F4588">
        <v>3829</v>
      </c>
    </row>
    <row r="4589" spans="1:6" x14ac:dyDescent="0.25">
      <c r="A4589" t="s">
        <v>8588</v>
      </c>
      <c r="B4589" t="s">
        <v>8589</v>
      </c>
      <c r="C4589" s="1">
        <v>44083</v>
      </c>
      <c r="D4589" t="b">
        <v>1</v>
      </c>
      <c r="E4589" t="s">
        <v>10</v>
      </c>
      <c r="F4589">
        <v>12094</v>
      </c>
    </row>
    <row r="4590" spans="1:6" x14ac:dyDescent="0.25">
      <c r="A4590" t="s">
        <v>8590</v>
      </c>
      <c r="B4590" t="s">
        <v>8591</v>
      </c>
      <c r="C4590" s="1">
        <v>44083</v>
      </c>
      <c r="D4590" t="b">
        <v>1</v>
      </c>
      <c r="E4590" t="s">
        <v>10</v>
      </c>
      <c r="F4590">
        <v>12927</v>
      </c>
    </row>
    <row r="4591" spans="1:6" x14ac:dyDescent="0.25">
      <c r="A4591" t="s">
        <v>8592</v>
      </c>
      <c r="B4591" t="s">
        <v>8593</v>
      </c>
      <c r="C4591" s="1">
        <v>44083</v>
      </c>
      <c r="D4591" t="b">
        <v>1</v>
      </c>
      <c r="E4591" t="s">
        <v>10</v>
      </c>
      <c r="F4591">
        <v>12322</v>
      </c>
    </row>
    <row r="4592" spans="1:6" x14ac:dyDescent="0.25">
      <c r="A4592" t="s">
        <v>8594</v>
      </c>
      <c r="B4592" t="s">
        <v>8595</v>
      </c>
      <c r="C4592" s="1">
        <v>44083</v>
      </c>
      <c r="D4592" t="b">
        <v>1</v>
      </c>
      <c r="E4592" t="s">
        <v>10</v>
      </c>
      <c r="F4592">
        <v>10610</v>
      </c>
    </row>
    <row r="4593" spans="1:6" x14ac:dyDescent="0.25">
      <c r="A4593" t="s">
        <v>8596</v>
      </c>
      <c r="B4593" t="s">
        <v>8597</v>
      </c>
      <c r="C4593" s="1">
        <v>44083</v>
      </c>
      <c r="D4593" t="b">
        <v>1</v>
      </c>
      <c r="E4593" t="s">
        <v>10</v>
      </c>
      <c r="F4593">
        <v>3657</v>
      </c>
    </row>
    <row r="4594" spans="1:6" x14ac:dyDescent="0.25">
      <c r="A4594" t="s">
        <v>8598</v>
      </c>
      <c r="B4594" t="s">
        <v>8599</v>
      </c>
      <c r="C4594" s="1">
        <v>44083</v>
      </c>
      <c r="D4594" t="b">
        <v>1</v>
      </c>
      <c r="E4594" t="s">
        <v>10</v>
      </c>
      <c r="F4594">
        <v>3833</v>
      </c>
    </row>
    <row r="4595" spans="1:6" x14ac:dyDescent="0.25">
      <c r="A4595" t="s">
        <v>8600</v>
      </c>
      <c r="B4595" t="s">
        <v>8601</v>
      </c>
      <c r="C4595" s="1">
        <v>44083</v>
      </c>
      <c r="D4595" t="b">
        <v>1</v>
      </c>
      <c r="E4595" t="s">
        <v>10</v>
      </c>
      <c r="F4595">
        <v>13738</v>
      </c>
    </row>
    <row r="4596" spans="1:6" x14ac:dyDescent="0.25">
      <c r="A4596" t="s">
        <v>8602</v>
      </c>
      <c r="B4596" t="s">
        <v>8603</v>
      </c>
      <c r="C4596" s="1">
        <v>44083</v>
      </c>
      <c r="D4596" t="b">
        <v>1</v>
      </c>
      <c r="E4596" t="s">
        <v>10</v>
      </c>
      <c r="F4596">
        <v>3835</v>
      </c>
    </row>
    <row r="4597" spans="1:6" x14ac:dyDescent="0.25">
      <c r="A4597" t="s">
        <v>8604</v>
      </c>
      <c r="B4597" t="s">
        <v>8605</v>
      </c>
      <c r="C4597" s="1">
        <v>44083</v>
      </c>
      <c r="D4597" t="b">
        <v>1</v>
      </c>
      <c r="E4597" t="s">
        <v>10</v>
      </c>
      <c r="F4597">
        <v>3836</v>
      </c>
    </row>
    <row r="4598" spans="1:6" x14ac:dyDescent="0.25">
      <c r="A4598" t="s">
        <v>8606</v>
      </c>
      <c r="B4598" t="s">
        <v>8607</v>
      </c>
      <c r="C4598" s="1">
        <v>44083</v>
      </c>
      <c r="D4598" t="b">
        <v>1</v>
      </c>
      <c r="E4598" t="s">
        <v>10</v>
      </c>
      <c r="F4598">
        <v>3838</v>
      </c>
    </row>
    <row r="4599" spans="1:6" x14ac:dyDescent="0.25">
      <c r="A4599" t="s">
        <v>8608</v>
      </c>
      <c r="B4599" t="s">
        <v>8609</v>
      </c>
      <c r="C4599" s="1">
        <v>44083</v>
      </c>
      <c r="D4599" t="b">
        <v>1</v>
      </c>
      <c r="E4599" t="s">
        <v>10</v>
      </c>
      <c r="F4599">
        <v>3839</v>
      </c>
    </row>
    <row r="4600" spans="1:6" x14ac:dyDescent="0.25">
      <c r="A4600" t="s">
        <v>8610</v>
      </c>
      <c r="B4600" t="s">
        <v>8611</v>
      </c>
      <c r="C4600" s="1">
        <v>44083</v>
      </c>
      <c r="D4600" t="b">
        <v>1</v>
      </c>
      <c r="E4600" t="s">
        <v>10</v>
      </c>
      <c r="F4600">
        <v>14065</v>
      </c>
    </row>
    <row r="4601" spans="1:6" x14ac:dyDescent="0.25">
      <c r="A4601" t="s">
        <v>8612</v>
      </c>
      <c r="B4601" t="s">
        <v>8613</v>
      </c>
      <c r="C4601" s="1">
        <v>44083</v>
      </c>
      <c r="D4601" t="b">
        <v>1</v>
      </c>
      <c r="E4601" t="s">
        <v>10</v>
      </c>
      <c r="F4601">
        <v>9577</v>
      </c>
    </row>
    <row r="4602" spans="1:6" x14ac:dyDescent="0.25">
      <c r="A4602" t="s">
        <v>8614</v>
      </c>
      <c r="B4602" t="s">
        <v>8615</v>
      </c>
      <c r="C4602" s="1">
        <v>44083</v>
      </c>
      <c r="D4602" t="b">
        <v>1</v>
      </c>
      <c r="E4602" t="s">
        <v>10</v>
      </c>
      <c r="F4602">
        <v>3841</v>
      </c>
    </row>
    <row r="4603" spans="1:6" x14ac:dyDescent="0.25">
      <c r="A4603" t="s">
        <v>8616</v>
      </c>
      <c r="C4603" s="1">
        <v>44083</v>
      </c>
      <c r="D4603" t="b">
        <v>1</v>
      </c>
      <c r="E4603" t="s">
        <v>10</v>
      </c>
      <c r="F4603">
        <v>3842</v>
      </c>
    </row>
    <row r="4604" spans="1:6" x14ac:dyDescent="0.25">
      <c r="A4604" t="s">
        <v>8617</v>
      </c>
      <c r="B4604" t="s">
        <v>8618</v>
      </c>
      <c r="C4604" s="1">
        <v>44083</v>
      </c>
      <c r="D4604" t="b">
        <v>1</v>
      </c>
      <c r="E4604" t="s">
        <v>10</v>
      </c>
      <c r="F4604">
        <v>11092</v>
      </c>
    </row>
    <row r="4605" spans="1:6" x14ac:dyDescent="0.25">
      <c r="A4605" t="s">
        <v>8619</v>
      </c>
      <c r="B4605" t="s">
        <v>8620</v>
      </c>
      <c r="C4605" s="1">
        <v>44083</v>
      </c>
      <c r="D4605" t="b">
        <v>1</v>
      </c>
      <c r="E4605" t="s">
        <v>10</v>
      </c>
      <c r="F4605">
        <v>11093</v>
      </c>
    </row>
    <row r="4606" spans="1:6" x14ac:dyDescent="0.25">
      <c r="A4606" t="s">
        <v>8621</v>
      </c>
      <c r="B4606" t="s">
        <v>8622</v>
      </c>
      <c r="C4606" s="1">
        <v>44083</v>
      </c>
      <c r="D4606" t="b">
        <v>1</v>
      </c>
      <c r="E4606" t="s">
        <v>10</v>
      </c>
      <c r="F4606">
        <v>13729</v>
      </c>
    </row>
    <row r="4607" spans="1:6" x14ac:dyDescent="0.25">
      <c r="A4607" t="s">
        <v>8623</v>
      </c>
      <c r="B4607" t="s">
        <v>8624</v>
      </c>
      <c r="C4607" s="1">
        <v>44083</v>
      </c>
      <c r="D4607" t="b">
        <v>1</v>
      </c>
      <c r="E4607" t="s">
        <v>10</v>
      </c>
      <c r="F4607">
        <v>3845</v>
      </c>
    </row>
    <row r="4608" spans="1:6" x14ac:dyDescent="0.25">
      <c r="A4608" t="s">
        <v>8625</v>
      </c>
      <c r="B4608" t="s">
        <v>8626</v>
      </c>
      <c r="C4608" s="1">
        <v>44083</v>
      </c>
      <c r="D4608" t="b">
        <v>1</v>
      </c>
      <c r="E4608" t="s">
        <v>10</v>
      </c>
      <c r="F4608">
        <v>3846</v>
      </c>
    </row>
    <row r="4609" spans="1:6" x14ac:dyDescent="0.25">
      <c r="A4609" t="s">
        <v>8627</v>
      </c>
      <c r="B4609" t="s">
        <v>8628</v>
      </c>
      <c r="C4609" s="1">
        <v>44083</v>
      </c>
      <c r="D4609" t="b">
        <v>0</v>
      </c>
      <c r="E4609" t="s">
        <v>10</v>
      </c>
      <c r="F4609">
        <v>16907</v>
      </c>
    </row>
    <row r="4610" spans="1:6" x14ac:dyDescent="0.25">
      <c r="A4610" t="s">
        <v>8629</v>
      </c>
      <c r="B4610" t="s">
        <v>8630</v>
      </c>
      <c r="C4610" s="1">
        <v>44083</v>
      </c>
      <c r="D4610" t="b">
        <v>1</v>
      </c>
      <c r="E4610" t="s">
        <v>10</v>
      </c>
      <c r="F4610">
        <v>14727</v>
      </c>
    </row>
    <row r="4611" spans="1:6" x14ac:dyDescent="0.25">
      <c r="A4611" t="s">
        <v>8631</v>
      </c>
      <c r="B4611" t="s">
        <v>8632</v>
      </c>
      <c r="C4611" s="1">
        <v>44083</v>
      </c>
      <c r="D4611" t="b">
        <v>1</v>
      </c>
      <c r="E4611" t="s">
        <v>10</v>
      </c>
      <c r="F4611">
        <v>3849</v>
      </c>
    </row>
    <row r="4612" spans="1:6" x14ac:dyDescent="0.25">
      <c r="A4612" t="s">
        <v>8633</v>
      </c>
      <c r="B4612" t="s">
        <v>8634</v>
      </c>
      <c r="C4612" s="1">
        <v>44083</v>
      </c>
      <c r="D4612" t="b">
        <v>1</v>
      </c>
      <c r="E4612" t="s">
        <v>10</v>
      </c>
      <c r="F4612">
        <v>13739</v>
      </c>
    </row>
    <row r="4613" spans="1:6" x14ac:dyDescent="0.25">
      <c r="A4613" t="s">
        <v>8635</v>
      </c>
      <c r="B4613" t="s">
        <v>8636</v>
      </c>
      <c r="C4613" s="1">
        <v>44083</v>
      </c>
      <c r="D4613" t="b">
        <v>1</v>
      </c>
      <c r="E4613" t="s">
        <v>10</v>
      </c>
      <c r="F4613">
        <v>3850</v>
      </c>
    </row>
    <row r="4614" spans="1:6" x14ac:dyDescent="0.25">
      <c r="A4614" t="s">
        <v>8637</v>
      </c>
      <c r="B4614" t="s">
        <v>8638</v>
      </c>
      <c r="C4614" s="1">
        <v>44083</v>
      </c>
      <c r="D4614" t="b">
        <v>1</v>
      </c>
      <c r="E4614" t="s">
        <v>10</v>
      </c>
      <c r="F4614">
        <v>3851</v>
      </c>
    </row>
    <row r="4615" spans="1:6" x14ac:dyDescent="0.25">
      <c r="A4615" t="s">
        <v>8639</v>
      </c>
      <c r="B4615" t="s">
        <v>8640</v>
      </c>
      <c r="C4615" s="1">
        <v>44083</v>
      </c>
      <c r="D4615" t="b">
        <v>1</v>
      </c>
      <c r="E4615" t="s">
        <v>10</v>
      </c>
      <c r="F4615">
        <v>3852</v>
      </c>
    </row>
    <row r="4616" spans="1:6" x14ac:dyDescent="0.25">
      <c r="A4616" t="s">
        <v>8641</v>
      </c>
      <c r="B4616" t="s">
        <v>8642</v>
      </c>
      <c r="C4616" s="1">
        <v>44083</v>
      </c>
      <c r="D4616" t="b">
        <v>1</v>
      </c>
      <c r="E4616" t="s">
        <v>10</v>
      </c>
      <c r="F4616">
        <v>16908</v>
      </c>
    </row>
    <row r="4617" spans="1:6" x14ac:dyDescent="0.25">
      <c r="A4617" t="s">
        <v>8643</v>
      </c>
      <c r="C4617" s="1">
        <v>44083</v>
      </c>
      <c r="D4617" t="b">
        <v>1</v>
      </c>
      <c r="E4617" t="s">
        <v>10</v>
      </c>
      <c r="F4617">
        <v>16941</v>
      </c>
    </row>
    <row r="4618" spans="1:6" x14ac:dyDescent="0.25">
      <c r="A4618" t="s">
        <v>8644</v>
      </c>
      <c r="B4618" t="s">
        <v>8645</v>
      </c>
      <c r="C4618" s="1">
        <v>44083</v>
      </c>
      <c r="D4618" t="b">
        <v>1</v>
      </c>
      <c r="E4618" t="s">
        <v>10</v>
      </c>
      <c r="F4618">
        <v>16730</v>
      </c>
    </row>
    <row r="4619" spans="1:6" x14ac:dyDescent="0.25">
      <c r="A4619" t="s">
        <v>8646</v>
      </c>
      <c r="B4619" t="s">
        <v>8647</v>
      </c>
      <c r="C4619" s="1">
        <v>44083</v>
      </c>
      <c r="D4619" t="b">
        <v>1</v>
      </c>
      <c r="E4619" t="s">
        <v>10</v>
      </c>
      <c r="F4619">
        <v>3853</v>
      </c>
    </row>
    <row r="4620" spans="1:6" x14ac:dyDescent="0.25">
      <c r="A4620" t="s">
        <v>8648</v>
      </c>
      <c r="B4620" t="s">
        <v>8649</v>
      </c>
      <c r="C4620" s="1">
        <v>44083</v>
      </c>
      <c r="D4620" t="b">
        <v>1</v>
      </c>
      <c r="E4620" t="s">
        <v>10</v>
      </c>
      <c r="F4620">
        <v>9367</v>
      </c>
    </row>
    <row r="4621" spans="1:6" x14ac:dyDescent="0.25">
      <c r="A4621" t="s">
        <v>8650</v>
      </c>
      <c r="B4621" t="s">
        <v>8651</v>
      </c>
      <c r="C4621" s="1">
        <v>44083</v>
      </c>
      <c r="D4621" t="b">
        <v>1</v>
      </c>
      <c r="E4621" t="s">
        <v>10</v>
      </c>
      <c r="F4621">
        <v>3862</v>
      </c>
    </row>
    <row r="4622" spans="1:6" x14ac:dyDescent="0.25">
      <c r="A4622" t="s">
        <v>8652</v>
      </c>
      <c r="B4622" t="s">
        <v>8653</v>
      </c>
      <c r="C4622" s="1">
        <v>44083</v>
      </c>
      <c r="D4622" t="b">
        <v>1</v>
      </c>
      <c r="E4622" t="s">
        <v>10</v>
      </c>
      <c r="F4622">
        <v>3863</v>
      </c>
    </row>
    <row r="4623" spans="1:6" x14ac:dyDescent="0.25">
      <c r="A4623" t="s">
        <v>8654</v>
      </c>
      <c r="B4623" t="s">
        <v>8655</v>
      </c>
      <c r="C4623" s="1">
        <v>44083</v>
      </c>
      <c r="D4623" t="b">
        <v>1</v>
      </c>
      <c r="E4623" t="s">
        <v>10</v>
      </c>
      <c r="F4623">
        <v>13058</v>
      </c>
    </row>
    <row r="4624" spans="1:6" x14ac:dyDescent="0.25">
      <c r="A4624" t="s">
        <v>8656</v>
      </c>
      <c r="B4624" t="s">
        <v>8657</v>
      </c>
      <c r="C4624" s="1">
        <v>44083</v>
      </c>
      <c r="D4624" t="b">
        <v>1</v>
      </c>
      <c r="E4624" t="s">
        <v>10</v>
      </c>
      <c r="F4624">
        <v>9737</v>
      </c>
    </row>
    <row r="4625" spans="1:6" x14ac:dyDescent="0.25">
      <c r="A4625" t="s">
        <v>8658</v>
      </c>
      <c r="B4625" t="s">
        <v>8659</v>
      </c>
      <c r="C4625" s="1">
        <v>44083</v>
      </c>
      <c r="D4625" t="b">
        <v>1</v>
      </c>
      <c r="E4625" t="s">
        <v>10</v>
      </c>
      <c r="F4625">
        <v>3864</v>
      </c>
    </row>
    <row r="4626" spans="1:6" x14ac:dyDescent="0.25">
      <c r="A4626" t="s">
        <v>8660</v>
      </c>
      <c r="B4626" t="s">
        <v>8661</v>
      </c>
      <c r="C4626" s="1">
        <v>44083</v>
      </c>
      <c r="D4626" t="b">
        <v>1</v>
      </c>
      <c r="E4626" t="s">
        <v>10</v>
      </c>
      <c r="F4626">
        <v>9684</v>
      </c>
    </row>
    <row r="4627" spans="1:6" x14ac:dyDescent="0.25">
      <c r="A4627" t="s">
        <v>8662</v>
      </c>
      <c r="B4627" t="s">
        <v>8663</v>
      </c>
      <c r="C4627" s="1">
        <v>44083</v>
      </c>
      <c r="D4627" t="b">
        <v>1</v>
      </c>
      <c r="E4627" t="s">
        <v>10</v>
      </c>
      <c r="F4627">
        <v>3865</v>
      </c>
    </row>
    <row r="4628" spans="1:6" x14ac:dyDescent="0.25">
      <c r="A4628" t="s">
        <v>8664</v>
      </c>
      <c r="B4628" t="s">
        <v>8665</v>
      </c>
      <c r="C4628" s="1">
        <v>44083</v>
      </c>
      <c r="D4628" t="b">
        <v>1</v>
      </c>
      <c r="E4628" t="s">
        <v>10</v>
      </c>
      <c r="F4628">
        <v>16649</v>
      </c>
    </row>
    <row r="4629" spans="1:6" x14ac:dyDescent="0.25">
      <c r="A4629" t="s">
        <v>8666</v>
      </c>
      <c r="B4629" t="s">
        <v>8667</v>
      </c>
      <c r="C4629" s="1">
        <v>44083</v>
      </c>
      <c r="D4629" t="b">
        <v>1</v>
      </c>
      <c r="E4629" t="s">
        <v>10</v>
      </c>
      <c r="F4629">
        <v>3867</v>
      </c>
    </row>
    <row r="4630" spans="1:6" x14ac:dyDescent="0.25">
      <c r="A4630" t="s">
        <v>8668</v>
      </c>
      <c r="B4630" t="s">
        <v>8669</v>
      </c>
      <c r="C4630" s="1">
        <v>44083</v>
      </c>
      <c r="D4630" t="b">
        <v>1</v>
      </c>
      <c r="E4630" t="s">
        <v>10</v>
      </c>
      <c r="F4630">
        <v>14057</v>
      </c>
    </row>
    <row r="4631" spans="1:6" x14ac:dyDescent="0.25">
      <c r="A4631" t="s">
        <v>8670</v>
      </c>
      <c r="B4631" t="s">
        <v>8671</v>
      </c>
      <c r="C4631" s="1">
        <v>44083</v>
      </c>
      <c r="D4631" t="b">
        <v>1</v>
      </c>
      <c r="E4631" t="s">
        <v>10</v>
      </c>
      <c r="F4631">
        <v>3868</v>
      </c>
    </row>
    <row r="4632" spans="1:6" x14ac:dyDescent="0.25">
      <c r="A4632" t="s">
        <v>8672</v>
      </c>
      <c r="B4632" t="s">
        <v>8673</v>
      </c>
      <c r="C4632" s="1">
        <v>44083</v>
      </c>
      <c r="D4632" t="b">
        <v>1</v>
      </c>
      <c r="E4632" t="s">
        <v>10</v>
      </c>
      <c r="F4632">
        <v>8316</v>
      </c>
    </row>
    <row r="4633" spans="1:6" x14ac:dyDescent="0.25">
      <c r="A4633" t="s">
        <v>8674</v>
      </c>
      <c r="B4633" t="s">
        <v>8675</v>
      </c>
      <c r="C4633" s="1">
        <v>44083</v>
      </c>
      <c r="D4633" t="b">
        <v>1</v>
      </c>
      <c r="E4633" t="s">
        <v>10</v>
      </c>
      <c r="F4633">
        <v>3869</v>
      </c>
    </row>
    <row r="4634" spans="1:6" x14ac:dyDescent="0.25">
      <c r="A4634" t="s">
        <v>8676</v>
      </c>
      <c r="B4634" t="s">
        <v>8677</v>
      </c>
      <c r="C4634" s="1">
        <v>44083</v>
      </c>
      <c r="D4634" t="b">
        <v>1</v>
      </c>
      <c r="E4634" t="s">
        <v>10</v>
      </c>
      <c r="F4634">
        <v>3870</v>
      </c>
    </row>
    <row r="4635" spans="1:6" x14ac:dyDescent="0.25">
      <c r="A4635" t="s">
        <v>8678</v>
      </c>
      <c r="B4635" t="s">
        <v>8679</v>
      </c>
      <c r="C4635" s="1">
        <v>44083</v>
      </c>
      <c r="D4635" t="b">
        <v>1</v>
      </c>
      <c r="E4635" t="s">
        <v>10</v>
      </c>
      <c r="F4635">
        <v>3871</v>
      </c>
    </row>
    <row r="4636" spans="1:6" x14ac:dyDescent="0.25">
      <c r="A4636" t="s">
        <v>8680</v>
      </c>
      <c r="B4636" t="s">
        <v>8681</v>
      </c>
      <c r="C4636" s="1">
        <v>44083</v>
      </c>
      <c r="D4636" t="b">
        <v>1</v>
      </c>
      <c r="E4636" t="s">
        <v>10</v>
      </c>
      <c r="F4636">
        <v>13059</v>
      </c>
    </row>
    <row r="4637" spans="1:6" x14ac:dyDescent="0.25">
      <c r="A4637" t="s">
        <v>8682</v>
      </c>
      <c r="B4637" t="s">
        <v>8683</v>
      </c>
      <c r="C4637" s="1">
        <v>44083</v>
      </c>
      <c r="D4637" t="b">
        <v>1</v>
      </c>
      <c r="E4637" t="s">
        <v>10</v>
      </c>
      <c r="F4637">
        <v>13060</v>
      </c>
    </row>
    <row r="4638" spans="1:6" x14ac:dyDescent="0.25">
      <c r="A4638" t="s">
        <v>8684</v>
      </c>
      <c r="B4638" t="s">
        <v>8681</v>
      </c>
      <c r="C4638" s="1">
        <v>44083</v>
      </c>
      <c r="D4638" t="b">
        <v>1</v>
      </c>
      <c r="E4638" t="s">
        <v>10</v>
      </c>
      <c r="F4638">
        <v>12978</v>
      </c>
    </row>
    <row r="4639" spans="1:6" x14ac:dyDescent="0.25">
      <c r="A4639" t="s">
        <v>8685</v>
      </c>
      <c r="C4639" s="1">
        <v>44083</v>
      </c>
      <c r="D4639" t="b">
        <v>1</v>
      </c>
      <c r="E4639" t="s">
        <v>10</v>
      </c>
      <c r="F4639">
        <v>13077</v>
      </c>
    </row>
    <row r="4640" spans="1:6" x14ac:dyDescent="0.25">
      <c r="A4640" t="s">
        <v>8686</v>
      </c>
      <c r="B4640" t="s">
        <v>8687</v>
      </c>
      <c r="C4640" s="1">
        <v>44083</v>
      </c>
      <c r="D4640" t="b">
        <v>1</v>
      </c>
      <c r="E4640" t="s">
        <v>10</v>
      </c>
      <c r="F4640">
        <v>16939</v>
      </c>
    </row>
    <row r="4641" spans="1:6" x14ac:dyDescent="0.25">
      <c r="A4641" t="s">
        <v>8688</v>
      </c>
      <c r="C4641" s="1">
        <v>44083</v>
      </c>
      <c r="D4641" t="b">
        <v>1</v>
      </c>
      <c r="E4641" t="s">
        <v>10</v>
      </c>
      <c r="F4641">
        <v>17068</v>
      </c>
    </row>
    <row r="4642" spans="1:6" x14ac:dyDescent="0.25">
      <c r="A4642" t="s">
        <v>8689</v>
      </c>
      <c r="B4642" t="s">
        <v>8690</v>
      </c>
      <c r="C4642" s="1">
        <v>44083</v>
      </c>
      <c r="D4642" t="b">
        <v>1</v>
      </c>
      <c r="E4642" t="s">
        <v>10</v>
      </c>
      <c r="F4642">
        <v>3873</v>
      </c>
    </row>
    <row r="4643" spans="1:6" x14ac:dyDescent="0.25">
      <c r="A4643" t="s">
        <v>8691</v>
      </c>
      <c r="B4643" t="s">
        <v>8692</v>
      </c>
      <c r="C4643" s="1">
        <v>44083</v>
      </c>
      <c r="D4643" t="b">
        <v>1</v>
      </c>
      <c r="E4643" t="s">
        <v>10</v>
      </c>
      <c r="F4643">
        <v>388</v>
      </c>
    </row>
    <row r="4644" spans="1:6" x14ac:dyDescent="0.25">
      <c r="A4644" t="s">
        <v>8693</v>
      </c>
      <c r="B4644" t="s">
        <v>8694</v>
      </c>
      <c r="C4644" s="1">
        <v>44083</v>
      </c>
      <c r="D4644" t="b">
        <v>1</v>
      </c>
      <c r="E4644" t="s">
        <v>10</v>
      </c>
      <c r="F4644">
        <v>3874</v>
      </c>
    </row>
    <row r="4645" spans="1:6" x14ac:dyDescent="0.25">
      <c r="A4645" t="s">
        <v>8695</v>
      </c>
      <c r="B4645" t="s">
        <v>8696</v>
      </c>
      <c r="C4645" s="1">
        <v>44083</v>
      </c>
      <c r="D4645" t="b">
        <v>1</v>
      </c>
      <c r="E4645" t="s">
        <v>10</v>
      </c>
      <c r="F4645">
        <v>3876</v>
      </c>
    </row>
    <row r="4646" spans="1:6" x14ac:dyDescent="0.25">
      <c r="A4646" t="s">
        <v>8697</v>
      </c>
      <c r="B4646" t="s">
        <v>8698</v>
      </c>
      <c r="C4646" s="1">
        <v>44083</v>
      </c>
      <c r="D4646" t="b">
        <v>1</v>
      </c>
      <c r="E4646" t="s">
        <v>10</v>
      </c>
      <c r="F4646">
        <v>3878</v>
      </c>
    </row>
    <row r="4647" spans="1:6" x14ac:dyDescent="0.25">
      <c r="A4647" t="s">
        <v>8699</v>
      </c>
      <c r="B4647" t="s">
        <v>8700</v>
      </c>
      <c r="C4647" s="1">
        <v>44083</v>
      </c>
      <c r="D4647" t="b">
        <v>1</v>
      </c>
      <c r="E4647" t="s">
        <v>10</v>
      </c>
      <c r="F4647">
        <v>3879</v>
      </c>
    </row>
    <row r="4648" spans="1:6" x14ac:dyDescent="0.25">
      <c r="A4648" t="s">
        <v>8701</v>
      </c>
      <c r="B4648" t="s">
        <v>8702</v>
      </c>
      <c r="C4648" s="1">
        <v>44083</v>
      </c>
      <c r="D4648" t="b">
        <v>1</v>
      </c>
      <c r="E4648" t="s">
        <v>10</v>
      </c>
      <c r="F4648">
        <v>3881</v>
      </c>
    </row>
    <row r="4649" spans="1:6" x14ac:dyDescent="0.25">
      <c r="A4649" t="s">
        <v>8703</v>
      </c>
      <c r="B4649" t="s">
        <v>8704</v>
      </c>
      <c r="C4649" s="1">
        <v>44083</v>
      </c>
      <c r="D4649" t="b">
        <v>1</v>
      </c>
      <c r="E4649" t="s">
        <v>10</v>
      </c>
      <c r="F4649">
        <v>16707</v>
      </c>
    </row>
    <row r="4650" spans="1:6" x14ac:dyDescent="0.25">
      <c r="A4650" t="s">
        <v>8705</v>
      </c>
      <c r="B4650" t="s">
        <v>8706</v>
      </c>
      <c r="C4650" s="1">
        <v>44083</v>
      </c>
      <c r="D4650" t="b">
        <v>1</v>
      </c>
      <c r="E4650" t="s">
        <v>10</v>
      </c>
      <c r="F4650">
        <v>17061</v>
      </c>
    </row>
    <row r="4651" spans="1:6" x14ac:dyDescent="0.25">
      <c r="A4651" t="s">
        <v>8707</v>
      </c>
      <c r="C4651" s="1">
        <v>44083</v>
      </c>
      <c r="D4651" t="b">
        <v>1</v>
      </c>
      <c r="E4651" t="s">
        <v>10</v>
      </c>
      <c r="F4651">
        <v>17098</v>
      </c>
    </row>
    <row r="4652" spans="1:6" x14ac:dyDescent="0.25">
      <c r="A4652" t="s">
        <v>8708</v>
      </c>
      <c r="B4652" t="s">
        <v>8709</v>
      </c>
      <c r="C4652" s="1">
        <v>44083</v>
      </c>
      <c r="D4652" t="b">
        <v>1</v>
      </c>
      <c r="E4652" t="s">
        <v>10</v>
      </c>
      <c r="F4652">
        <v>16809</v>
      </c>
    </row>
    <row r="4653" spans="1:6" x14ac:dyDescent="0.25">
      <c r="A4653" t="s">
        <v>8710</v>
      </c>
      <c r="C4653" s="1">
        <v>44083</v>
      </c>
      <c r="D4653" t="b">
        <v>1</v>
      </c>
      <c r="E4653" t="s">
        <v>10</v>
      </c>
      <c r="F4653">
        <v>13321</v>
      </c>
    </row>
    <row r="4654" spans="1:6" x14ac:dyDescent="0.25">
      <c r="A4654" t="s">
        <v>8711</v>
      </c>
      <c r="B4654" t="s">
        <v>8712</v>
      </c>
      <c r="C4654" s="1">
        <v>44083</v>
      </c>
      <c r="D4654" t="b">
        <v>1</v>
      </c>
      <c r="E4654" t="s">
        <v>10</v>
      </c>
      <c r="F4654">
        <v>14786</v>
      </c>
    </row>
    <row r="4655" spans="1:6" x14ac:dyDescent="0.25">
      <c r="A4655" t="s">
        <v>8713</v>
      </c>
      <c r="B4655" t="s">
        <v>8714</v>
      </c>
      <c r="C4655" s="1">
        <v>44083</v>
      </c>
      <c r="D4655" t="b">
        <v>1</v>
      </c>
      <c r="E4655" t="s">
        <v>10</v>
      </c>
      <c r="F4655">
        <v>3884</v>
      </c>
    </row>
    <row r="4656" spans="1:6" x14ac:dyDescent="0.25">
      <c r="A4656" t="s">
        <v>8715</v>
      </c>
      <c r="B4656" t="s">
        <v>8716</v>
      </c>
      <c r="C4656" s="1">
        <v>44083</v>
      </c>
      <c r="D4656" t="b">
        <v>1</v>
      </c>
      <c r="E4656" t="s">
        <v>10</v>
      </c>
      <c r="F4656">
        <v>9545</v>
      </c>
    </row>
    <row r="4657" spans="1:6" x14ac:dyDescent="0.25">
      <c r="A4657" t="s">
        <v>8717</v>
      </c>
      <c r="B4657" t="s">
        <v>8718</v>
      </c>
      <c r="C4657" s="1">
        <v>44083</v>
      </c>
      <c r="D4657" t="b">
        <v>1</v>
      </c>
      <c r="E4657" t="s">
        <v>10</v>
      </c>
      <c r="F4657">
        <v>16360</v>
      </c>
    </row>
    <row r="4658" spans="1:6" x14ac:dyDescent="0.25">
      <c r="A4658" t="s">
        <v>8719</v>
      </c>
      <c r="B4658" t="s">
        <v>8720</v>
      </c>
      <c r="C4658" s="1">
        <v>44083</v>
      </c>
      <c r="D4658" t="b">
        <v>1</v>
      </c>
      <c r="E4658" t="s">
        <v>10</v>
      </c>
      <c r="F4658">
        <v>11464</v>
      </c>
    </row>
    <row r="4659" spans="1:6" x14ac:dyDescent="0.25">
      <c r="A4659" t="s">
        <v>8721</v>
      </c>
      <c r="B4659" t="s">
        <v>8722</v>
      </c>
      <c r="C4659" s="1">
        <v>44083</v>
      </c>
      <c r="D4659" t="b">
        <v>1</v>
      </c>
      <c r="E4659" t="s">
        <v>10</v>
      </c>
      <c r="F4659">
        <v>1863</v>
      </c>
    </row>
    <row r="4660" spans="1:6" x14ac:dyDescent="0.25">
      <c r="A4660" t="s">
        <v>8723</v>
      </c>
      <c r="B4660" t="s">
        <v>8724</v>
      </c>
      <c r="C4660" s="1">
        <v>44083</v>
      </c>
      <c r="D4660" t="b">
        <v>1</v>
      </c>
      <c r="E4660" t="s">
        <v>10</v>
      </c>
      <c r="F4660">
        <v>9387</v>
      </c>
    </row>
    <row r="4661" spans="1:6" x14ac:dyDescent="0.25">
      <c r="A4661" t="s">
        <v>8725</v>
      </c>
      <c r="B4661" t="s">
        <v>8726</v>
      </c>
      <c r="C4661" s="1">
        <v>44083</v>
      </c>
      <c r="D4661" t="b">
        <v>1</v>
      </c>
      <c r="E4661" t="s">
        <v>10</v>
      </c>
      <c r="F4661">
        <v>3891</v>
      </c>
    </row>
    <row r="4662" spans="1:6" x14ac:dyDescent="0.25">
      <c r="A4662" t="s">
        <v>8727</v>
      </c>
      <c r="B4662" t="s">
        <v>8728</v>
      </c>
      <c r="C4662" s="1">
        <v>44083</v>
      </c>
      <c r="D4662" t="b">
        <v>1</v>
      </c>
      <c r="E4662" t="s">
        <v>10</v>
      </c>
      <c r="F4662">
        <v>3892</v>
      </c>
    </row>
    <row r="4663" spans="1:6" x14ac:dyDescent="0.25">
      <c r="A4663" t="s">
        <v>8729</v>
      </c>
      <c r="B4663" t="s">
        <v>8730</v>
      </c>
      <c r="C4663" s="1">
        <v>44083</v>
      </c>
      <c r="D4663" t="b">
        <v>1</v>
      </c>
      <c r="E4663" t="s">
        <v>10</v>
      </c>
      <c r="F4663">
        <v>13546</v>
      </c>
    </row>
    <row r="4664" spans="1:6" x14ac:dyDescent="0.25">
      <c r="A4664" t="s">
        <v>8731</v>
      </c>
      <c r="B4664" t="s">
        <v>8732</v>
      </c>
      <c r="C4664" s="1">
        <v>44083</v>
      </c>
      <c r="D4664" t="b">
        <v>1</v>
      </c>
      <c r="E4664" t="s">
        <v>10</v>
      </c>
      <c r="F4664">
        <v>15618</v>
      </c>
    </row>
    <row r="4665" spans="1:6" x14ac:dyDescent="0.25">
      <c r="A4665" t="s">
        <v>8733</v>
      </c>
      <c r="B4665" t="s">
        <v>8734</v>
      </c>
      <c r="C4665" s="1">
        <v>44083</v>
      </c>
      <c r="D4665" t="b">
        <v>1</v>
      </c>
      <c r="E4665" t="s">
        <v>10</v>
      </c>
      <c r="F4665">
        <v>9535</v>
      </c>
    </row>
    <row r="4666" spans="1:6" x14ac:dyDescent="0.25">
      <c r="A4666" t="s">
        <v>8735</v>
      </c>
      <c r="B4666" t="s">
        <v>8736</v>
      </c>
      <c r="C4666" s="1">
        <v>44083</v>
      </c>
      <c r="D4666" t="b">
        <v>1</v>
      </c>
      <c r="E4666" t="s">
        <v>10</v>
      </c>
      <c r="F4666">
        <v>3894</v>
      </c>
    </row>
    <row r="4667" spans="1:6" x14ac:dyDescent="0.25">
      <c r="A4667" t="s">
        <v>8737</v>
      </c>
      <c r="B4667" t="s">
        <v>8738</v>
      </c>
      <c r="C4667" s="1">
        <v>44083</v>
      </c>
      <c r="D4667" t="b">
        <v>1</v>
      </c>
      <c r="E4667" t="s">
        <v>10</v>
      </c>
      <c r="F4667">
        <v>3895</v>
      </c>
    </row>
    <row r="4668" spans="1:6" x14ac:dyDescent="0.25">
      <c r="A4668" t="s">
        <v>8739</v>
      </c>
      <c r="B4668" t="s">
        <v>8740</v>
      </c>
      <c r="C4668" s="1">
        <v>44083</v>
      </c>
      <c r="D4668" t="b">
        <v>1</v>
      </c>
      <c r="E4668" t="s">
        <v>10</v>
      </c>
      <c r="F4668">
        <v>15660</v>
      </c>
    </row>
    <row r="4669" spans="1:6" x14ac:dyDescent="0.25">
      <c r="A4669" t="s">
        <v>8741</v>
      </c>
      <c r="C4669" s="1">
        <v>44083</v>
      </c>
      <c r="D4669" t="b">
        <v>1</v>
      </c>
      <c r="E4669" t="s">
        <v>10</v>
      </c>
      <c r="F4669">
        <v>15846</v>
      </c>
    </row>
    <row r="4670" spans="1:6" x14ac:dyDescent="0.25">
      <c r="A4670" t="s">
        <v>8742</v>
      </c>
      <c r="B4670" t="s">
        <v>8743</v>
      </c>
      <c r="C4670" s="1">
        <v>44083</v>
      </c>
      <c r="D4670" t="b">
        <v>0</v>
      </c>
      <c r="E4670" t="s">
        <v>10</v>
      </c>
      <c r="F4670">
        <v>17020</v>
      </c>
    </row>
    <row r="4671" spans="1:6" x14ac:dyDescent="0.25">
      <c r="A4671" t="s">
        <v>8744</v>
      </c>
      <c r="B4671" t="s">
        <v>8745</v>
      </c>
      <c r="C4671" s="1">
        <v>44083</v>
      </c>
      <c r="D4671" t="b">
        <v>1</v>
      </c>
      <c r="E4671" t="s">
        <v>10</v>
      </c>
      <c r="F4671">
        <v>3897</v>
      </c>
    </row>
    <row r="4672" spans="1:6" x14ac:dyDescent="0.25">
      <c r="A4672" t="s">
        <v>8746</v>
      </c>
      <c r="B4672" t="s">
        <v>8747</v>
      </c>
      <c r="C4672" s="1">
        <v>44083</v>
      </c>
      <c r="D4672" t="b">
        <v>1</v>
      </c>
      <c r="E4672" t="s">
        <v>10</v>
      </c>
      <c r="F4672">
        <v>3898</v>
      </c>
    </row>
    <row r="4673" spans="1:6" x14ac:dyDescent="0.25">
      <c r="A4673" t="s">
        <v>8748</v>
      </c>
      <c r="C4673" s="1">
        <v>44083</v>
      </c>
      <c r="D4673" t="b">
        <v>1</v>
      </c>
      <c r="E4673" t="s">
        <v>10</v>
      </c>
      <c r="F4673">
        <v>12208</v>
      </c>
    </row>
    <row r="4674" spans="1:6" x14ac:dyDescent="0.25">
      <c r="A4674" t="s">
        <v>8749</v>
      </c>
      <c r="C4674" s="1">
        <v>44083</v>
      </c>
      <c r="D4674" t="b">
        <v>1</v>
      </c>
      <c r="E4674" t="s">
        <v>10</v>
      </c>
      <c r="F4674">
        <v>14883</v>
      </c>
    </row>
    <row r="4675" spans="1:6" x14ac:dyDescent="0.25">
      <c r="A4675" t="s">
        <v>8750</v>
      </c>
      <c r="C4675" s="1">
        <v>44083</v>
      </c>
      <c r="D4675" t="b">
        <v>1</v>
      </c>
      <c r="E4675" t="s">
        <v>10</v>
      </c>
      <c r="F4675">
        <v>15689</v>
      </c>
    </row>
    <row r="4676" spans="1:6" x14ac:dyDescent="0.25">
      <c r="A4676" t="s">
        <v>8751</v>
      </c>
      <c r="B4676" t="s">
        <v>8752</v>
      </c>
      <c r="C4676" s="1">
        <v>44083</v>
      </c>
      <c r="D4676" t="b">
        <v>1</v>
      </c>
      <c r="E4676" t="s">
        <v>10</v>
      </c>
      <c r="F4676">
        <v>9284</v>
      </c>
    </row>
    <row r="4677" spans="1:6" x14ac:dyDescent="0.25">
      <c r="A4677" t="s">
        <v>8753</v>
      </c>
      <c r="B4677" t="s">
        <v>8754</v>
      </c>
      <c r="C4677" s="1">
        <v>44083</v>
      </c>
      <c r="D4677" t="b">
        <v>1</v>
      </c>
      <c r="E4677" t="s">
        <v>10</v>
      </c>
      <c r="F4677">
        <v>3902</v>
      </c>
    </row>
    <row r="4678" spans="1:6" x14ac:dyDescent="0.25">
      <c r="A4678" t="s">
        <v>8755</v>
      </c>
      <c r="B4678" t="s">
        <v>8756</v>
      </c>
      <c r="C4678" s="1">
        <v>44083</v>
      </c>
      <c r="D4678" t="b">
        <v>1</v>
      </c>
      <c r="E4678" t="s">
        <v>10</v>
      </c>
      <c r="F4678">
        <v>3903</v>
      </c>
    </row>
    <row r="4679" spans="1:6" x14ac:dyDescent="0.25">
      <c r="A4679" t="s">
        <v>8757</v>
      </c>
      <c r="B4679" t="s">
        <v>8758</v>
      </c>
      <c r="C4679" s="1">
        <v>44083</v>
      </c>
      <c r="D4679" t="b">
        <v>1</v>
      </c>
      <c r="E4679" t="s">
        <v>10</v>
      </c>
      <c r="F4679">
        <v>3908</v>
      </c>
    </row>
    <row r="4680" spans="1:6" x14ac:dyDescent="0.25">
      <c r="A4680" t="s">
        <v>8759</v>
      </c>
      <c r="B4680" t="s">
        <v>8760</v>
      </c>
      <c r="C4680" s="1">
        <v>44083</v>
      </c>
      <c r="D4680" t="b">
        <v>1</v>
      </c>
      <c r="E4680" t="s">
        <v>10</v>
      </c>
      <c r="F4680">
        <v>3909</v>
      </c>
    </row>
    <row r="4681" spans="1:6" x14ac:dyDescent="0.25">
      <c r="A4681" t="s">
        <v>8761</v>
      </c>
      <c r="B4681" t="s">
        <v>8762</v>
      </c>
      <c r="C4681" s="1">
        <v>44083</v>
      </c>
      <c r="D4681" t="b">
        <v>1</v>
      </c>
      <c r="E4681" t="s">
        <v>10</v>
      </c>
      <c r="F4681">
        <v>3910</v>
      </c>
    </row>
    <row r="4682" spans="1:6" x14ac:dyDescent="0.25">
      <c r="A4682" t="s">
        <v>8763</v>
      </c>
      <c r="B4682" t="s">
        <v>8764</v>
      </c>
      <c r="C4682" s="1">
        <v>44083</v>
      </c>
      <c r="D4682" t="b">
        <v>1</v>
      </c>
      <c r="E4682" t="s">
        <v>10</v>
      </c>
      <c r="F4682">
        <v>3911</v>
      </c>
    </row>
    <row r="4683" spans="1:6" x14ac:dyDescent="0.25">
      <c r="A4683" t="s">
        <v>8765</v>
      </c>
      <c r="B4683" t="s">
        <v>8766</v>
      </c>
      <c r="C4683" s="1">
        <v>44083</v>
      </c>
      <c r="D4683" t="b">
        <v>1</v>
      </c>
      <c r="E4683" t="s">
        <v>10</v>
      </c>
      <c r="F4683">
        <v>3912</v>
      </c>
    </row>
    <row r="4684" spans="1:6" x14ac:dyDescent="0.25">
      <c r="A4684" t="s">
        <v>8767</v>
      </c>
      <c r="B4684" t="s">
        <v>8768</v>
      </c>
      <c r="C4684" s="1">
        <v>44083</v>
      </c>
      <c r="D4684" t="b">
        <v>1</v>
      </c>
      <c r="E4684" t="s">
        <v>10</v>
      </c>
      <c r="F4684">
        <v>13550</v>
      </c>
    </row>
    <row r="4685" spans="1:6" x14ac:dyDescent="0.25">
      <c r="A4685" t="s">
        <v>8769</v>
      </c>
      <c r="B4685" t="s">
        <v>8770</v>
      </c>
      <c r="C4685" s="1">
        <v>44083</v>
      </c>
      <c r="D4685" t="b">
        <v>1</v>
      </c>
      <c r="E4685" t="s">
        <v>10</v>
      </c>
      <c r="F4685">
        <v>10253</v>
      </c>
    </row>
    <row r="4686" spans="1:6" x14ac:dyDescent="0.25">
      <c r="A4686" t="s">
        <v>8771</v>
      </c>
      <c r="B4686" t="s">
        <v>8772</v>
      </c>
      <c r="C4686" s="1">
        <v>44083</v>
      </c>
      <c r="D4686" t="b">
        <v>1</v>
      </c>
      <c r="E4686" t="s">
        <v>10</v>
      </c>
      <c r="F4686">
        <v>13537</v>
      </c>
    </row>
    <row r="4687" spans="1:6" x14ac:dyDescent="0.25">
      <c r="A4687" t="s">
        <v>8773</v>
      </c>
      <c r="B4687" t="s">
        <v>8774</v>
      </c>
      <c r="C4687" s="1">
        <v>44083</v>
      </c>
      <c r="D4687" t="b">
        <v>1</v>
      </c>
      <c r="E4687" t="s">
        <v>10</v>
      </c>
      <c r="F4687">
        <v>3916</v>
      </c>
    </row>
    <row r="4688" spans="1:6" x14ac:dyDescent="0.25">
      <c r="A4688" t="s">
        <v>8775</v>
      </c>
      <c r="B4688" t="s">
        <v>8776</v>
      </c>
      <c r="C4688" s="1">
        <v>44083</v>
      </c>
      <c r="D4688" t="b">
        <v>1</v>
      </c>
      <c r="E4688" t="s">
        <v>10</v>
      </c>
      <c r="F4688">
        <v>3917</v>
      </c>
    </row>
    <row r="4689" spans="1:6" x14ac:dyDescent="0.25">
      <c r="A4689" t="s">
        <v>8777</v>
      </c>
      <c r="C4689" s="1">
        <v>44083</v>
      </c>
      <c r="D4689" t="b">
        <v>1</v>
      </c>
      <c r="E4689" t="s">
        <v>10</v>
      </c>
      <c r="F4689">
        <v>13282</v>
      </c>
    </row>
    <row r="4690" spans="1:6" x14ac:dyDescent="0.25">
      <c r="A4690" t="s">
        <v>8778</v>
      </c>
      <c r="C4690" s="1">
        <v>44083</v>
      </c>
      <c r="D4690" t="b">
        <v>1</v>
      </c>
      <c r="E4690" t="s">
        <v>10</v>
      </c>
      <c r="F4690">
        <v>13940</v>
      </c>
    </row>
    <row r="4691" spans="1:6" x14ac:dyDescent="0.25">
      <c r="A4691" t="s">
        <v>8779</v>
      </c>
      <c r="B4691" t="s">
        <v>8780</v>
      </c>
      <c r="C4691" s="1">
        <v>44083</v>
      </c>
      <c r="D4691" t="b">
        <v>1</v>
      </c>
      <c r="E4691" t="s">
        <v>10</v>
      </c>
      <c r="F4691">
        <v>8155</v>
      </c>
    </row>
    <row r="4692" spans="1:6" x14ac:dyDescent="0.25">
      <c r="A4692" t="s">
        <v>8781</v>
      </c>
      <c r="B4692" t="s">
        <v>8782</v>
      </c>
      <c r="C4692" s="1">
        <v>44083</v>
      </c>
      <c r="D4692" t="b">
        <v>1</v>
      </c>
      <c r="E4692" t="s">
        <v>10</v>
      </c>
      <c r="F4692">
        <v>3922</v>
      </c>
    </row>
    <row r="4693" spans="1:6" x14ac:dyDescent="0.25">
      <c r="A4693" t="s">
        <v>8783</v>
      </c>
      <c r="B4693" t="s">
        <v>8784</v>
      </c>
      <c r="C4693" s="1">
        <v>44083</v>
      </c>
      <c r="D4693" t="b">
        <v>1</v>
      </c>
      <c r="E4693" t="s">
        <v>10</v>
      </c>
      <c r="F4693">
        <v>3923</v>
      </c>
    </row>
    <row r="4694" spans="1:6" x14ac:dyDescent="0.25">
      <c r="A4694" t="s">
        <v>8785</v>
      </c>
      <c r="B4694" t="s">
        <v>8786</v>
      </c>
      <c r="C4694" s="1">
        <v>44083</v>
      </c>
      <c r="D4694" t="b">
        <v>1</v>
      </c>
      <c r="E4694" t="s">
        <v>10</v>
      </c>
      <c r="F4694">
        <v>9371</v>
      </c>
    </row>
    <row r="4695" spans="1:6" x14ac:dyDescent="0.25">
      <c r="A4695" t="s">
        <v>8787</v>
      </c>
      <c r="B4695" t="s">
        <v>8788</v>
      </c>
      <c r="C4695" s="1">
        <v>44083</v>
      </c>
      <c r="D4695" t="b">
        <v>1</v>
      </c>
      <c r="E4695" t="s">
        <v>10</v>
      </c>
      <c r="F4695">
        <v>3927</v>
      </c>
    </row>
    <row r="4696" spans="1:6" x14ac:dyDescent="0.25">
      <c r="A4696" t="s">
        <v>8789</v>
      </c>
      <c r="B4696" t="s">
        <v>8790</v>
      </c>
      <c r="C4696" s="1">
        <v>44083</v>
      </c>
      <c r="D4696" t="b">
        <v>1</v>
      </c>
      <c r="E4696" t="s">
        <v>10</v>
      </c>
      <c r="F4696">
        <v>16431</v>
      </c>
    </row>
    <row r="4697" spans="1:6" x14ac:dyDescent="0.25">
      <c r="A4697" t="s">
        <v>8791</v>
      </c>
      <c r="B4697" t="s">
        <v>8792</v>
      </c>
      <c r="C4697" s="1">
        <v>44083</v>
      </c>
      <c r="D4697" t="b">
        <v>0</v>
      </c>
      <c r="E4697" t="s">
        <v>10</v>
      </c>
      <c r="F4697">
        <v>16901</v>
      </c>
    </row>
    <row r="4698" spans="1:6" x14ac:dyDescent="0.25">
      <c r="A4698" t="s">
        <v>8793</v>
      </c>
      <c r="B4698" t="s">
        <v>8794</v>
      </c>
      <c r="C4698" s="1">
        <v>44083</v>
      </c>
      <c r="D4698" t="b">
        <v>1</v>
      </c>
      <c r="E4698" t="s">
        <v>10</v>
      </c>
      <c r="F4698">
        <v>3929</v>
      </c>
    </row>
    <row r="4699" spans="1:6" x14ac:dyDescent="0.25">
      <c r="A4699" t="s">
        <v>8795</v>
      </c>
      <c r="C4699" s="1">
        <v>44083</v>
      </c>
      <c r="D4699" t="b">
        <v>1</v>
      </c>
      <c r="E4699" t="s">
        <v>10</v>
      </c>
      <c r="F4699">
        <v>11198</v>
      </c>
    </row>
    <row r="4700" spans="1:6" x14ac:dyDescent="0.25">
      <c r="A4700" t="s">
        <v>8796</v>
      </c>
      <c r="C4700" s="1">
        <v>44083</v>
      </c>
      <c r="D4700" t="b">
        <v>1</v>
      </c>
      <c r="E4700" t="s">
        <v>10</v>
      </c>
      <c r="F4700">
        <v>11537</v>
      </c>
    </row>
    <row r="4701" spans="1:6" x14ac:dyDescent="0.25">
      <c r="A4701" t="s">
        <v>8797</v>
      </c>
      <c r="C4701" s="1">
        <v>44083</v>
      </c>
      <c r="D4701" t="b">
        <v>1</v>
      </c>
      <c r="E4701" t="s">
        <v>10</v>
      </c>
      <c r="F4701">
        <v>17119</v>
      </c>
    </row>
    <row r="4702" spans="1:6" x14ac:dyDescent="0.25">
      <c r="A4702" t="s">
        <v>8798</v>
      </c>
      <c r="B4702" t="s">
        <v>8799</v>
      </c>
      <c r="C4702" s="1">
        <v>44083</v>
      </c>
      <c r="D4702" t="b">
        <v>1</v>
      </c>
      <c r="E4702" t="s">
        <v>10</v>
      </c>
      <c r="F4702">
        <v>13277</v>
      </c>
    </row>
    <row r="4703" spans="1:6" x14ac:dyDescent="0.25">
      <c r="A4703" t="s">
        <v>8800</v>
      </c>
      <c r="B4703" t="s">
        <v>8801</v>
      </c>
      <c r="C4703" s="1">
        <v>44083</v>
      </c>
      <c r="D4703" t="b">
        <v>1</v>
      </c>
      <c r="E4703" t="s">
        <v>10</v>
      </c>
      <c r="F4703">
        <v>3930</v>
      </c>
    </row>
    <row r="4704" spans="1:6" x14ac:dyDescent="0.25">
      <c r="A4704" t="s">
        <v>8802</v>
      </c>
      <c r="B4704" t="s">
        <v>8803</v>
      </c>
      <c r="C4704" s="1">
        <v>44083</v>
      </c>
      <c r="D4704" t="b">
        <v>1</v>
      </c>
      <c r="E4704" t="s">
        <v>10</v>
      </c>
      <c r="F4704">
        <v>15832</v>
      </c>
    </row>
    <row r="4705" spans="1:6" x14ac:dyDescent="0.25">
      <c r="A4705" t="s">
        <v>8804</v>
      </c>
      <c r="B4705" t="s">
        <v>8805</v>
      </c>
      <c r="C4705" s="1">
        <v>44083</v>
      </c>
      <c r="D4705" t="b">
        <v>1</v>
      </c>
      <c r="E4705" t="s">
        <v>10</v>
      </c>
      <c r="F4705">
        <v>15376</v>
      </c>
    </row>
    <row r="4706" spans="1:6" x14ac:dyDescent="0.25">
      <c r="A4706" t="s">
        <v>8806</v>
      </c>
      <c r="B4706" t="s">
        <v>8807</v>
      </c>
      <c r="C4706" s="1">
        <v>44083</v>
      </c>
      <c r="D4706" t="b">
        <v>1</v>
      </c>
      <c r="E4706" t="s">
        <v>10</v>
      </c>
      <c r="F4706">
        <v>10276</v>
      </c>
    </row>
    <row r="4707" spans="1:6" x14ac:dyDescent="0.25">
      <c r="A4707" t="s">
        <v>8808</v>
      </c>
      <c r="B4707" t="s">
        <v>8809</v>
      </c>
      <c r="C4707" s="1">
        <v>44083</v>
      </c>
      <c r="D4707" t="b">
        <v>1</v>
      </c>
      <c r="E4707" t="s">
        <v>10</v>
      </c>
      <c r="F4707">
        <v>3932</v>
      </c>
    </row>
    <row r="4708" spans="1:6" x14ac:dyDescent="0.25">
      <c r="A4708" t="s">
        <v>8810</v>
      </c>
      <c r="B4708" t="s">
        <v>8811</v>
      </c>
      <c r="C4708" s="1">
        <v>44083</v>
      </c>
      <c r="D4708" t="b">
        <v>1</v>
      </c>
      <c r="E4708" t="s">
        <v>10</v>
      </c>
      <c r="F4708">
        <v>14030</v>
      </c>
    </row>
    <row r="4709" spans="1:6" x14ac:dyDescent="0.25">
      <c r="A4709" t="s">
        <v>8812</v>
      </c>
      <c r="C4709" s="1">
        <v>44083</v>
      </c>
      <c r="D4709" t="b">
        <v>1</v>
      </c>
      <c r="E4709" t="s">
        <v>10</v>
      </c>
      <c r="F4709">
        <v>14045</v>
      </c>
    </row>
    <row r="4710" spans="1:6" x14ac:dyDescent="0.25">
      <c r="A4710" t="s">
        <v>8813</v>
      </c>
      <c r="B4710" t="s">
        <v>8814</v>
      </c>
      <c r="C4710" s="1">
        <v>44083</v>
      </c>
      <c r="D4710" t="b">
        <v>1</v>
      </c>
      <c r="E4710" t="s">
        <v>10</v>
      </c>
      <c r="F4710">
        <v>14961</v>
      </c>
    </row>
    <row r="4711" spans="1:6" x14ac:dyDescent="0.25">
      <c r="A4711" t="s">
        <v>8815</v>
      </c>
      <c r="B4711" t="s">
        <v>8816</v>
      </c>
      <c r="C4711" s="1">
        <v>44083</v>
      </c>
      <c r="D4711" t="b">
        <v>1</v>
      </c>
      <c r="E4711" t="s">
        <v>10</v>
      </c>
      <c r="F4711">
        <v>3933</v>
      </c>
    </row>
    <row r="4712" spans="1:6" x14ac:dyDescent="0.25">
      <c r="A4712" t="s">
        <v>8817</v>
      </c>
      <c r="B4712" t="s">
        <v>8818</v>
      </c>
      <c r="C4712" s="1">
        <v>44083</v>
      </c>
      <c r="D4712" t="b">
        <v>1</v>
      </c>
      <c r="E4712" t="s">
        <v>10</v>
      </c>
      <c r="F4712">
        <v>3934</v>
      </c>
    </row>
    <row r="4713" spans="1:6" x14ac:dyDescent="0.25">
      <c r="A4713" t="s">
        <v>8819</v>
      </c>
      <c r="B4713" t="s">
        <v>8730</v>
      </c>
      <c r="C4713" s="1">
        <v>44083</v>
      </c>
      <c r="D4713" t="b">
        <v>1</v>
      </c>
      <c r="E4713" t="s">
        <v>10</v>
      </c>
      <c r="F4713">
        <v>14967</v>
      </c>
    </row>
    <row r="4714" spans="1:6" x14ac:dyDescent="0.25">
      <c r="A4714" t="s">
        <v>8820</v>
      </c>
      <c r="B4714" t="s">
        <v>8821</v>
      </c>
      <c r="C4714" s="1">
        <v>44083</v>
      </c>
      <c r="D4714" t="b">
        <v>1</v>
      </c>
      <c r="E4714" t="s">
        <v>10</v>
      </c>
      <c r="F4714">
        <v>3936</v>
      </c>
    </row>
    <row r="4715" spans="1:6" x14ac:dyDescent="0.25">
      <c r="A4715" t="s">
        <v>8822</v>
      </c>
      <c r="B4715" t="s">
        <v>8823</v>
      </c>
      <c r="C4715" s="1">
        <v>44083</v>
      </c>
      <c r="D4715" t="b">
        <v>1</v>
      </c>
      <c r="E4715" t="s">
        <v>10</v>
      </c>
      <c r="F4715">
        <v>3938</v>
      </c>
    </row>
    <row r="4716" spans="1:6" x14ac:dyDescent="0.25">
      <c r="A4716" t="s">
        <v>8824</v>
      </c>
      <c r="B4716" t="s">
        <v>8825</v>
      </c>
      <c r="C4716" s="1">
        <v>44083</v>
      </c>
      <c r="D4716" t="b">
        <v>1</v>
      </c>
      <c r="E4716" t="s">
        <v>10</v>
      </c>
      <c r="F4716">
        <v>3941</v>
      </c>
    </row>
    <row r="4717" spans="1:6" x14ac:dyDescent="0.25">
      <c r="A4717" t="s">
        <v>8826</v>
      </c>
      <c r="B4717" t="s">
        <v>8827</v>
      </c>
      <c r="C4717" s="1">
        <v>44083</v>
      </c>
      <c r="D4717" t="b">
        <v>1</v>
      </c>
      <c r="E4717" t="s">
        <v>10</v>
      </c>
      <c r="F4717">
        <v>3943</v>
      </c>
    </row>
    <row r="4718" spans="1:6" x14ac:dyDescent="0.25">
      <c r="A4718" t="s">
        <v>8828</v>
      </c>
      <c r="B4718" t="s">
        <v>8829</v>
      </c>
      <c r="C4718" s="1">
        <v>44083</v>
      </c>
      <c r="D4718" t="b">
        <v>1</v>
      </c>
      <c r="E4718" t="s">
        <v>10</v>
      </c>
      <c r="F4718">
        <v>3944</v>
      </c>
    </row>
    <row r="4719" spans="1:6" x14ac:dyDescent="0.25">
      <c r="A4719" t="s">
        <v>8830</v>
      </c>
      <c r="B4719" t="s">
        <v>8831</v>
      </c>
      <c r="C4719" s="1">
        <v>44083</v>
      </c>
      <c r="D4719" t="b">
        <v>1</v>
      </c>
      <c r="E4719" t="s">
        <v>10</v>
      </c>
      <c r="F4719">
        <v>7846</v>
      </c>
    </row>
    <row r="4720" spans="1:6" x14ac:dyDescent="0.25">
      <c r="A4720" t="s">
        <v>8832</v>
      </c>
      <c r="B4720" t="s">
        <v>8833</v>
      </c>
      <c r="C4720" s="1">
        <v>44083</v>
      </c>
      <c r="D4720" t="b">
        <v>1</v>
      </c>
      <c r="E4720" t="s">
        <v>10</v>
      </c>
      <c r="F4720">
        <v>15586</v>
      </c>
    </row>
    <row r="4721" spans="1:6" x14ac:dyDescent="0.25">
      <c r="A4721" t="s">
        <v>8834</v>
      </c>
      <c r="B4721" t="s">
        <v>8835</v>
      </c>
      <c r="C4721" s="1">
        <v>44083</v>
      </c>
      <c r="D4721" t="b">
        <v>1</v>
      </c>
      <c r="E4721" t="s">
        <v>10</v>
      </c>
      <c r="F4721">
        <v>3946</v>
      </c>
    </row>
    <row r="4722" spans="1:6" x14ac:dyDescent="0.25">
      <c r="A4722" t="s">
        <v>8836</v>
      </c>
      <c r="B4722" t="s">
        <v>8837</v>
      </c>
      <c r="C4722" s="1">
        <v>44083</v>
      </c>
      <c r="D4722" t="b">
        <v>1</v>
      </c>
      <c r="E4722" t="s">
        <v>10</v>
      </c>
      <c r="F4722">
        <v>14288</v>
      </c>
    </row>
    <row r="4723" spans="1:6" x14ac:dyDescent="0.25">
      <c r="A4723" t="s">
        <v>8838</v>
      </c>
      <c r="B4723" t="s">
        <v>8839</v>
      </c>
      <c r="C4723" s="1">
        <v>44083</v>
      </c>
      <c r="D4723" t="b">
        <v>1</v>
      </c>
      <c r="E4723" t="s">
        <v>10</v>
      </c>
      <c r="F4723">
        <v>3947</v>
      </c>
    </row>
    <row r="4724" spans="1:6" x14ac:dyDescent="0.25">
      <c r="A4724" t="s">
        <v>8840</v>
      </c>
      <c r="B4724" t="s">
        <v>8841</v>
      </c>
      <c r="C4724" s="1">
        <v>44083</v>
      </c>
      <c r="D4724" t="b">
        <v>1</v>
      </c>
      <c r="E4724" t="s">
        <v>10</v>
      </c>
      <c r="F4724">
        <v>3949</v>
      </c>
    </row>
    <row r="4725" spans="1:6" x14ac:dyDescent="0.25">
      <c r="A4725" t="s">
        <v>8842</v>
      </c>
      <c r="B4725" t="s">
        <v>8843</v>
      </c>
      <c r="C4725" s="1">
        <v>44083</v>
      </c>
      <c r="D4725" t="b">
        <v>1</v>
      </c>
      <c r="E4725" t="s">
        <v>10</v>
      </c>
      <c r="F4725">
        <v>3950</v>
      </c>
    </row>
    <row r="4726" spans="1:6" x14ac:dyDescent="0.25">
      <c r="A4726" t="s">
        <v>8844</v>
      </c>
      <c r="B4726" t="s">
        <v>8845</v>
      </c>
      <c r="C4726" s="1">
        <v>44083</v>
      </c>
      <c r="D4726" t="b">
        <v>1</v>
      </c>
      <c r="E4726" t="s">
        <v>10</v>
      </c>
      <c r="F4726">
        <v>14489</v>
      </c>
    </row>
    <row r="4727" spans="1:6" x14ac:dyDescent="0.25">
      <c r="A4727" t="s">
        <v>8846</v>
      </c>
      <c r="B4727" t="s">
        <v>8847</v>
      </c>
      <c r="C4727" s="1">
        <v>44083</v>
      </c>
      <c r="D4727" t="b">
        <v>1</v>
      </c>
      <c r="E4727" t="s">
        <v>10</v>
      </c>
      <c r="F4727">
        <v>11665</v>
      </c>
    </row>
    <row r="4728" spans="1:6" x14ac:dyDescent="0.25">
      <c r="A4728" t="s">
        <v>8848</v>
      </c>
      <c r="B4728" t="s">
        <v>8849</v>
      </c>
      <c r="C4728" s="1">
        <v>44083</v>
      </c>
      <c r="D4728" t="b">
        <v>1</v>
      </c>
      <c r="E4728" t="s">
        <v>10</v>
      </c>
      <c r="F4728">
        <v>6603</v>
      </c>
    </row>
    <row r="4729" spans="1:6" x14ac:dyDescent="0.25">
      <c r="A4729" t="s">
        <v>8850</v>
      </c>
      <c r="B4729" t="s">
        <v>8851</v>
      </c>
      <c r="C4729" s="1">
        <v>44083</v>
      </c>
      <c r="D4729" t="b">
        <v>1</v>
      </c>
      <c r="E4729" t="s">
        <v>10</v>
      </c>
      <c r="F4729">
        <v>3952</v>
      </c>
    </row>
    <row r="4730" spans="1:6" x14ac:dyDescent="0.25">
      <c r="A4730" t="s">
        <v>8852</v>
      </c>
      <c r="B4730" t="s">
        <v>8665</v>
      </c>
      <c r="C4730" s="1">
        <v>44083</v>
      </c>
      <c r="D4730" t="b">
        <v>1</v>
      </c>
      <c r="E4730" t="s">
        <v>10</v>
      </c>
      <c r="F4730">
        <v>16127</v>
      </c>
    </row>
    <row r="4731" spans="1:6" x14ac:dyDescent="0.25">
      <c r="A4731" t="s">
        <v>8853</v>
      </c>
      <c r="B4731" t="s">
        <v>8854</v>
      </c>
      <c r="C4731" s="1">
        <v>44083</v>
      </c>
      <c r="D4731" t="b">
        <v>1</v>
      </c>
      <c r="E4731" t="s">
        <v>10</v>
      </c>
      <c r="F4731">
        <v>14996</v>
      </c>
    </row>
    <row r="4732" spans="1:6" x14ac:dyDescent="0.25">
      <c r="A4732" t="s">
        <v>8855</v>
      </c>
      <c r="B4732" t="s">
        <v>8856</v>
      </c>
      <c r="C4732" s="1">
        <v>44083</v>
      </c>
      <c r="D4732" t="b">
        <v>1</v>
      </c>
      <c r="E4732" t="s">
        <v>10</v>
      </c>
      <c r="F4732">
        <v>8069</v>
      </c>
    </row>
    <row r="4733" spans="1:6" x14ac:dyDescent="0.25">
      <c r="A4733" t="s">
        <v>8857</v>
      </c>
      <c r="B4733" t="s">
        <v>8858</v>
      </c>
      <c r="C4733" s="1">
        <v>44083</v>
      </c>
      <c r="D4733" t="b">
        <v>1</v>
      </c>
      <c r="E4733" t="s">
        <v>10</v>
      </c>
      <c r="F4733">
        <v>3953</v>
      </c>
    </row>
    <row r="4734" spans="1:6" x14ac:dyDescent="0.25">
      <c r="A4734" t="s">
        <v>8859</v>
      </c>
      <c r="B4734" t="s">
        <v>8860</v>
      </c>
      <c r="C4734" s="1">
        <v>44083</v>
      </c>
      <c r="D4734" t="b">
        <v>1</v>
      </c>
      <c r="E4734" t="s">
        <v>10</v>
      </c>
      <c r="F4734">
        <v>14088</v>
      </c>
    </row>
    <row r="4735" spans="1:6" x14ac:dyDescent="0.25">
      <c r="A4735" t="s">
        <v>8861</v>
      </c>
      <c r="B4735" t="s">
        <v>8862</v>
      </c>
      <c r="C4735" s="1">
        <v>44083</v>
      </c>
      <c r="D4735" t="b">
        <v>1</v>
      </c>
      <c r="E4735" t="s">
        <v>10</v>
      </c>
      <c r="F4735">
        <v>16667</v>
      </c>
    </row>
    <row r="4736" spans="1:6" x14ac:dyDescent="0.25">
      <c r="A4736" t="s">
        <v>8863</v>
      </c>
      <c r="B4736" t="s">
        <v>8864</v>
      </c>
      <c r="C4736" s="1">
        <v>44083</v>
      </c>
      <c r="D4736" t="b">
        <v>1</v>
      </c>
      <c r="E4736" t="s">
        <v>10</v>
      </c>
      <c r="F4736">
        <v>3955</v>
      </c>
    </row>
    <row r="4737" spans="1:6" x14ac:dyDescent="0.25">
      <c r="A4737" t="s">
        <v>8865</v>
      </c>
      <c r="B4737" t="s">
        <v>8866</v>
      </c>
      <c r="C4737" s="1">
        <v>44083</v>
      </c>
      <c r="D4737" t="b">
        <v>1</v>
      </c>
      <c r="E4737" t="s">
        <v>10</v>
      </c>
      <c r="F4737">
        <v>3956</v>
      </c>
    </row>
    <row r="4738" spans="1:6" x14ac:dyDescent="0.25">
      <c r="A4738" t="s">
        <v>8867</v>
      </c>
      <c r="B4738" t="s">
        <v>8868</v>
      </c>
      <c r="C4738" s="1">
        <v>44083</v>
      </c>
      <c r="D4738" t="b">
        <v>1</v>
      </c>
      <c r="E4738" t="s">
        <v>10</v>
      </c>
      <c r="F4738">
        <v>15159</v>
      </c>
    </row>
    <row r="4739" spans="1:6" x14ac:dyDescent="0.25">
      <c r="A4739" t="s">
        <v>8869</v>
      </c>
      <c r="B4739" t="s">
        <v>8870</v>
      </c>
      <c r="C4739" s="1">
        <v>44083</v>
      </c>
      <c r="D4739" t="b">
        <v>1</v>
      </c>
      <c r="E4739" t="s">
        <v>10</v>
      </c>
      <c r="F4739">
        <v>3961</v>
      </c>
    </row>
    <row r="4740" spans="1:6" x14ac:dyDescent="0.25">
      <c r="A4740" t="s">
        <v>8871</v>
      </c>
      <c r="B4740" t="s">
        <v>8872</v>
      </c>
      <c r="C4740" s="1">
        <v>44083</v>
      </c>
      <c r="D4740" t="b">
        <v>1</v>
      </c>
      <c r="E4740" t="s">
        <v>10</v>
      </c>
      <c r="F4740">
        <v>3962</v>
      </c>
    </row>
    <row r="4741" spans="1:6" x14ac:dyDescent="0.25">
      <c r="A4741" t="s">
        <v>8873</v>
      </c>
      <c r="B4741" t="s">
        <v>8874</v>
      </c>
      <c r="C4741" s="1">
        <v>44083</v>
      </c>
      <c r="D4741" t="b">
        <v>1</v>
      </c>
      <c r="E4741" t="s">
        <v>10</v>
      </c>
      <c r="F4741">
        <v>17083</v>
      </c>
    </row>
    <row r="4742" spans="1:6" x14ac:dyDescent="0.25">
      <c r="A4742" t="s">
        <v>8875</v>
      </c>
      <c r="B4742" t="s">
        <v>8876</v>
      </c>
      <c r="C4742" s="1">
        <v>44083</v>
      </c>
      <c r="D4742" t="b">
        <v>1</v>
      </c>
      <c r="E4742" t="s">
        <v>10</v>
      </c>
      <c r="F4742">
        <v>14016</v>
      </c>
    </row>
    <row r="4743" spans="1:6" x14ac:dyDescent="0.25">
      <c r="A4743" t="s">
        <v>8877</v>
      </c>
      <c r="B4743" t="s">
        <v>8878</v>
      </c>
      <c r="C4743" s="1">
        <v>44083</v>
      </c>
      <c r="D4743" t="b">
        <v>1</v>
      </c>
      <c r="E4743" t="s">
        <v>10</v>
      </c>
      <c r="F4743">
        <v>3964</v>
      </c>
    </row>
    <row r="4744" spans="1:6" x14ac:dyDescent="0.25">
      <c r="A4744" t="s">
        <v>8879</v>
      </c>
      <c r="B4744" t="s">
        <v>8880</v>
      </c>
      <c r="C4744" s="1">
        <v>44083</v>
      </c>
      <c r="D4744" t="b">
        <v>1</v>
      </c>
      <c r="E4744" t="s">
        <v>10</v>
      </c>
      <c r="F4744">
        <v>3966</v>
      </c>
    </row>
    <row r="4745" spans="1:6" x14ac:dyDescent="0.25">
      <c r="A4745" t="s">
        <v>8881</v>
      </c>
      <c r="B4745" t="s">
        <v>8882</v>
      </c>
      <c r="C4745" s="1">
        <v>44083</v>
      </c>
      <c r="D4745" t="b">
        <v>1</v>
      </c>
      <c r="E4745" t="s">
        <v>10</v>
      </c>
      <c r="F4745">
        <v>3967</v>
      </c>
    </row>
    <row r="4746" spans="1:6" x14ac:dyDescent="0.25">
      <c r="A4746" t="s">
        <v>8883</v>
      </c>
      <c r="B4746" t="s">
        <v>8884</v>
      </c>
      <c r="C4746" s="1">
        <v>44083</v>
      </c>
      <c r="D4746" t="b">
        <v>1</v>
      </c>
      <c r="E4746" t="s">
        <v>10</v>
      </c>
      <c r="F4746">
        <v>8080</v>
      </c>
    </row>
    <row r="4747" spans="1:6" x14ac:dyDescent="0.25">
      <c r="A4747" t="s">
        <v>8885</v>
      </c>
      <c r="B4747" t="s">
        <v>8886</v>
      </c>
      <c r="C4747" s="1">
        <v>44083</v>
      </c>
      <c r="D4747" t="b">
        <v>1</v>
      </c>
      <c r="E4747" t="s">
        <v>10</v>
      </c>
      <c r="F4747">
        <v>3968</v>
      </c>
    </row>
    <row r="4748" spans="1:6" x14ac:dyDescent="0.25">
      <c r="A4748" t="s">
        <v>8887</v>
      </c>
      <c r="B4748" t="s">
        <v>8888</v>
      </c>
      <c r="C4748" s="1">
        <v>44083</v>
      </c>
      <c r="D4748" t="b">
        <v>1</v>
      </c>
      <c r="E4748" t="s">
        <v>10</v>
      </c>
      <c r="F4748">
        <v>3969</v>
      </c>
    </row>
    <row r="4749" spans="1:6" x14ac:dyDescent="0.25">
      <c r="A4749" t="s">
        <v>8889</v>
      </c>
      <c r="B4749" t="s">
        <v>8890</v>
      </c>
      <c r="C4749" s="1">
        <v>44083</v>
      </c>
      <c r="D4749" t="b">
        <v>0</v>
      </c>
      <c r="E4749" t="s">
        <v>10</v>
      </c>
      <c r="F4749">
        <v>17029</v>
      </c>
    </row>
    <row r="4750" spans="1:6" x14ac:dyDescent="0.25">
      <c r="A4750" t="s">
        <v>8891</v>
      </c>
      <c r="B4750" t="s">
        <v>8892</v>
      </c>
      <c r="C4750" s="1">
        <v>44083</v>
      </c>
      <c r="D4750" t="b">
        <v>1</v>
      </c>
      <c r="E4750" t="s">
        <v>10</v>
      </c>
      <c r="F4750">
        <v>3970</v>
      </c>
    </row>
    <row r="4751" spans="1:6" x14ac:dyDescent="0.25">
      <c r="A4751" t="s">
        <v>8893</v>
      </c>
      <c r="B4751" t="s">
        <v>8894</v>
      </c>
      <c r="C4751" s="1">
        <v>44083</v>
      </c>
      <c r="D4751" t="b">
        <v>1</v>
      </c>
      <c r="E4751" t="s">
        <v>10</v>
      </c>
      <c r="F4751">
        <v>3973</v>
      </c>
    </row>
    <row r="4752" spans="1:6" x14ac:dyDescent="0.25">
      <c r="A4752" t="s">
        <v>8895</v>
      </c>
      <c r="B4752" t="s">
        <v>8896</v>
      </c>
      <c r="C4752" s="1">
        <v>44083</v>
      </c>
      <c r="D4752" t="b">
        <v>1</v>
      </c>
      <c r="E4752" t="s">
        <v>10</v>
      </c>
      <c r="F4752">
        <v>12867</v>
      </c>
    </row>
    <row r="4753" spans="1:6" x14ac:dyDescent="0.25">
      <c r="A4753" t="s">
        <v>8897</v>
      </c>
      <c r="B4753" t="s">
        <v>8898</v>
      </c>
      <c r="C4753" s="1">
        <v>44083</v>
      </c>
      <c r="D4753" t="b">
        <v>1</v>
      </c>
      <c r="E4753" t="s">
        <v>10</v>
      </c>
      <c r="F4753">
        <v>3975</v>
      </c>
    </row>
    <row r="4754" spans="1:6" x14ac:dyDescent="0.25">
      <c r="A4754" t="s">
        <v>8899</v>
      </c>
      <c r="B4754" t="s">
        <v>8900</v>
      </c>
      <c r="C4754" s="1">
        <v>44083</v>
      </c>
      <c r="D4754" t="b">
        <v>1</v>
      </c>
      <c r="E4754" t="s">
        <v>10</v>
      </c>
      <c r="F4754">
        <v>16239</v>
      </c>
    </row>
    <row r="4755" spans="1:6" x14ac:dyDescent="0.25">
      <c r="A4755" t="s">
        <v>8901</v>
      </c>
      <c r="B4755" t="s">
        <v>8902</v>
      </c>
      <c r="C4755" s="1">
        <v>44083</v>
      </c>
      <c r="D4755" t="b">
        <v>1</v>
      </c>
      <c r="E4755" t="s">
        <v>10</v>
      </c>
      <c r="F4755">
        <v>11589</v>
      </c>
    </row>
    <row r="4756" spans="1:6" x14ac:dyDescent="0.25">
      <c r="A4756" t="s">
        <v>8903</v>
      </c>
      <c r="B4756" t="s">
        <v>8904</v>
      </c>
      <c r="C4756" s="1">
        <v>44083</v>
      </c>
      <c r="D4756" t="b">
        <v>1</v>
      </c>
      <c r="E4756" t="s">
        <v>10</v>
      </c>
      <c r="F4756">
        <v>16208</v>
      </c>
    </row>
    <row r="4757" spans="1:6" x14ac:dyDescent="0.25">
      <c r="A4757" t="s">
        <v>8905</v>
      </c>
      <c r="B4757" t="s">
        <v>8906</v>
      </c>
      <c r="C4757" s="1">
        <v>44083</v>
      </c>
      <c r="D4757" t="b">
        <v>1</v>
      </c>
      <c r="E4757" t="s">
        <v>10</v>
      </c>
      <c r="F4757">
        <v>9778</v>
      </c>
    </row>
    <row r="4758" spans="1:6" x14ac:dyDescent="0.25">
      <c r="A4758" t="s">
        <v>8907</v>
      </c>
      <c r="B4758" t="s">
        <v>8908</v>
      </c>
      <c r="C4758" s="1">
        <v>44083</v>
      </c>
      <c r="D4758" t="b">
        <v>1</v>
      </c>
      <c r="E4758" t="s">
        <v>10</v>
      </c>
      <c r="F4758">
        <v>10010</v>
      </c>
    </row>
    <row r="4759" spans="1:6" x14ac:dyDescent="0.25">
      <c r="A4759" t="s">
        <v>8909</v>
      </c>
      <c r="B4759" t="s">
        <v>8910</v>
      </c>
      <c r="C4759" s="1">
        <v>44083</v>
      </c>
      <c r="D4759" t="b">
        <v>1</v>
      </c>
      <c r="E4759" t="s">
        <v>10</v>
      </c>
      <c r="F4759">
        <v>3978</v>
      </c>
    </row>
    <row r="4760" spans="1:6" x14ac:dyDescent="0.25">
      <c r="A4760" t="s">
        <v>8911</v>
      </c>
      <c r="B4760" t="s">
        <v>8912</v>
      </c>
      <c r="C4760" s="1">
        <v>44083</v>
      </c>
      <c r="D4760" t="b">
        <v>1</v>
      </c>
      <c r="E4760" t="s">
        <v>10</v>
      </c>
      <c r="F4760">
        <v>16623</v>
      </c>
    </row>
    <row r="4761" spans="1:6" x14ac:dyDescent="0.25">
      <c r="A4761" t="s">
        <v>8913</v>
      </c>
      <c r="B4761" t="s">
        <v>8914</v>
      </c>
      <c r="C4761" s="1">
        <v>44083</v>
      </c>
      <c r="D4761" t="b">
        <v>1</v>
      </c>
      <c r="E4761" t="s">
        <v>10</v>
      </c>
      <c r="F4761">
        <v>12269</v>
      </c>
    </row>
    <row r="4762" spans="1:6" x14ac:dyDescent="0.25">
      <c r="A4762" t="s">
        <v>8915</v>
      </c>
      <c r="B4762" t="s">
        <v>8916</v>
      </c>
      <c r="C4762" s="1">
        <v>44083</v>
      </c>
      <c r="D4762" t="b">
        <v>1</v>
      </c>
      <c r="E4762" t="s">
        <v>10</v>
      </c>
      <c r="F4762">
        <v>15808</v>
      </c>
    </row>
    <row r="4763" spans="1:6" x14ac:dyDescent="0.25">
      <c r="A4763" t="s">
        <v>8917</v>
      </c>
      <c r="B4763" t="s">
        <v>8918</v>
      </c>
      <c r="C4763" s="1">
        <v>44083</v>
      </c>
      <c r="D4763" t="b">
        <v>1</v>
      </c>
      <c r="E4763" t="s">
        <v>10</v>
      </c>
      <c r="F4763">
        <v>15907</v>
      </c>
    </row>
    <row r="4764" spans="1:6" x14ac:dyDescent="0.25">
      <c r="A4764" t="s">
        <v>8919</v>
      </c>
      <c r="B4764" t="s">
        <v>8920</v>
      </c>
      <c r="C4764" s="1">
        <v>44083</v>
      </c>
      <c r="D4764" t="b">
        <v>1</v>
      </c>
      <c r="E4764" t="s">
        <v>10</v>
      </c>
      <c r="F4764">
        <v>13307</v>
      </c>
    </row>
    <row r="4765" spans="1:6" x14ac:dyDescent="0.25">
      <c r="A4765" t="s">
        <v>8921</v>
      </c>
      <c r="B4765" t="s">
        <v>8922</v>
      </c>
      <c r="C4765" s="1">
        <v>44083</v>
      </c>
      <c r="D4765" t="b">
        <v>1</v>
      </c>
      <c r="E4765" t="s">
        <v>10</v>
      </c>
      <c r="F4765">
        <v>10539</v>
      </c>
    </row>
    <row r="4766" spans="1:6" x14ac:dyDescent="0.25">
      <c r="A4766" t="s">
        <v>8923</v>
      </c>
      <c r="B4766" t="s">
        <v>8924</v>
      </c>
      <c r="C4766" s="1">
        <v>44083</v>
      </c>
      <c r="D4766" t="b">
        <v>1</v>
      </c>
      <c r="E4766" t="s">
        <v>10</v>
      </c>
      <c r="F4766">
        <v>15833</v>
      </c>
    </row>
    <row r="4767" spans="1:6" x14ac:dyDescent="0.25">
      <c r="A4767" t="s">
        <v>8925</v>
      </c>
      <c r="B4767" t="s">
        <v>8926</v>
      </c>
      <c r="C4767" s="1">
        <v>44083</v>
      </c>
      <c r="D4767" t="b">
        <v>1</v>
      </c>
      <c r="E4767" t="s">
        <v>10</v>
      </c>
      <c r="F4767">
        <v>3983</v>
      </c>
    </row>
    <row r="4768" spans="1:6" x14ac:dyDescent="0.25">
      <c r="A4768" t="s">
        <v>8927</v>
      </c>
      <c r="B4768" t="s">
        <v>8928</v>
      </c>
      <c r="C4768" s="1">
        <v>44083</v>
      </c>
      <c r="D4768" t="b">
        <v>1</v>
      </c>
      <c r="E4768" t="s">
        <v>10</v>
      </c>
      <c r="F4768">
        <v>16998</v>
      </c>
    </row>
    <row r="4769" spans="1:6" x14ac:dyDescent="0.25">
      <c r="A4769" t="s">
        <v>8929</v>
      </c>
      <c r="B4769" t="s">
        <v>8930</v>
      </c>
      <c r="C4769" s="1">
        <v>44083</v>
      </c>
      <c r="D4769" t="b">
        <v>1</v>
      </c>
      <c r="E4769" t="s">
        <v>10</v>
      </c>
      <c r="F4769">
        <v>6972</v>
      </c>
    </row>
    <row r="4770" spans="1:6" x14ac:dyDescent="0.25">
      <c r="A4770" t="s">
        <v>8931</v>
      </c>
      <c r="B4770" t="s">
        <v>8932</v>
      </c>
      <c r="C4770" s="1">
        <v>44083</v>
      </c>
      <c r="D4770" t="b">
        <v>1</v>
      </c>
      <c r="E4770" t="s">
        <v>10</v>
      </c>
      <c r="F4770">
        <v>3984</v>
      </c>
    </row>
    <row r="4771" spans="1:6" x14ac:dyDescent="0.25">
      <c r="A4771" t="s">
        <v>8933</v>
      </c>
      <c r="B4771" t="s">
        <v>8934</v>
      </c>
      <c r="C4771" s="1">
        <v>44083</v>
      </c>
      <c r="D4771" t="b">
        <v>1</v>
      </c>
      <c r="E4771" t="s">
        <v>10</v>
      </c>
      <c r="F4771">
        <v>3986</v>
      </c>
    </row>
    <row r="4772" spans="1:6" x14ac:dyDescent="0.25">
      <c r="A4772" t="s">
        <v>8935</v>
      </c>
      <c r="C4772" s="1">
        <v>44083</v>
      </c>
      <c r="D4772" t="b">
        <v>1</v>
      </c>
      <c r="E4772" t="s">
        <v>10</v>
      </c>
      <c r="F4772">
        <v>3987</v>
      </c>
    </row>
    <row r="4773" spans="1:6" x14ac:dyDescent="0.25">
      <c r="A4773" t="s">
        <v>8936</v>
      </c>
      <c r="B4773" t="s">
        <v>8937</v>
      </c>
      <c r="C4773" s="1">
        <v>44083</v>
      </c>
      <c r="D4773" t="b">
        <v>1</v>
      </c>
      <c r="E4773" t="s">
        <v>10</v>
      </c>
      <c r="F4773">
        <v>3988</v>
      </c>
    </row>
    <row r="4774" spans="1:6" x14ac:dyDescent="0.25">
      <c r="A4774" t="s">
        <v>8938</v>
      </c>
      <c r="B4774" t="s">
        <v>8939</v>
      </c>
      <c r="C4774" s="1">
        <v>44083</v>
      </c>
      <c r="D4774" t="b">
        <v>1</v>
      </c>
      <c r="E4774" t="s">
        <v>10</v>
      </c>
      <c r="F4774">
        <v>15715</v>
      </c>
    </row>
    <row r="4775" spans="1:6" x14ac:dyDescent="0.25">
      <c r="A4775" t="s">
        <v>8940</v>
      </c>
      <c r="B4775" t="s">
        <v>8941</v>
      </c>
      <c r="C4775" s="1">
        <v>44083</v>
      </c>
      <c r="D4775" t="b">
        <v>1</v>
      </c>
      <c r="E4775" t="s">
        <v>10</v>
      </c>
      <c r="F4775">
        <v>3989</v>
      </c>
    </row>
    <row r="4776" spans="1:6" x14ac:dyDescent="0.25">
      <c r="A4776" t="s">
        <v>8942</v>
      </c>
      <c r="B4776" t="s">
        <v>8943</v>
      </c>
      <c r="C4776" s="1">
        <v>44083</v>
      </c>
      <c r="D4776" t="b">
        <v>1</v>
      </c>
      <c r="E4776" t="s">
        <v>10</v>
      </c>
      <c r="F4776">
        <v>3991</v>
      </c>
    </row>
    <row r="4777" spans="1:6" x14ac:dyDescent="0.25">
      <c r="A4777" t="s">
        <v>8944</v>
      </c>
      <c r="C4777" s="1">
        <v>44083</v>
      </c>
      <c r="D4777" t="b">
        <v>1</v>
      </c>
      <c r="E4777" t="s">
        <v>10</v>
      </c>
      <c r="F4777">
        <v>3992</v>
      </c>
    </row>
    <row r="4778" spans="1:6" x14ac:dyDescent="0.25">
      <c r="A4778" t="s">
        <v>8945</v>
      </c>
      <c r="C4778" s="1">
        <v>44083</v>
      </c>
      <c r="D4778" t="b">
        <v>1</v>
      </c>
      <c r="E4778" t="s">
        <v>10</v>
      </c>
      <c r="F4778">
        <v>3993</v>
      </c>
    </row>
    <row r="4779" spans="1:6" x14ac:dyDescent="0.25">
      <c r="A4779" t="s">
        <v>8946</v>
      </c>
      <c r="B4779" t="s">
        <v>8947</v>
      </c>
      <c r="C4779" s="1">
        <v>44083</v>
      </c>
      <c r="D4779" t="b">
        <v>1</v>
      </c>
      <c r="E4779" t="s">
        <v>10</v>
      </c>
      <c r="F4779">
        <v>3994</v>
      </c>
    </row>
    <row r="4780" spans="1:6" x14ac:dyDescent="0.25">
      <c r="A4780" t="s">
        <v>8948</v>
      </c>
      <c r="B4780" t="s">
        <v>8949</v>
      </c>
      <c r="C4780" s="1">
        <v>44083</v>
      </c>
      <c r="D4780" t="b">
        <v>1</v>
      </c>
      <c r="E4780" t="s">
        <v>10</v>
      </c>
      <c r="F4780">
        <v>10823</v>
      </c>
    </row>
    <row r="4781" spans="1:6" x14ac:dyDescent="0.25">
      <c r="A4781" t="s">
        <v>8950</v>
      </c>
      <c r="C4781" s="1">
        <v>44083</v>
      </c>
      <c r="D4781" t="b">
        <v>1</v>
      </c>
      <c r="E4781" t="s">
        <v>10</v>
      </c>
      <c r="F4781">
        <v>10877</v>
      </c>
    </row>
    <row r="4782" spans="1:6" x14ac:dyDescent="0.25">
      <c r="A4782" t="s">
        <v>8951</v>
      </c>
      <c r="B4782" t="s">
        <v>8952</v>
      </c>
      <c r="C4782" s="1">
        <v>44083</v>
      </c>
      <c r="D4782" t="b">
        <v>1</v>
      </c>
      <c r="E4782" t="s">
        <v>10</v>
      </c>
      <c r="F4782">
        <v>11599</v>
      </c>
    </row>
    <row r="4783" spans="1:6" x14ac:dyDescent="0.25">
      <c r="A4783" t="s">
        <v>8953</v>
      </c>
      <c r="B4783" t="s">
        <v>8954</v>
      </c>
      <c r="C4783" s="1">
        <v>44083</v>
      </c>
      <c r="D4783" t="b">
        <v>1</v>
      </c>
      <c r="E4783" t="s">
        <v>10</v>
      </c>
      <c r="F4783">
        <v>10815</v>
      </c>
    </row>
    <row r="4784" spans="1:6" x14ac:dyDescent="0.25">
      <c r="A4784" t="s">
        <v>8955</v>
      </c>
      <c r="B4784" t="s">
        <v>8956</v>
      </c>
      <c r="C4784" s="1">
        <v>44083</v>
      </c>
      <c r="D4784" t="b">
        <v>1</v>
      </c>
      <c r="E4784" t="s">
        <v>10</v>
      </c>
      <c r="F4784">
        <v>14100</v>
      </c>
    </row>
    <row r="4785" spans="1:6" x14ac:dyDescent="0.25">
      <c r="A4785" t="s">
        <v>8957</v>
      </c>
      <c r="B4785" t="s">
        <v>8958</v>
      </c>
      <c r="C4785" s="1">
        <v>44083</v>
      </c>
      <c r="D4785" t="b">
        <v>1</v>
      </c>
      <c r="E4785" t="s">
        <v>10</v>
      </c>
      <c r="F4785">
        <v>3997</v>
      </c>
    </row>
    <row r="4786" spans="1:6" x14ac:dyDescent="0.25">
      <c r="A4786" t="s">
        <v>8959</v>
      </c>
      <c r="B4786" t="s">
        <v>8960</v>
      </c>
      <c r="C4786" s="1">
        <v>44083</v>
      </c>
      <c r="D4786" t="b">
        <v>1</v>
      </c>
      <c r="E4786" t="s">
        <v>10</v>
      </c>
      <c r="F4786">
        <v>3998</v>
      </c>
    </row>
    <row r="4787" spans="1:6" x14ac:dyDescent="0.25">
      <c r="A4787" t="s">
        <v>8961</v>
      </c>
      <c r="B4787" t="s">
        <v>8962</v>
      </c>
      <c r="C4787" s="1">
        <v>44083</v>
      </c>
      <c r="D4787" t="b">
        <v>1</v>
      </c>
      <c r="E4787" t="s">
        <v>10</v>
      </c>
      <c r="F4787">
        <v>3999</v>
      </c>
    </row>
    <row r="4788" spans="1:6" x14ac:dyDescent="0.25">
      <c r="A4788" t="s">
        <v>8963</v>
      </c>
      <c r="B4788" t="s">
        <v>8964</v>
      </c>
      <c r="C4788" s="1">
        <v>44083</v>
      </c>
      <c r="D4788" t="b">
        <v>1</v>
      </c>
      <c r="E4788" t="s">
        <v>10</v>
      </c>
      <c r="F4788">
        <v>4002</v>
      </c>
    </row>
    <row r="4789" spans="1:6" x14ac:dyDescent="0.25">
      <c r="A4789" t="s">
        <v>8965</v>
      </c>
      <c r="B4789" t="s">
        <v>8966</v>
      </c>
      <c r="C4789" s="1">
        <v>44083</v>
      </c>
      <c r="D4789" t="b">
        <v>1</v>
      </c>
      <c r="E4789" t="s">
        <v>10</v>
      </c>
      <c r="F4789">
        <v>17172</v>
      </c>
    </row>
    <row r="4790" spans="1:6" x14ac:dyDescent="0.25">
      <c r="A4790" t="s">
        <v>8967</v>
      </c>
      <c r="B4790" t="s">
        <v>8968</v>
      </c>
      <c r="C4790" s="1">
        <v>44083</v>
      </c>
      <c r="D4790" t="b">
        <v>1</v>
      </c>
      <c r="E4790" t="s">
        <v>10</v>
      </c>
      <c r="F4790">
        <v>4004</v>
      </c>
    </row>
    <row r="4791" spans="1:6" x14ac:dyDescent="0.25">
      <c r="A4791" t="s">
        <v>8969</v>
      </c>
      <c r="B4791" t="s">
        <v>8970</v>
      </c>
      <c r="C4791" s="1">
        <v>44083</v>
      </c>
      <c r="D4791" t="b">
        <v>1</v>
      </c>
      <c r="E4791" t="s">
        <v>10</v>
      </c>
      <c r="F4791">
        <v>13702</v>
      </c>
    </row>
    <row r="4792" spans="1:6" x14ac:dyDescent="0.25">
      <c r="A4792" t="s">
        <v>8971</v>
      </c>
      <c r="B4792" t="s">
        <v>8972</v>
      </c>
      <c r="C4792" s="1">
        <v>44083</v>
      </c>
      <c r="D4792" t="b">
        <v>1</v>
      </c>
      <c r="E4792" t="s">
        <v>10</v>
      </c>
      <c r="F4792">
        <v>17088</v>
      </c>
    </row>
    <row r="4793" spans="1:6" x14ac:dyDescent="0.25">
      <c r="A4793" t="s">
        <v>8973</v>
      </c>
      <c r="B4793" t="s">
        <v>8974</v>
      </c>
      <c r="C4793" s="1">
        <v>44083</v>
      </c>
      <c r="D4793" t="b">
        <v>1</v>
      </c>
      <c r="E4793" t="s">
        <v>10</v>
      </c>
      <c r="F4793">
        <v>4006</v>
      </c>
    </row>
    <row r="4794" spans="1:6" x14ac:dyDescent="0.25">
      <c r="A4794" t="s">
        <v>8975</v>
      </c>
      <c r="B4794" t="s">
        <v>8976</v>
      </c>
      <c r="C4794" s="1">
        <v>44083</v>
      </c>
      <c r="D4794" t="b">
        <v>1</v>
      </c>
      <c r="E4794" t="s">
        <v>10</v>
      </c>
      <c r="F4794">
        <v>5012</v>
      </c>
    </row>
    <row r="4795" spans="1:6" x14ac:dyDescent="0.25">
      <c r="A4795" t="s">
        <v>8977</v>
      </c>
      <c r="B4795" t="s">
        <v>8978</v>
      </c>
      <c r="C4795" s="1">
        <v>44083</v>
      </c>
      <c r="D4795" t="b">
        <v>1</v>
      </c>
      <c r="E4795" t="s">
        <v>10</v>
      </c>
      <c r="F4795">
        <v>14674</v>
      </c>
    </row>
    <row r="4796" spans="1:6" x14ac:dyDescent="0.25">
      <c r="A4796" t="s">
        <v>8979</v>
      </c>
      <c r="B4796" t="s">
        <v>8980</v>
      </c>
      <c r="C4796" s="1">
        <v>44083</v>
      </c>
      <c r="D4796" t="b">
        <v>1</v>
      </c>
      <c r="E4796" t="s">
        <v>10</v>
      </c>
      <c r="F4796">
        <v>4011</v>
      </c>
    </row>
    <row r="4797" spans="1:6" x14ac:dyDescent="0.25">
      <c r="A4797" t="s">
        <v>8981</v>
      </c>
      <c r="B4797" t="s">
        <v>8982</v>
      </c>
      <c r="C4797" s="1">
        <v>44083</v>
      </c>
      <c r="D4797" t="b">
        <v>1</v>
      </c>
      <c r="E4797" t="s">
        <v>10</v>
      </c>
      <c r="F4797">
        <v>10032</v>
      </c>
    </row>
    <row r="4798" spans="1:6" x14ac:dyDescent="0.25">
      <c r="A4798" t="s">
        <v>8983</v>
      </c>
      <c r="B4798" t="s">
        <v>8984</v>
      </c>
      <c r="C4798" s="1">
        <v>44083</v>
      </c>
      <c r="D4798" t="b">
        <v>1</v>
      </c>
      <c r="E4798" t="s">
        <v>10</v>
      </c>
      <c r="F4798">
        <v>10033</v>
      </c>
    </row>
    <row r="4799" spans="1:6" x14ac:dyDescent="0.25">
      <c r="A4799" t="s">
        <v>8985</v>
      </c>
      <c r="B4799" t="s">
        <v>8986</v>
      </c>
      <c r="C4799" s="1">
        <v>44083</v>
      </c>
      <c r="D4799" t="b">
        <v>1</v>
      </c>
      <c r="E4799" t="s">
        <v>10</v>
      </c>
      <c r="F4799">
        <v>14083</v>
      </c>
    </row>
    <row r="4800" spans="1:6" x14ac:dyDescent="0.25">
      <c r="A4800" t="s">
        <v>8987</v>
      </c>
      <c r="B4800" t="s">
        <v>8988</v>
      </c>
      <c r="C4800" s="1">
        <v>44083</v>
      </c>
      <c r="D4800" t="b">
        <v>1</v>
      </c>
      <c r="E4800" t="s">
        <v>10</v>
      </c>
      <c r="F4800">
        <v>15264</v>
      </c>
    </row>
    <row r="4801" spans="1:6" x14ac:dyDescent="0.25">
      <c r="A4801" t="s">
        <v>8989</v>
      </c>
      <c r="B4801" t="s">
        <v>8990</v>
      </c>
      <c r="C4801" s="1">
        <v>44083</v>
      </c>
      <c r="D4801" t="b">
        <v>1</v>
      </c>
      <c r="E4801" t="s">
        <v>10</v>
      </c>
      <c r="F4801">
        <v>13962</v>
      </c>
    </row>
    <row r="4802" spans="1:6" x14ac:dyDescent="0.25">
      <c r="A4802" t="s">
        <v>8991</v>
      </c>
      <c r="B4802" t="s">
        <v>8990</v>
      </c>
      <c r="C4802" s="1">
        <v>44083</v>
      </c>
      <c r="D4802" t="b">
        <v>1</v>
      </c>
      <c r="E4802" t="s">
        <v>10</v>
      </c>
      <c r="F4802">
        <v>13720</v>
      </c>
    </row>
    <row r="4803" spans="1:6" x14ac:dyDescent="0.25">
      <c r="A4803" t="s">
        <v>8992</v>
      </c>
      <c r="C4803" s="1">
        <v>44083</v>
      </c>
      <c r="D4803" t="b">
        <v>1</v>
      </c>
      <c r="E4803" t="s">
        <v>10</v>
      </c>
      <c r="F4803">
        <v>13970</v>
      </c>
    </row>
    <row r="4804" spans="1:6" x14ac:dyDescent="0.25">
      <c r="A4804" t="s">
        <v>8993</v>
      </c>
      <c r="B4804" t="s">
        <v>8994</v>
      </c>
      <c r="C4804" s="1">
        <v>44083</v>
      </c>
      <c r="D4804" t="b">
        <v>1</v>
      </c>
      <c r="E4804" t="s">
        <v>10</v>
      </c>
      <c r="F4804">
        <v>4015</v>
      </c>
    </row>
    <row r="4805" spans="1:6" x14ac:dyDescent="0.25">
      <c r="A4805" t="s">
        <v>8995</v>
      </c>
      <c r="B4805" t="s">
        <v>8996</v>
      </c>
      <c r="C4805" s="1">
        <v>44083</v>
      </c>
      <c r="D4805" t="b">
        <v>1</v>
      </c>
      <c r="E4805" t="s">
        <v>10</v>
      </c>
      <c r="F4805">
        <v>8257</v>
      </c>
    </row>
    <row r="4806" spans="1:6" x14ac:dyDescent="0.25">
      <c r="A4806" t="s">
        <v>8997</v>
      </c>
      <c r="B4806" t="s">
        <v>8998</v>
      </c>
      <c r="C4806" s="1">
        <v>44083</v>
      </c>
      <c r="D4806" t="b">
        <v>1</v>
      </c>
      <c r="E4806" t="s">
        <v>10</v>
      </c>
      <c r="F4806">
        <v>14979</v>
      </c>
    </row>
    <row r="4807" spans="1:6" x14ac:dyDescent="0.25">
      <c r="A4807" t="s">
        <v>8999</v>
      </c>
      <c r="B4807" t="s">
        <v>9000</v>
      </c>
      <c r="C4807" s="1">
        <v>44083</v>
      </c>
      <c r="D4807" t="b">
        <v>1</v>
      </c>
      <c r="E4807" t="s">
        <v>10</v>
      </c>
      <c r="F4807">
        <v>4018</v>
      </c>
    </row>
    <row r="4808" spans="1:6" x14ac:dyDescent="0.25">
      <c r="A4808" t="s">
        <v>9001</v>
      </c>
      <c r="B4808" t="s">
        <v>9002</v>
      </c>
      <c r="C4808" s="1">
        <v>44083</v>
      </c>
      <c r="D4808" t="b">
        <v>1</v>
      </c>
      <c r="E4808" t="s">
        <v>10</v>
      </c>
      <c r="F4808">
        <v>4019</v>
      </c>
    </row>
    <row r="4809" spans="1:6" x14ac:dyDescent="0.25">
      <c r="A4809" t="s">
        <v>9003</v>
      </c>
      <c r="B4809" t="s">
        <v>9004</v>
      </c>
      <c r="C4809" s="1">
        <v>44083</v>
      </c>
      <c r="D4809" t="b">
        <v>1</v>
      </c>
      <c r="E4809" t="s">
        <v>10</v>
      </c>
      <c r="F4809">
        <v>4020</v>
      </c>
    </row>
    <row r="4810" spans="1:6" x14ac:dyDescent="0.25">
      <c r="A4810" t="s">
        <v>9005</v>
      </c>
      <c r="B4810" t="s">
        <v>9006</v>
      </c>
      <c r="C4810" s="1">
        <v>44083</v>
      </c>
      <c r="D4810" t="b">
        <v>1</v>
      </c>
      <c r="E4810" t="s">
        <v>10</v>
      </c>
      <c r="F4810">
        <v>4021</v>
      </c>
    </row>
    <row r="4811" spans="1:6" x14ac:dyDescent="0.25">
      <c r="A4811" t="s">
        <v>9007</v>
      </c>
      <c r="C4811" s="1">
        <v>44083</v>
      </c>
      <c r="D4811" t="b">
        <v>1</v>
      </c>
      <c r="E4811" t="s">
        <v>10</v>
      </c>
      <c r="F4811">
        <v>11749</v>
      </c>
    </row>
    <row r="4812" spans="1:6" x14ac:dyDescent="0.25">
      <c r="A4812" t="s">
        <v>9008</v>
      </c>
      <c r="B4812" t="s">
        <v>9009</v>
      </c>
      <c r="C4812" s="1">
        <v>44083</v>
      </c>
      <c r="D4812" t="b">
        <v>1</v>
      </c>
      <c r="E4812" t="s">
        <v>10</v>
      </c>
      <c r="F4812">
        <v>4023</v>
      </c>
    </row>
    <row r="4813" spans="1:6" x14ac:dyDescent="0.25">
      <c r="A4813" t="s">
        <v>9010</v>
      </c>
      <c r="B4813" t="s">
        <v>9011</v>
      </c>
      <c r="C4813" s="1">
        <v>44083</v>
      </c>
      <c r="D4813" t="b">
        <v>1</v>
      </c>
      <c r="E4813" t="s">
        <v>10</v>
      </c>
      <c r="F4813">
        <v>14333</v>
      </c>
    </row>
    <row r="4814" spans="1:6" x14ac:dyDescent="0.25">
      <c r="A4814" t="s">
        <v>9012</v>
      </c>
      <c r="B4814" t="s">
        <v>9013</v>
      </c>
      <c r="C4814" s="1">
        <v>44083</v>
      </c>
      <c r="D4814" t="b">
        <v>1</v>
      </c>
      <c r="E4814" t="s">
        <v>10</v>
      </c>
      <c r="F4814">
        <v>16240</v>
      </c>
    </row>
    <row r="4815" spans="1:6" x14ac:dyDescent="0.25">
      <c r="A4815" t="s">
        <v>9014</v>
      </c>
      <c r="B4815" t="s">
        <v>9013</v>
      </c>
      <c r="C4815" s="1">
        <v>44083</v>
      </c>
      <c r="D4815" t="b">
        <v>1</v>
      </c>
      <c r="E4815" t="s">
        <v>10</v>
      </c>
      <c r="F4815">
        <v>16128</v>
      </c>
    </row>
    <row r="4816" spans="1:6" x14ac:dyDescent="0.25">
      <c r="A4816" t="s">
        <v>9015</v>
      </c>
      <c r="C4816" s="1">
        <v>44083</v>
      </c>
      <c r="D4816" t="b">
        <v>1</v>
      </c>
      <c r="E4816" t="s">
        <v>10</v>
      </c>
      <c r="F4816">
        <v>16362</v>
      </c>
    </row>
    <row r="4817" spans="1:6" x14ac:dyDescent="0.25">
      <c r="A4817" t="s">
        <v>9016</v>
      </c>
      <c r="B4817" t="s">
        <v>9017</v>
      </c>
      <c r="C4817" s="1">
        <v>44083</v>
      </c>
      <c r="D4817" t="b">
        <v>1</v>
      </c>
      <c r="E4817" t="s">
        <v>10</v>
      </c>
      <c r="F4817">
        <v>12349</v>
      </c>
    </row>
    <row r="4818" spans="1:6" x14ac:dyDescent="0.25">
      <c r="A4818" t="s">
        <v>9018</v>
      </c>
      <c r="B4818" t="s">
        <v>9019</v>
      </c>
      <c r="C4818" s="1">
        <v>44083</v>
      </c>
      <c r="D4818" t="b">
        <v>1</v>
      </c>
      <c r="E4818" t="s">
        <v>10</v>
      </c>
      <c r="F4818">
        <v>4026</v>
      </c>
    </row>
    <row r="4819" spans="1:6" x14ac:dyDescent="0.25">
      <c r="A4819" t="s">
        <v>9020</v>
      </c>
      <c r="B4819" t="s">
        <v>9021</v>
      </c>
      <c r="C4819" s="1">
        <v>44083</v>
      </c>
      <c r="D4819" t="b">
        <v>1</v>
      </c>
      <c r="E4819" t="s">
        <v>10</v>
      </c>
      <c r="F4819">
        <v>4028</v>
      </c>
    </row>
    <row r="4820" spans="1:6" x14ac:dyDescent="0.25">
      <c r="A4820" t="s">
        <v>9022</v>
      </c>
      <c r="B4820" t="s">
        <v>9023</v>
      </c>
      <c r="C4820" s="1">
        <v>44083</v>
      </c>
      <c r="D4820" t="b">
        <v>1</v>
      </c>
      <c r="E4820" t="s">
        <v>10</v>
      </c>
      <c r="F4820">
        <v>13984</v>
      </c>
    </row>
    <row r="4821" spans="1:6" x14ac:dyDescent="0.25">
      <c r="A4821" t="s">
        <v>9024</v>
      </c>
      <c r="B4821" t="s">
        <v>9025</v>
      </c>
      <c r="C4821" s="1">
        <v>44083</v>
      </c>
      <c r="D4821" t="b">
        <v>1</v>
      </c>
      <c r="E4821" t="s">
        <v>10</v>
      </c>
      <c r="F4821">
        <v>4177</v>
      </c>
    </row>
    <row r="4822" spans="1:6" x14ac:dyDescent="0.25">
      <c r="A4822" t="s">
        <v>9026</v>
      </c>
      <c r="B4822" t="s">
        <v>9027</v>
      </c>
      <c r="C4822" s="1">
        <v>44083</v>
      </c>
      <c r="D4822" t="b">
        <v>1</v>
      </c>
      <c r="E4822" t="s">
        <v>10</v>
      </c>
      <c r="F4822">
        <v>4029</v>
      </c>
    </row>
    <row r="4823" spans="1:6" x14ac:dyDescent="0.25">
      <c r="A4823" t="s">
        <v>9028</v>
      </c>
      <c r="B4823" t="s">
        <v>9029</v>
      </c>
      <c r="C4823" s="1">
        <v>44083</v>
      </c>
      <c r="D4823" t="b">
        <v>1</v>
      </c>
      <c r="E4823" t="s">
        <v>10</v>
      </c>
      <c r="F4823">
        <v>13768</v>
      </c>
    </row>
    <row r="4824" spans="1:6" x14ac:dyDescent="0.25">
      <c r="A4824" t="s">
        <v>9030</v>
      </c>
      <c r="B4824" t="s">
        <v>9031</v>
      </c>
      <c r="C4824" s="1">
        <v>44083</v>
      </c>
      <c r="D4824" t="b">
        <v>1</v>
      </c>
      <c r="E4824" t="s">
        <v>10</v>
      </c>
      <c r="F4824">
        <v>4032</v>
      </c>
    </row>
    <row r="4825" spans="1:6" x14ac:dyDescent="0.25">
      <c r="A4825" t="s">
        <v>9032</v>
      </c>
      <c r="B4825" t="s">
        <v>9033</v>
      </c>
      <c r="C4825" s="1">
        <v>44083</v>
      </c>
      <c r="D4825" t="b">
        <v>1</v>
      </c>
      <c r="E4825" t="s">
        <v>10</v>
      </c>
      <c r="F4825">
        <v>9410</v>
      </c>
    </row>
    <row r="4826" spans="1:6" x14ac:dyDescent="0.25">
      <c r="A4826" t="s">
        <v>9034</v>
      </c>
      <c r="B4826" t="s">
        <v>9035</v>
      </c>
      <c r="C4826" s="1">
        <v>44083</v>
      </c>
      <c r="D4826" t="b">
        <v>1</v>
      </c>
      <c r="E4826" t="s">
        <v>10</v>
      </c>
      <c r="F4826">
        <v>9411</v>
      </c>
    </row>
    <row r="4827" spans="1:6" x14ac:dyDescent="0.25">
      <c r="A4827" t="s">
        <v>9036</v>
      </c>
      <c r="B4827" t="s">
        <v>9037</v>
      </c>
      <c r="C4827" s="1">
        <v>44083</v>
      </c>
      <c r="D4827" t="b">
        <v>1</v>
      </c>
      <c r="E4827" t="s">
        <v>10</v>
      </c>
      <c r="F4827">
        <v>12856</v>
      </c>
    </row>
    <row r="4828" spans="1:6" x14ac:dyDescent="0.25">
      <c r="A4828" t="s">
        <v>9038</v>
      </c>
      <c r="B4828" t="s">
        <v>9039</v>
      </c>
      <c r="C4828" s="1">
        <v>44083</v>
      </c>
      <c r="D4828" t="b">
        <v>1</v>
      </c>
      <c r="E4828" t="s">
        <v>10</v>
      </c>
      <c r="F4828">
        <v>4034</v>
      </c>
    </row>
    <row r="4829" spans="1:6" x14ac:dyDescent="0.25">
      <c r="A4829" t="s">
        <v>9040</v>
      </c>
      <c r="B4829" t="s">
        <v>9041</v>
      </c>
      <c r="C4829" s="1">
        <v>44083</v>
      </c>
      <c r="D4829" t="b">
        <v>1</v>
      </c>
      <c r="E4829" t="s">
        <v>10</v>
      </c>
      <c r="F4829">
        <v>4035</v>
      </c>
    </row>
    <row r="4830" spans="1:6" x14ac:dyDescent="0.25">
      <c r="A4830" t="s">
        <v>9042</v>
      </c>
      <c r="B4830" t="s">
        <v>9043</v>
      </c>
      <c r="C4830" s="1">
        <v>44083</v>
      </c>
      <c r="D4830" t="b">
        <v>1</v>
      </c>
      <c r="E4830" t="s">
        <v>10</v>
      </c>
      <c r="F4830">
        <v>4036</v>
      </c>
    </row>
    <row r="4831" spans="1:6" x14ac:dyDescent="0.25">
      <c r="A4831" t="s">
        <v>9044</v>
      </c>
      <c r="B4831" t="s">
        <v>9045</v>
      </c>
      <c r="C4831" s="1">
        <v>44083</v>
      </c>
      <c r="D4831" t="b">
        <v>1</v>
      </c>
      <c r="E4831" t="s">
        <v>10</v>
      </c>
      <c r="F4831">
        <v>9399</v>
      </c>
    </row>
    <row r="4832" spans="1:6" x14ac:dyDescent="0.25">
      <c r="A4832" t="s">
        <v>9046</v>
      </c>
      <c r="B4832" t="s">
        <v>9047</v>
      </c>
      <c r="C4832" s="1">
        <v>44083</v>
      </c>
      <c r="D4832" t="b">
        <v>1</v>
      </c>
      <c r="E4832" t="s">
        <v>10</v>
      </c>
      <c r="F4832">
        <v>15819</v>
      </c>
    </row>
    <row r="4833" spans="1:6" x14ac:dyDescent="0.25">
      <c r="A4833" t="s">
        <v>9048</v>
      </c>
      <c r="B4833" t="s">
        <v>9049</v>
      </c>
      <c r="C4833" s="1">
        <v>44083</v>
      </c>
      <c r="D4833" t="b">
        <v>1</v>
      </c>
      <c r="E4833" t="s">
        <v>10</v>
      </c>
      <c r="F4833">
        <v>15698</v>
      </c>
    </row>
    <row r="4834" spans="1:6" x14ac:dyDescent="0.25">
      <c r="A4834" t="s">
        <v>9050</v>
      </c>
      <c r="C4834" s="1">
        <v>44083</v>
      </c>
      <c r="D4834" t="b">
        <v>1</v>
      </c>
      <c r="E4834" t="s">
        <v>10</v>
      </c>
      <c r="F4834">
        <v>15820</v>
      </c>
    </row>
    <row r="4835" spans="1:6" x14ac:dyDescent="0.25">
      <c r="A4835" t="s">
        <v>9051</v>
      </c>
      <c r="B4835" t="s">
        <v>9052</v>
      </c>
      <c r="C4835" s="1">
        <v>44083</v>
      </c>
      <c r="D4835" t="b">
        <v>1</v>
      </c>
      <c r="E4835" t="s">
        <v>10</v>
      </c>
      <c r="F4835">
        <v>17021</v>
      </c>
    </row>
    <row r="4836" spans="1:6" x14ac:dyDescent="0.25">
      <c r="A4836" t="s">
        <v>9053</v>
      </c>
      <c r="B4836" t="s">
        <v>9054</v>
      </c>
      <c r="C4836" s="1">
        <v>44083</v>
      </c>
      <c r="D4836" t="b">
        <v>0</v>
      </c>
      <c r="E4836" t="s">
        <v>10</v>
      </c>
      <c r="F4836">
        <v>17146</v>
      </c>
    </row>
    <row r="4837" spans="1:6" x14ac:dyDescent="0.25">
      <c r="A4837" t="s">
        <v>9055</v>
      </c>
      <c r="B4837" t="s">
        <v>9056</v>
      </c>
      <c r="C4837" s="1">
        <v>44083</v>
      </c>
      <c r="D4837" t="b">
        <v>1</v>
      </c>
      <c r="E4837" t="s">
        <v>10</v>
      </c>
      <c r="F4837">
        <v>4040</v>
      </c>
    </row>
    <row r="4838" spans="1:6" x14ac:dyDescent="0.25">
      <c r="A4838" t="s">
        <v>9057</v>
      </c>
      <c r="B4838" t="s">
        <v>9058</v>
      </c>
      <c r="C4838" s="1">
        <v>44083</v>
      </c>
      <c r="D4838" t="b">
        <v>1</v>
      </c>
      <c r="E4838" t="s">
        <v>10</v>
      </c>
      <c r="F4838">
        <v>1946</v>
      </c>
    </row>
    <row r="4839" spans="1:6" x14ac:dyDescent="0.25">
      <c r="A4839" t="s">
        <v>9059</v>
      </c>
      <c r="B4839" t="s">
        <v>9060</v>
      </c>
      <c r="C4839" s="1">
        <v>44083</v>
      </c>
      <c r="D4839" t="b">
        <v>1</v>
      </c>
      <c r="E4839" t="s">
        <v>10</v>
      </c>
      <c r="F4839">
        <v>4042</v>
      </c>
    </row>
    <row r="4840" spans="1:6" x14ac:dyDescent="0.25">
      <c r="A4840" t="s">
        <v>9061</v>
      </c>
      <c r="B4840" t="s">
        <v>9062</v>
      </c>
      <c r="C4840" s="1">
        <v>44083</v>
      </c>
      <c r="D4840" t="b">
        <v>1</v>
      </c>
      <c r="E4840" t="s">
        <v>10</v>
      </c>
      <c r="F4840">
        <v>16436</v>
      </c>
    </row>
    <row r="4841" spans="1:6" x14ac:dyDescent="0.25">
      <c r="A4841" t="s">
        <v>9063</v>
      </c>
      <c r="B4841" t="s">
        <v>9064</v>
      </c>
      <c r="C4841" s="1">
        <v>44083</v>
      </c>
      <c r="D4841" t="b">
        <v>1</v>
      </c>
      <c r="E4841" t="s">
        <v>10</v>
      </c>
      <c r="F4841">
        <v>956</v>
      </c>
    </row>
    <row r="4842" spans="1:6" x14ac:dyDescent="0.25">
      <c r="A4842" t="s">
        <v>9065</v>
      </c>
      <c r="B4842" t="s">
        <v>9066</v>
      </c>
      <c r="C4842" s="1">
        <v>44083</v>
      </c>
      <c r="D4842" t="b">
        <v>1</v>
      </c>
      <c r="E4842" t="s">
        <v>10</v>
      </c>
      <c r="F4842">
        <v>4043</v>
      </c>
    </row>
    <row r="4843" spans="1:6" x14ac:dyDescent="0.25">
      <c r="A4843" t="s">
        <v>9067</v>
      </c>
      <c r="B4843" t="s">
        <v>9068</v>
      </c>
      <c r="C4843" s="1">
        <v>44083</v>
      </c>
      <c r="D4843" t="b">
        <v>1</v>
      </c>
      <c r="E4843" t="s">
        <v>10</v>
      </c>
      <c r="F4843">
        <v>4044</v>
      </c>
    </row>
    <row r="4844" spans="1:6" x14ac:dyDescent="0.25">
      <c r="A4844" t="s">
        <v>9069</v>
      </c>
      <c r="B4844" t="s">
        <v>9070</v>
      </c>
      <c r="C4844" s="1">
        <v>44083</v>
      </c>
      <c r="D4844" t="b">
        <v>1</v>
      </c>
      <c r="E4844" t="s">
        <v>10</v>
      </c>
      <c r="F4844">
        <v>16508</v>
      </c>
    </row>
    <row r="4845" spans="1:6" x14ac:dyDescent="0.25">
      <c r="A4845" t="s">
        <v>9071</v>
      </c>
      <c r="B4845" t="s">
        <v>9072</v>
      </c>
      <c r="C4845" s="1">
        <v>44083</v>
      </c>
      <c r="D4845" t="b">
        <v>1</v>
      </c>
      <c r="E4845" t="s">
        <v>10</v>
      </c>
      <c r="F4845">
        <v>4047</v>
      </c>
    </row>
    <row r="4846" spans="1:6" x14ac:dyDescent="0.25">
      <c r="A4846" t="s">
        <v>9073</v>
      </c>
      <c r="B4846" t="s">
        <v>9074</v>
      </c>
      <c r="C4846" s="1">
        <v>44083</v>
      </c>
      <c r="D4846" t="b">
        <v>1</v>
      </c>
      <c r="E4846" t="s">
        <v>10</v>
      </c>
      <c r="F4846">
        <v>6074</v>
      </c>
    </row>
    <row r="4847" spans="1:6" x14ac:dyDescent="0.25">
      <c r="A4847" t="s">
        <v>9075</v>
      </c>
      <c r="B4847" t="s">
        <v>9076</v>
      </c>
      <c r="C4847" s="1">
        <v>44083</v>
      </c>
      <c r="D4847" t="b">
        <v>1</v>
      </c>
      <c r="E4847" t="s">
        <v>10</v>
      </c>
      <c r="F4847">
        <v>4048</v>
      </c>
    </row>
    <row r="4848" spans="1:6" x14ac:dyDescent="0.25">
      <c r="A4848" t="s">
        <v>9077</v>
      </c>
      <c r="B4848" t="s">
        <v>9078</v>
      </c>
      <c r="C4848" s="1">
        <v>44083</v>
      </c>
      <c r="D4848" t="b">
        <v>1</v>
      </c>
      <c r="E4848" t="s">
        <v>10</v>
      </c>
      <c r="F4848">
        <v>13941</v>
      </c>
    </row>
    <row r="4849" spans="1:6" x14ac:dyDescent="0.25">
      <c r="A4849" t="s">
        <v>9079</v>
      </c>
      <c r="B4849" t="s">
        <v>9080</v>
      </c>
      <c r="C4849" s="1">
        <v>44083</v>
      </c>
      <c r="D4849" t="b">
        <v>1</v>
      </c>
      <c r="E4849" t="s">
        <v>10</v>
      </c>
      <c r="F4849">
        <v>15351</v>
      </c>
    </row>
    <row r="4850" spans="1:6" x14ac:dyDescent="0.25">
      <c r="A4850" t="s">
        <v>9081</v>
      </c>
      <c r="B4850" t="s">
        <v>9082</v>
      </c>
      <c r="C4850" s="1">
        <v>44083</v>
      </c>
      <c r="D4850" t="b">
        <v>1</v>
      </c>
      <c r="E4850" t="s">
        <v>10</v>
      </c>
      <c r="F4850">
        <v>8216</v>
      </c>
    </row>
    <row r="4851" spans="1:6" x14ac:dyDescent="0.25">
      <c r="A4851" t="s">
        <v>9083</v>
      </c>
      <c r="B4851" t="s">
        <v>9084</v>
      </c>
      <c r="C4851" s="1">
        <v>44083</v>
      </c>
      <c r="D4851" t="b">
        <v>1</v>
      </c>
      <c r="E4851" t="s">
        <v>10</v>
      </c>
      <c r="F4851">
        <v>8472</v>
      </c>
    </row>
    <row r="4852" spans="1:6" x14ac:dyDescent="0.25">
      <c r="A4852" t="s">
        <v>9085</v>
      </c>
      <c r="B4852" t="s">
        <v>9086</v>
      </c>
      <c r="C4852" s="1">
        <v>44083</v>
      </c>
      <c r="D4852" t="b">
        <v>1</v>
      </c>
      <c r="E4852" t="s">
        <v>10</v>
      </c>
      <c r="F4852">
        <v>4050</v>
      </c>
    </row>
    <row r="4853" spans="1:6" x14ac:dyDescent="0.25">
      <c r="A4853" t="s">
        <v>9087</v>
      </c>
      <c r="B4853" t="s">
        <v>9088</v>
      </c>
      <c r="C4853" s="1">
        <v>44083</v>
      </c>
      <c r="D4853" t="b">
        <v>1</v>
      </c>
      <c r="E4853" t="s">
        <v>10</v>
      </c>
      <c r="F4853">
        <v>10989</v>
      </c>
    </row>
    <row r="4854" spans="1:6" x14ac:dyDescent="0.25">
      <c r="A4854" t="s">
        <v>9089</v>
      </c>
      <c r="B4854" t="s">
        <v>9090</v>
      </c>
      <c r="C4854" s="1">
        <v>44083</v>
      </c>
      <c r="D4854" t="b">
        <v>1</v>
      </c>
      <c r="E4854" t="s">
        <v>10</v>
      </c>
      <c r="F4854">
        <v>1826</v>
      </c>
    </row>
    <row r="4855" spans="1:6" x14ac:dyDescent="0.25">
      <c r="A4855" t="s">
        <v>9091</v>
      </c>
      <c r="B4855" t="s">
        <v>9092</v>
      </c>
      <c r="C4855" s="1">
        <v>44083</v>
      </c>
      <c r="D4855" t="b">
        <v>1</v>
      </c>
      <c r="E4855" t="s">
        <v>10</v>
      </c>
      <c r="F4855">
        <v>4052</v>
      </c>
    </row>
    <row r="4856" spans="1:6" x14ac:dyDescent="0.25">
      <c r="A4856" t="s">
        <v>9093</v>
      </c>
      <c r="B4856" t="s">
        <v>9094</v>
      </c>
      <c r="C4856" s="1">
        <v>44083</v>
      </c>
      <c r="D4856" t="b">
        <v>1</v>
      </c>
      <c r="E4856" t="s">
        <v>10</v>
      </c>
      <c r="F4856">
        <v>4055</v>
      </c>
    </row>
    <row r="4857" spans="1:6" x14ac:dyDescent="0.25">
      <c r="A4857" t="s">
        <v>9095</v>
      </c>
      <c r="B4857" t="s">
        <v>9096</v>
      </c>
      <c r="C4857" s="1">
        <v>44083</v>
      </c>
      <c r="D4857" t="b">
        <v>1</v>
      </c>
      <c r="E4857" t="s">
        <v>10</v>
      </c>
      <c r="F4857">
        <v>4056</v>
      </c>
    </row>
    <row r="4858" spans="1:6" x14ac:dyDescent="0.25">
      <c r="A4858" t="s">
        <v>9097</v>
      </c>
      <c r="B4858" t="s">
        <v>9098</v>
      </c>
      <c r="C4858" s="1">
        <v>44083</v>
      </c>
      <c r="D4858" t="b">
        <v>1</v>
      </c>
      <c r="E4858" t="s">
        <v>10</v>
      </c>
      <c r="F4858">
        <v>4057</v>
      </c>
    </row>
    <row r="4859" spans="1:6" x14ac:dyDescent="0.25">
      <c r="A4859" t="s">
        <v>9099</v>
      </c>
      <c r="B4859" t="s">
        <v>9100</v>
      </c>
      <c r="C4859" s="1">
        <v>44083</v>
      </c>
      <c r="D4859" t="b">
        <v>1</v>
      </c>
      <c r="E4859" t="s">
        <v>10</v>
      </c>
      <c r="F4859">
        <v>15219</v>
      </c>
    </row>
    <row r="4860" spans="1:6" x14ac:dyDescent="0.25">
      <c r="A4860" t="s">
        <v>9101</v>
      </c>
      <c r="B4860" t="s">
        <v>9102</v>
      </c>
      <c r="C4860" s="1">
        <v>44083</v>
      </c>
      <c r="D4860" t="b">
        <v>1</v>
      </c>
      <c r="E4860" t="s">
        <v>10</v>
      </c>
      <c r="F4860">
        <v>16734</v>
      </c>
    </row>
    <row r="4861" spans="1:6" x14ac:dyDescent="0.25">
      <c r="A4861" t="s">
        <v>9103</v>
      </c>
      <c r="B4861" t="s">
        <v>9104</v>
      </c>
      <c r="C4861" s="1">
        <v>44083</v>
      </c>
      <c r="D4861" t="b">
        <v>1</v>
      </c>
      <c r="E4861" t="s">
        <v>10</v>
      </c>
      <c r="F4861">
        <v>14069</v>
      </c>
    </row>
    <row r="4862" spans="1:6" x14ac:dyDescent="0.25">
      <c r="A4862" t="s">
        <v>9105</v>
      </c>
      <c r="B4862" t="s">
        <v>9106</v>
      </c>
      <c r="C4862" s="1">
        <v>44083</v>
      </c>
      <c r="D4862" t="b">
        <v>1</v>
      </c>
      <c r="E4862" t="s">
        <v>10</v>
      </c>
      <c r="F4862">
        <v>8549</v>
      </c>
    </row>
    <row r="4863" spans="1:6" x14ac:dyDescent="0.25">
      <c r="A4863" t="s">
        <v>9107</v>
      </c>
      <c r="B4863" t="s">
        <v>9108</v>
      </c>
      <c r="C4863" s="1">
        <v>44083</v>
      </c>
      <c r="D4863" t="b">
        <v>1</v>
      </c>
      <c r="E4863" t="s">
        <v>10</v>
      </c>
      <c r="F4863">
        <v>4059</v>
      </c>
    </row>
    <row r="4864" spans="1:6" x14ac:dyDescent="0.25">
      <c r="A4864" t="s">
        <v>9109</v>
      </c>
      <c r="B4864" t="s">
        <v>9110</v>
      </c>
      <c r="C4864" s="1">
        <v>44083</v>
      </c>
      <c r="D4864" t="b">
        <v>1</v>
      </c>
      <c r="E4864" t="s">
        <v>10</v>
      </c>
      <c r="F4864">
        <v>4060</v>
      </c>
    </row>
    <row r="4865" spans="1:6" x14ac:dyDescent="0.25">
      <c r="A4865" t="s">
        <v>9111</v>
      </c>
      <c r="B4865" t="s">
        <v>9112</v>
      </c>
      <c r="C4865" s="1">
        <v>44083</v>
      </c>
      <c r="D4865" t="b">
        <v>1</v>
      </c>
      <c r="E4865" t="s">
        <v>10</v>
      </c>
      <c r="F4865">
        <v>4061</v>
      </c>
    </row>
    <row r="4866" spans="1:6" x14ac:dyDescent="0.25">
      <c r="A4866" t="s">
        <v>9113</v>
      </c>
      <c r="B4866" t="s">
        <v>9114</v>
      </c>
      <c r="C4866" s="1">
        <v>44083</v>
      </c>
      <c r="D4866" t="b">
        <v>1</v>
      </c>
      <c r="E4866" t="s">
        <v>10</v>
      </c>
      <c r="F4866">
        <v>15702</v>
      </c>
    </row>
    <row r="4867" spans="1:6" x14ac:dyDescent="0.25">
      <c r="A4867" t="s">
        <v>9115</v>
      </c>
      <c r="B4867" t="s">
        <v>9116</v>
      </c>
      <c r="C4867" s="1">
        <v>44083</v>
      </c>
      <c r="D4867" t="b">
        <v>1</v>
      </c>
      <c r="E4867" t="s">
        <v>10</v>
      </c>
      <c r="F4867">
        <v>4062</v>
      </c>
    </row>
    <row r="4868" spans="1:6" x14ac:dyDescent="0.25">
      <c r="A4868" t="s">
        <v>9117</v>
      </c>
      <c r="B4868" t="s">
        <v>9118</v>
      </c>
      <c r="C4868" s="1">
        <v>44083</v>
      </c>
      <c r="D4868" t="b">
        <v>1</v>
      </c>
      <c r="E4868" t="s">
        <v>10</v>
      </c>
      <c r="F4868">
        <v>7168</v>
      </c>
    </row>
    <row r="4869" spans="1:6" x14ac:dyDescent="0.25">
      <c r="A4869" t="s">
        <v>9119</v>
      </c>
      <c r="B4869" t="s">
        <v>9120</v>
      </c>
      <c r="C4869" s="1">
        <v>44083</v>
      </c>
      <c r="D4869" t="b">
        <v>1</v>
      </c>
      <c r="E4869" t="s">
        <v>10</v>
      </c>
      <c r="F4869">
        <v>15440</v>
      </c>
    </row>
    <row r="4870" spans="1:6" x14ac:dyDescent="0.25">
      <c r="A4870" t="s">
        <v>9121</v>
      </c>
      <c r="B4870" t="s">
        <v>9122</v>
      </c>
      <c r="C4870" s="1">
        <v>44083</v>
      </c>
      <c r="D4870" t="b">
        <v>1</v>
      </c>
      <c r="E4870" t="s">
        <v>10</v>
      </c>
      <c r="F4870">
        <v>14306</v>
      </c>
    </row>
    <row r="4871" spans="1:6" x14ac:dyDescent="0.25">
      <c r="A4871" t="s">
        <v>9123</v>
      </c>
      <c r="C4871" s="1">
        <v>44083</v>
      </c>
      <c r="D4871" t="b">
        <v>1</v>
      </c>
      <c r="E4871" t="s">
        <v>10</v>
      </c>
      <c r="F4871">
        <v>17107</v>
      </c>
    </row>
    <row r="4872" spans="1:6" x14ac:dyDescent="0.25">
      <c r="A4872" t="s">
        <v>9124</v>
      </c>
      <c r="B4872" t="s">
        <v>9125</v>
      </c>
      <c r="C4872" s="1">
        <v>44083</v>
      </c>
      <c r="D4872" t="b">
        <v>1</v>
      </c>
      <c r="E4872" t="s">
        <v>10</v>
      </c>
      <c r="F4872">
        <v>14779</v>
      </c>
    </row>
    <row r="4873" spans="1:6" x14ac:dyDescent="0.25">
      <c r="A4873" t="s">
        <v>9126</v>
      </c>
      <c r="B4873" t="s">
        <v>9127</v>
      </c>
      <c r="C4873" s="1">
        <v>44083</v>
      </c>
      <c r="D4873" t="b">
        <v>1</v>
      </c>
      <c r="E4873" t="s">
        <v>10</v>
      </c>
      <c r="F4873">
        <v>14658</v>
      </c>
    </row>
    <row r="4874" spans="1:6" x14ac:dyDescent="0.25">
      <c r="A4874" t="s">
        <v>9128</v>
      </c>
      <c r="C4874" s="1">
        <v>44083</v>
      </c>
      <c r="D4874" t="b">
        <v>1</v>
      </c>
      <c r="E4874" t="s">
        <v>10</v>
      </c>
      <c r="F4874">
        <v>14781</v>
      </c>
    </row>
    <row r="4875" spans="1:6" x14ac:dyDescent="0.25">
      <c r="A4875" t="s">
        <v>9129</v>
      </c>
      <c r="B4875" t="s">
        <v>9130</v>
      </c>
      <c r="C4875" s="1">
        <v>44083</v>
      </c>
      <c r="D4875" t="b">
        <v>1</v>
      </c>
      <c r="E4875" t="s">
        <v>10</v>
      </c>
      <c r="F4875">
        <v>4064</v>
      </c>
    </row>
    <row r="4876" spans="1:6" x14ac:dyDescent="0.25">
      <c r="A4876" t="s">
        <v>9131</v>
      </c>
      <c r="B4876" t="s">
        <v>9132</v>
      </c>
      <c r="C4876" s="1">
        <v>44083</v>
      </c>
      <c r="D4876" t="b">
        <v>1</v>
      </c>
      <c r="E4876" t="s">
        <v>10</v>
      </c>
      <c r="F4876">
        <v>13494</v>
      </c>
    </row>
    <row r="4877" spans="1:6" x14ac:dyDescent="0.25">
      <c r="A4877" t="s">
        <v>9133</v>
      </c>
      <c r="B4877" t="s">
        <v>9134</v>
      </c>
      <c r="C4877" s="1">
        <v>44083</v>
      </c>
      <c r="D4877" t="b">
        <v>1</v>
      </c>
      <c r="E4877" t="s">
        <v>10</v>
      </c>
      <c r="F4877">
        <v>4066</v>
      </c>
    </row>
    <row r="4878" spans="1:6" x14ac:dyDescent="0.25">
      <c r="A4878" t="s">
        <v>9135</v>
      </c>
      <c r="B4878" t="s">
        <v>9136</v>
      </c>
      <c r="C4878" s="1">
        <v>44083</v>
      </c>
      <c r="D4878" t="b">
        <v>1</v>
      </c>
      <c r="E4878" t="s">
        <v>10</v>
      </c>
      <c r="F4878">
        <v>4067</v>
      </c>
    </row>
    <row r="4879" spans="1:6" x14ac:dyDescent="0.25">
      <c r="A4879" t="s">
        <v>9137</v>
      </c>
      <c r="B4879" t="s">
        <v>9138</v>
      </c>
      <c r="C4879" s="1">
        <v>44083</v>
      </c>
      <c r="D4879" t="b">
        <v>1</v>
      </c>
      <c r="E4879" t="s">
        <v>10</v>
      </c>
      <c r="F4879">
        <v>13842</v>
      </c>
    </row>
    <row r="4880" spans="1:6" x14ac:dyDescent="0.25">
      <c r="A4880" t="s">
        <v>9139</v>
      </c>
      <c r="C4880" s="1">
        <v>44083</v>
      </c>
      <c r="D4880" t="b">
        <v>1</v>
      </c>
      <c r="E4880" t="s">
        <v>10</v>
      </c>
      <c r="F4880">
        <v>13861</v>
      </c>
    </row>
    <row r="4881" spans="1:6" x14ac:dyDescent="0.25">
      <c r="A4881" t="s">
        <v>9140</v>
      </c>
      <c r="B4881" t="s">
        <v>9141</v>
      </c>
      <c r="C4881" s="1">
        <v>44083</v>
      </c>
      <c r="D4881" t="b">
        <v>1</v>
      </c>
      <c r="E4881" t="s">
        <v>10</v>
      </c>
      <c r="F4881">
        <v>13660</v>
      </c>
    </row>
    <row r="4882" spans="1:6" x14ac:dyDescent="0.25">
      <c r="A4882" t="s">
        <v>9142</v>
      </c>
      <c r="B4882" t="s">
        <v>9143</v>
      </c>
      <c r="C4882" s="1">
        <v>44083</v>
      </c>
      <c r="D4882" t="b">
        <v>1</v>
      </c>
      <c r="E4882" t="s">
        <v>10</v>
      </c>
      <c r="F4882">
        <v>4071</v>
      </c>
    </row>
    <row r="4883" spans="1:6" x14ac:dyDescent="0.25">
      <c r="A4883" t="s">
        <v>9144</v>
      </c>
      <c r="B4883" t="s">
        <v>9145</v>
      </c>
      <c r="C4883" s="1">
        <v>44083</v>
      </c>
      <c r="D4883" t="b">
        <v>1</v>
      </c>
      <c r="E4883" t="s">
        <v>10</v>
      </c>
      <c r="F4883">
        <v>12171</v>
      </c>
    </row>
    <row r="4884" spans="1:6" x14ac:dyDescent="0.25">
      <c r="A4884" t="s">
        <v>9146</v>
      </c>
      <c r="B4884" t="s">
        <v>9147</v>
      </c>
      <c r="C4884" s="1">
        <v>44083</v>
      </c>
      <c r="D4884" t="b">
        <v>1</v>
      </c>
      <c r="E4884" t="s">
        <v>10</v>
      </c>
      <c r="F4884">
        <v>16176</v>
      </c>
    </row>
    <row r="4885" spans="1:6" x14ac:dyDescent="0.25">
      <c r="A4885" t="s">
        <v>9148</v>
      </c>
      <c r="B4885" t="s">
        <v>9149</v>
      </c>
      <c r="C4885" s="1">
        <v>44083</v>
      </c>
      <c r="D4885" t="b">
        <v>1</v>
      </c>
      <c r="E4885" t="s">
        <v>10</v>
      </c>
      <c r="F4885">
        <v>16644</v>
      </c>
    </row>
    <row r="4886" spans="1:6" x14ac:dyDescent="0.25">
      <c r="A4886" t="s">
        <v>9150</v>
      </c>
      <c r="C4886" s="1">
        <v>44083</v>
      </c>
      <c r="D4886" t="b">
        <v>1</v>
      </c>
      <c r="E4886" t="s">
        <v>10</v>
      </c>
      <c r="F4886">
        <v>16841</v>
      </c>
    </row>
    <row r="4887" spans="1:6" x14ac:dyDescent="0.25">
      <c r="A4887" t="s">
        <v>9151</v>
      </c>
      <c r="B4887" t="s">
        <v>9152</v>
      </c>
      <c r="C4887" s="1">
        <v>44083</v>
      </c>
      <c r="D4887" t="b">
        <v>1</v>
      </c>
      <c r="E4887" t="s">
        <v>10</v>
      </c>
      <c r="F4887">
        <v>4072</v>
      </c>
    </row>
    <row r="4888" spans="1:6" x14ac:dyDescent="0.25">
      <c r="A4888" t="s">
        <v>9153</v>
      </c>
      <c r="B4888" t="s">
        <v>9154</v>
      </c>
      <c r="C4888" s="1">
        <v>44083</v>
      </c>
      <c r="D4888" t="b">
        <v>1</v>
      </c>
      <c r="E4888" t="s">
        <v>10</v>
      </c>
      <c r="F4888">
        <v>8081</v>
      </c>
    </row>
    <row r="4889" spans="1:6" x14ac:dyDescent="0.25">
      <c r="A4889" t="s">
        <v>9155</v>
      </c>
      <c r="B4889" t="s">
        <v>9156</v>
      </c>
      <c r="C4889" s="1">
        <v>44083</v>
      </c>
      <c r="D4889" t="b">
        <v>1</v>
      </c>
      <c r="E4889" t="s">
        <v>10</v>
      </c>
      <c r="F4889">
        <v>4073</v>
      </c>
    </row>
    <row r="4890" spans="1:6" x14ac:dyDescent="0.25">
      <c r="A4890" t="s">
        <v>9157</v>
      </c>
      <c r="B4890" t="s">
        <v>9158</v>
      </c>
      <c r="C4890" s="1">
        <v>44083</v>
      </c>
      <c r="D4890" t="b">
        <v>1</v>
      </c>
      <c r="E4890" t="s">
        <v>10</v>
      </c>
      <c r="F4890">
        <v>4074</v>
      </c>
    </row>
    <row r="4891" spans="1:6" x14ac:dyDescent="0.25">
      <c r="A4891" t="s">
        <v>9159</v>
      </c>
      <c r="B4891" t="s">
        <v>9160</v>
      </c>
      <c r="C4891" s="1">
        <v>44083</v>
      </c>
      <c r="D4891" t="b">
        <v>1</v>
      </c>
      <c r="E4891" t="s">
        <v>10</v>
      </c>
      <c r="F4891">
        <v>4075</v>
      </c>
    </row>
    <row r="4892" spans="1:6" x14ac:dyDescent="0.25">
      <c r="A4892" t="s">
        <v>9161</v>
      </c>
      <c r="B4892" t="s">
        <v>9162</v>
      </c>
      <c r="C4892" s="1">
        <v>44083</v>
      </c>
      <c r="D4892" t="b">
        <v>1</v>
      </c>
      <c r="E4892" t="s">
        <v>10</v>
      </c>
      <c r="F4892">
        <v>15402</v>
      </c>
    </row>
    <row r="4893" spans="1:6" x14ac:dyDescent="0.25">
      <c r="A4893" t="s">
        <v>9163</v>
      </c>
      <c r="B4893" t="s">
        <v>9164</v>
      </c>
      <c r="C4893" s="1">
        <v>44083</v>
      </c>
      <c r="D4893" t="b">
        <v>1</v>
      </c>
      <c r="E4893" t="s">
        <v>10</v>
      </c>
      <c r="F4893">
        <v>16902</v>
      </c>
    </row>
    <row r="4894" spans="1:6" x14ac:dyDescent="0.25">
      <c r="A4894" t="s">
        <v>9165</v>
      </c>
      <c r="C4894" s="1">
        <v>44083</v>
      </c>
      <c r="D4894" t="b">
        <v>1</v>
      </c>
      <c r="E4894" t="s">
        <v>10</v>
      </c>
      <c r="F4894">
        <v>16963</v>
      </c>
    </row>
    <row r="4895" spans="1:6" x14ac:dyDescent="0.25">
      <c r="A4895" t="s">
        <v>9166</v>
      </c>
      <c r="B4895" t="s">
        <v>9167</v>
      </c>
      <c r="C4895" s="1">
        <v>44083</v>
      </c>
      <c r="D4895" t="b">
        <v>1</v>
      </c>
      <c r="E4895" t="s">
        <v>10</v>
      </c>
      <c r="F4895">
        <v>16704</v>
      </c>
    </row>
    <row r="4896" spans="1:6" x14ac:dyDescent="0.25">
      <c r="A4896" t="s">
        <v>9168</v>
      </c>
      <c r="B4896" t="s">
        <v>9169</v>
      </c>
      <c r="C4896" s="1">
        <v>44083</v>
      </c>
      <c r="D4896" t="b">
        <v>1</v>
      </c>
      <c r="E4896" t="s">
        <v>10</v>
      </c>
      <c r="F4896">
        <v>4077</v>
      </c>
    </row>
    <row r="4897" spans="1:6" x14ac:dyDescent="0.25">
      <c r="A4897" t="s">
        <v>9170</v>
      </c>
      <c r="B4897" t="s">
        <v>9171</v>
      </c>
      <c r="C4897" s="1">
        <v>44083</v>
      </c>
      <c r="D4897" t="b">
        <v>1</v>
      </c>
      <c r="E4897" t="s">
        <v>10</v>
      </c>
      <c r="F4897">
        <v>4078</v>
      </c>
    </row>
    <row r="4898" spans="1:6" x14ac:dyDescent="0.25">
      <c r="A4898" t="s">
        <v>9172</v>
      </c>
      <c r="B4898" t="s">
        <v>9173</v>
      </c>
      <c r="C4898" s="1">
        <v>44083</v>
      </c>
      <c r="D4898" t="b">
        <v>1</v>
      </c>
      <c r="E4898" t="s">
        <v>10</v>
      </c>
      <c r="F4898">
        <v>3276</v>
      </c>
    </row>
    <row r="4899" spans="1:6" x14ac:dyDescent="0.25">
      <c r="A4899" t="s">
        <v>9174</v>
      </c>
      <c r="B4899" t="s">
        <v>9175</v>
      </c>
      <c r="C4899" s="1">
        <v>44083</v>
      </c>
      <c r="D4899" t="b">
        <v>1</v>
      </c>
      <c r="E4899" t="s">
        <v>10</v>
      </c>
      <c r="F4899">
        <v>16958</v>
      </c>
    </row>
    <row r="4900" spans="1:6" x14ac:dyDescent="0.25">
      <c r="A4900" t="s">
        <v>9176</v>
      </c>
      <c r="B4900" t="s">
        <v>9177</v>
      </c>
      <c r="C4900" s="1">
        <v>44083</v>
      </c>
      <c r="D4900" t="b">
        <v>1</v>
      </c>
      <c r="E4900" t="s">
        <v>10</v>
      </c>
      <c r="F4900">
        <v>9898</v>
      </c>
    </row>
    <row r="4901" spans="1:6" x14ac:dyDescent="0.25">
      <c r="A4901" t="s">
        <v>9178</v>
      </c>
      <c r="B4901" t="s">
        <v>9179</v>
      </c>
      <c r="C4901" s="1">
        <v>44083</v>
      </c>
      <c r="D4901" t="b">
        <v>1</v>
      </c>
      <c r="E4901" t="s">
        <v>10</v>
      </c>
      <c r="F4901">
        <v>4084</v>
      </c>
    </row>
    <row r="4902" spans="1:6" x14ac:dyDescent="0.25">
      <c r="A4902" t="s">
        <v>9180</v>
      </c>
      <c r="B4902" t="s">
        <v>9181</v>
      </c>
      <c r="C4902" s="1">
        <v>44083</v>
      </c>
      <c r="D4902" t="b">
        <v>1</v>
      </c>
      <c r="E4902" t="s">
        <v>10</v>
      </c>
      <c r="F4902">
        <v>13917</v>
      </c>
    </row>
    <row r="4903" spans="1:6" x14ac:dyDescent="0.25">
      <c r="A4903" t="s">
        <v>9182</v>
      </c>
      <c r="B4903" t="s">
        <v>9183</v>
      </c>
      <c r="C4903" s="1">
        <v>44083</v>
      </c>
      <c r="D4903" t="b">
        <v>1</v>
      </c>
      <c r="E4903" t="s">
        <v>10</v>
      </c>
      <c r="F4903">
        <v>13935</v>
      </c>
    </row>
    <row r="4904" spans="1:6" x14ac:dyDescent="0.25">
      <c r="A4904" t="s">
        <v>9184</v>
      </c>
      <c r="B4904" t="s">
        <v>9185</v>
      </c>
      <c r="C4904" s="1">
        <v>44083</v>
      </c>
      <c r="D4904" t="b">
        <v>1</v>
      </c>
      <c r="E4904" t="s">
        <v>10</v>
      </c>
      <c r="F4904">
        <v>15168</v>
      </c>
    </row>
    <row r="4905" spans="1:6" x14ac:dyDescent="0.25">
      <c r="A4905" t="s">
        <v>9186</v>
      </c>
      <c r="B4905" t="s">
        <v>9187</v>
      </c>
      <c r="C4905" s="1">
        <v>44083</v>
      </c>
      <c r="D4905" t="b">
        <v>1</v>
      </c>
      <c r="E4905" t="s">
        <v>10</v>
      </c>
      <c r="F4905">
        <v>4087</v>
      </c>
    </row>
    <row r="4906" spans="1:6" x14ac:dyDescent="0.25">
      <c r="A4906" t="s">
        <v>9188</v>
      </c>
      <c r="B4906" t="s">
        <v>9189</v>
      </c>
      <c r="C4906" s="1">
        <v>44083</v>
      </c>
      <c r="D4906" t="b">
        <v>1</v>
      </c>
      <c r="E4906" t="s">
        <v>10</v>
      </c>
      <c r="F4906">
        <v>1278</v>
      </c>
    </row>
    <row r="4907" spans="1:6" x14ac:dyDescent="0.25">
      <c r="A4907" t="s">
        <v>9190</v>
      </c>
      <c r="B4907" t="s">
        <v>9191</v>
      </c>
      <c r="C4907" s="1">
        <v>44083</v>
      </c>
      <c r="D4907" t="b">
        <v>1</v>
      </c>
      <c r="E4907" t="s">
        <v>10</v>
      </c>
      <c r="F4907">
        <v>15791</v>
      </c>
    </row>
    <row r="4908" spans="1:6" x14ac:dyDescent="0.25">
      <c r="A4908" t="s">
        <v>9192</v>
      </c>
      <c r="B4908" t="s">
        <v>9193</v>
      </c>
      <c r="C4908" s="1">
        <v>44083</v>
      </c>
      <c r="D4908" t="b">
        <v>1</v>
      </c>
      <c r="E4908" t="s">
        <v>10</v>
      </c>
      <c r="F4908">
        <v>8139</v>
      </c>
    </row>
    <row r="4909" spans="1:6" x14ac:dyDescent="0.25">
      <c r="A4909" t="s">
        <v>9194</v>
      </c>
      <c r="B4909" t="s">
        <v>9195</v>
      </c>
      <c r="C4909" s="1">
        <v>44083</v>
      </c>
      <c r="D4909" t="b">
        <v>1</v>
      </c>
      <c r="E4909" t="s">
        <v>10</v>
      </c>
      <c r="F4909">
        <v>4094</v>
      </c>
    </row>
    <row r="4910" spans="1:6" x14ac:dyDescent="0.25">
      <c r="A4910" t="s">
        <v>9196</v>
      </c>
      <c r="B4910" t="s">
        <v>9197</v>
      </c>
      <c r="C4910" s="1">
        <v>44083</v>
      </c>
      <c r="D4910" t="b">
        <v>1</v>
      </c>
      <c r="E4910" t="s">
        <v>10</v>
      </c>
      <c r="F4910">
        <v>4095</v>
      </c>
    </row>
    <row r="4911" spans="1:6" x14ac:dyDescent="0.25">
      <c r="A4911" t="s">
        <v>9198</v>
      </c>
      <c r="B4911" t="s">
        <v>9199</v>
      </c>
      <c r="C4911" s="1">
        <v>44083</v>
      </c>
      <c r="D4911" t="b">
        <v>1</v>
      </c>
      <c r="E4911" t="s">
        <v>10</v>
      </c>
      <c r="F4911">
        <v>10328</v>
      </c>
    </row>
    <row r="4912" spans="1:6" x14ac:dyDescent="0.25">
      <c r="A4912" t="s">
        <v>9200</v>
      </c>
      <c r="B4912" t="s">
        <v>9201</v>
      </c>
      <c r="C4912" s="1">
        <v>44083</v>
      </c>
      <c r="D4912" t="b">
        <v>1</v>
      </c>
      <c r="E4912" t="s">
        <v>10</v>
      </c>
      <c r="F4912">
        <v>4096</v>
      </c>
    </row>
    <row r="4913" spans="1:6" x14ac:dyDescent="0.25">
      <c r="A4913" t="s">
        <v>9202</v>
      </c>
      <c r="B4913" t="s">
        <v>9203</v>
      </c>
      <c r="C4913" s="1">
        <v>44083</v>
      </c>
      <c r="D4913" t="b">
        <v>1</v>
      </c>
      <c r="E4913" t="s">
        <v>10</v>
      </c>
      <c r="F4913">
        <v>16455</v>
      </c>
    </row>
    <row r="4914" spans="1:6" x14ac:dyDescent="0.25">
      <c r="A4914" t="s">
        <v>9204</v>
      </c>
      <c r="B4914" t="s">
        <v>9205</v>
      </c>
      <c r="C4914" s="1">
        <v>44083</v>
      </c>
      <c r="D4914" t="b">
        <v>1</v>
      </c>
      <c r="E4914" t="s">
        <v>10</v>
      </c>
      <c r="F4914">
        <v>16316</v>
      </c>
    </row>
    <row r="4915" spans="1:6" x14ac:dyDescent="0.25">
      <c r="A4915" t="s">
        <v>9206</v>
      </c>
      <c r="C4915" s="1">
        <v>44083</v>
      </c>
      <c r="D4915" t="b">
        <v>1</v>
      </c>
      <c r="E4915" t="s">
        <v>10</v>
      </c>
      <c r="F4915">
        <v>16459</v>
      </c>
    </row>
    <row r="4916" spans="1:6" x14ac:dyDescent="0.25">
      <c r="A4916" t="s">
        <v>9207</v>
      </c>
      <c r="B4916" t="s">
        <v>9208</v>
      </c>
      <c r="C4916" s="1">
        <v>44083</v>
      </c>
      <c r="D4916" t="b">
        <v>1</v>
      </c>
      <c r="E4916" t="s">
        <v>10</v>
      </c>
      <c r="F4916">
        <v>10694</v>
      </c>
    </row>
    <row r="4917" spans="1:6" x14ac:dyDescent="0.25">
      <c r="A4917" t="s">
        <v>9209</v>
      </c>
      <c r="B4917" t="s">
        <v>9210</v>
      </c>
      <c r="C4917" s="1">
        <v>44083</v>
      </c>
      <c r="D4917" t="b">
        <v>1</v>
      </c>
      <c r="E4917" t="s">
        <v>10</v>
      </c>
      <c r="F4917">
        <v>14188</v>
      </c>
    </row>
    <row r="4918" spans="1:6" x14ac:dyDescent="0.25">
      <c r="A4918" t="s">
        <v>9211</v>
      </c>
      <c r="B4918" t="s">
        <v>9212</v>
      </c>
      <c r="C4918" s="1">
        <v>44083</v>
      </c>
      <c r="D4918" t="b">
        <v>1</v>
      </c>
      <c r="E4918" t="s">
        <v>10</v>
      </c>
      <c r="F4918">
        <v>16235</v>
      </c>
    </row>
    <row r="4919" spans="1:6" x14ac:dyDescent="0.25">
      <c r="A4919" t="s">
        <v>9213</v>
      </c>
      <c r="B4919" t="s">
        <v>9214</v>
      </c>
      <c r="C4919" s="1">
        <v>44083</v>
      </c>
      <c r="D4919" t="b">
        <v>1</v>
      </c>
      <c r="E4919" t="s">
        <v>10</v>
      </c>
      <c r="F4919">
        <v>8246</v>
      </c>
    </row>
    <row r="4920" spans="1:6" x14ac:dyDescent="0.25">
      <c r="A4920" t="s">
        <v>9215</v>
      </c>
      <c r="B4920" t="s">
        <v>9216</v>
      </c>
      <c r="C4920" s="1">
        <v>44083</v>
      </c>
      <c r="D4920" t="b">
        <v>1</v>
      </c>
      <c r="E4920" t="s">
        <v>10</v>
      </c>
      <c r="F4920">
        <v>15352</v>
      </c>
    </row>
    <row r="4921" spans="1:6" x14ac:dyDescent="0.25">
      <c r="A4921" t="s">
        <v>9217</v>
      </c>
      <c r="B4921" t="s">
        <v>9218</v>
      </c>
      <c r="C4921" s="1">
        <v>44083</v>
      </c>
      <c r="D4921" t="b">
        <v>1</v>
      </c>
      <c r="E4921" t="s">
        <v>10</v>
      </c>
      <c r="F4921">
        <v>4098</v>
      </c>
    </row>
    <row r="4922" spans="1:6" x14ac:dyDescent="0.25">
      <c r="A4922" t="s">
        <v>9219</v>
      </c>
      <c r="B4922" t="s">
        <v>9220</v>
      </c>
      <c r="C4922" s="1">
        <v>44083</v>
      </c>
      <c r="D4922" t="b">
        <v>1</v>
      </c>
      <c r="E4922" t="s">
        <v>10</v>
      </c>
      <c r="F4922">
        <v>10573</v>
      </c>
    </row>
    <row r="4923" spans="1:6" x14ac:dyDescent="0.25">
      <c r="A4923" t="s">
        <v>9221</v>
      </c>
      <c r="B4923" t="s">
        <v>9222</v>
      </c>
      <c r="C4923" s="1">
        <v>44083</v>
      </c>
      <c r="D4923" t="b">
        <v>1</v>
      </c>
      <c r="E4923" t="s">
        <v>10</v>
      </c>
      <c r="F4923">
        <v>4099</v>
      </c>
    </row>
    <row r="4924" spans="1:6" x14ac:dyDescent="0.25">
      <c r="A4924" t="s">
        <v>9223</v>
      </c>
      <c r="B4924" t="s">
        <v>9224</v>
      </c>
      <c r="C4924" s="1">
        <v>44083</v>
      </c>
      <c r="D4924" t="b">
        <v>1</v>
      </c>
      <c r="E4924" t="s">
        <v>10</v>
      </c>
      <c r="F4924">
        <v>4100</v>
      </c>
    </row>
    <row r="4925" spans="1:6" x14ac:dyDescent="0.25">
      <c r="A4925" t="s">
        <v>9225</v>
      </c>
      <c r="B4925" t="s">
        <v>9226</v>
      </c>
      <c r="C4925" s="1">
        <v>44083</v>
      </c>
      <c r="D4925" t="b">
        <v>1</v>
      </c>
      <c r="E4925" t="s">
        <v>10</v>
      </c>
      <c r="F4925">
        <v>1780</v>
      </c>
    </row>
    <row r="4926" spans="1:6" x14ac:dyDescent="0.25">
      <c r="A4926" t="s">
        <v>9227</v>
      </c>
      <c r="B4926" t="s">
        <v>9228</v>
      </c>
      <c r="C4926" s="1">
        <v>44083</v>
      </c>
      <c r="D4926" t="b">
        <v>1</v>
      </c>
      <c r="E4926" t="s">
        <v>10</v>
      </c>
      <c r="F4926">
        <v>4103</v>
      </c>
    </row>
    <row r="4927" spans="1:6" x14ac:dyDescent="0.25">
      <c r="A4927" t="s">
        <v>9229</v>
      </c>
      <c r="B4927" t="s">
        <v>9230</v>
      </c>
      <c r="C4927" s="1">
        <v>44083</v>
      </c>
      <c r="D4927" t="b">
        <v>1</v>
      </c>
      <c r="E4927" t="s">
        <v>10</v>
      </c>
      <c r="F4927">
        <v>4105</v>
      </c>
    </row>
    <row r="4928" spans="1:6" x14ac:dyDescent="0.25">
      <c r="A4928" t="s">
        <v>9231</v>
      </c>
      <c r="B4928" t="s">
        <v>9232</v>
      </c>
      <c r="C4928" s="1">
        <v>44083</v>
      </c>
      <c r="D4928" t="b">
        <v>1</v>
      </c>
      <c r="E4928" t="s">
        <v>10</v>
      </c>
      <c r="F4928">
        <v>4107</v>
      </c>
    </row>
    <row r="4929" spans="1:6" x14ac:dyDescent="0.25">
      <c r="A4929" t="s">
        <v>9233</v>
      </c>
      <c r="B4929" t="s">
        <v>9234</v>
      </c>
      <c r="C4929" s="1">
        <v>44083</v>
      </c>
      <c r="D4929" t="b">
        <v>1</v>
      </c>
      <c r="E4929" t="s">
        <v>10</v>
      </c>
      <c r="F4929">
        <v>8967</v>
      </c>
    </row>
    <row r="4930" spans="1:6" x14ac:dyDescent="0.25">
      <c r="A4930" t="s">
        <v>9235</v>
      </c>
      <c r="B4930" t="s">
        <v>9236</v>
      </c>
      <c r="C4930" s="1">
        <v>44083</v>
      </c>
      <c r="D4930" t="b">
        <v>1</v>
      </c>
      <c r="E4930" t="s">
        <v>10</v>
      </c>
      <c r="F4930">
        <v>9467</v>
      </c>
    </row>
    <row r="4931" spans="1:6" x14ac:dyDescent="0.25">
      <c r="A4931" t="s">
        <v>9237</v>
      </c>
      <c r="B4931" t="s">
        <v>9238</v>
      </c>
      <c r="C4931" s="1">
        <v>44083</v>
      </c>
      <c r="D4931" t="b">
        <v>1</v>
      </c>
      <c r="E4931" t="s">
        <v>10</v>
      </c>
      <c r="F4931">
        <v>10910</v>
      </c>
    </row>
    <row r="4932" spans="1:6" x14ac:dyDescent="0.25">
      <c r="A4932" t="s">
        <v>9239</v>
      </c>
      <c r="C4932" s="1">
        <v>44083</v>
      </c>
      <c r="D4932" t="b">
        <v>1</v>
      </c>
      <c r="E4932" t="s">
        <v>10</v>
      </c>
      <c r="F4932">
        <v>10915</v>
      </c>
    </row>
    <row r="4933" spans="1:6" x14ac:dyDescent="0.25">
      <c r="A4933" t="s">
        <v>9240</v>
      </c>
      <c r="B4933" t="s">
        <v>9241</v>
      </c>
      <c r="C4933" s="1">
        <v>44083</v>
      </c>
      <c r="D4933" t="b">
        <v>1</v>
      </c>
      <c r="E4933" t="s">
        <v>10</v>
      </c>
      <c r="F4933">
        <v>16225</v>
      </c>
    </row>
    <row r="4934" spans="1:6" x14ac:dyDescent="0.25">
      <c r="A4934" t="s">
        <v>9242</v>
      </c>
      <c r="B4934" t="s">
        <v>9243</v>
      </c>
      <c r="C4934" s="1">
        <v>44083</v>
      </c>
      <c r="D4934" t="b">
        <v>1</v>
      </c>
      <c r="E4934" t="s">
        <v>10</v>
      </c>
      <c r="F4934">
        <v>16799</v>
      </c>
    </row>
    <row r="4935" spans="1:6" x14ac:dyDescent="0.25">
      <c r="A4935" t="s">
        <v>9244</v>
      </c>
      <c r="B4935" t="s">
        <v>9245</v>
      </c>
      <c r="C4935" s="1">
        <v>44083</v>
      </c>
      <c r="D4935" t="b">
        <v>1</v>
      </c>
      <c r="E4935" t="s">
        <v>10</v>
      </c>
      <c r="F4935">
        <v>16311</v>
      </c>
    </row>
    <row r="4936" spans="1:6" x14ac:dyDescent="0.25">
      <c r="A4936" t="s">
        <v>9246</v>
      </c>
      <c r="B4936" t="s">
        <v>9247</v>
      </c>
      <c r="C4936" s="1">
        <v>44083</v>
      </c>
      <c r="D4936" t="b">
        <v>1</v>
      </c>
      <c r="E4936" t="s">
        <v>10</v>
      </c>
      <c r="F4936">
        <v>4111</v>
      </c>
    </row>
    <row r="4937" spans="1:6" x14ac:dyDescent="0.25">
      <c r="A4937" t="s">
        <v>9248</v>
      </c>
      <c r="B4937" t="s">
        <v>9249</v>
      </c>
      <c r="C4937" s="1">
        <v>44083</v>
      </c>
      <c r="D4937" t="b">
        <v>1</v>
      </c>
      <c r="E4937" t="s">
        <v>10</v>
      </c>
      <c r="F4937">
        <v>4112</v>
      </c>
    </row>
    <row r="4938" spans="1:6" x14ac:dyDescent="0.25">
      <c r="A4938" t="s">
        <v>9250</v>
      </c>
      <c r="B4938" t="s">
        <v>9251</v>
      </c>
      <c r="C4938" s="1">
        <v>44083</v>
      </c>
      <c r="D4938" t="b">
        <v>1</v>
      </c>
      <c r="E4938" t="s">
        <v>10</v>
      </c>
      <c r="F4938">
        <v>15849</v>
      </c>
    </row>
    <row r="4939" spans="1:6" x14ac:dyDescent="0.25">
      <c r="A4939" t="s">
        <v>9252</v>
      </c>
      <c r="B4939" t="s">
        <v>9253</v>
      </c>
      <c r="C4939" s="1">
        <v>44083</v>
      </c>
      <c r="D4939" t="b">
        <v>1</v>
      </c>
      <c r="E4939" t="s">
        <v>10</v>
      </c>
      <c r="F4939">
        <v>9455</v>
      </c>
    </row>
    <row r="4940" spans="1:6" x14ac:dyDescent="0.25">
      <c r="A4940" t="s">
        <v>9254</v>
      </c>
      <c r="C4940" s="1">
        <v>44083</v>
      </c>
      <c r="D4940" t="b">
        <v>1</v>
      </c>
      <c r="E4940" t="s">
        <v>10</v>
      </c>
      <c r="F4940">
        <v>14467</v>
      </c>
    </row>
    <row r="4941" spans="1:6" x14ac:dyDescent="0.25">
      <c r="A4941" t="s">
        <v>9255</v>
      </c>
      <c r="C4941" s="1">
        <v>44083</v>
      </c>
      <c r="D4941" t="b">
        <v>1</v>
      </c>
      <c r="E4941" t="s">
        <v>10</v>
      </c>
      <c r="F4941">
        <v>11782</v>
      </c>
    </row>
    <row r="4942" spans="1:6" x14ac:dyDescent="0.25">
      <c r="A4942" t="s">
        <v>9256</v>
      </c>
      <c r="C4942" s="1">
        <v>44083</v>
      </c>
      <c r="D4942" t="b">
        <v>1</v>
      </c>
      <c r="E4942" t="s">
        <v>10</v>
      </c>
      <c r="F4942">
        <v>11322</v>
      </c>
    </row>
    <row r="4943" spans="1:6" x14ac:dyDescent="0.25">
      <c r="A4943" t="s">
        <v>9257</v>
      </c>
      <c r="B4943" t="s">
        <v>9258</v>
      </c>
      <c r="C4943" s="1">
        <v>44083</v>
      </c>
      <c r="D4943" t="b">
        <v>1</v>
      </c>
      <c r="E4943" t="s">
        <v>10</v>
      </c>
      <c r="F4943">
        <v>5264</v>
      </c>
    </row>
    <row r="4944" spans="1:6" x14ac:dyDescent="0.25">
      <c r="A4944" t="s">
        <v>9259</v>
      </c>
      <c r="B4944" t="s">
        <v>9260</v>
      </c>
      <c r="C4944" s="1">
        <v>44083</v>
      </c>
      <c r="D4944" t="b">
        <v>1</v>
      </c>
      <c r="E4944" t="s">
        <v>10</v>
      </c>
      <c r="F4944">
        <v>4114</v>
      </c>
    </row>
    <row r="4945" spans="1:6" x14ac:dyDescent="0.25">
      <c r="A4945" t="s">
        <v>9261</v>
      </c>
      <c r="B4945" t="s">
        <v>9262</v>
      </c>
      <c r="C4945" s="1">
        <v>44083</v>
      </c>
      <c r="D4945" t="b">
        <v>1</v>
      </c>
      <c r="E4945" t="s">
        <v>10</v>
      </c>
      <c r="F4945">
        <v>11475</v>
      </c>
    </row>
    <row r="4946" spans="1:6" x14ac:dyDescent="0.25">
      <c r="A4946" t="s">
        <v>9263</v>
      </c>
      <c r="B4946" t="s">
        <v>9264</v>
      </c>
      <c r="C4946" s="1">
        <v>44083</v>
      </c>
      <c r="D4946" t="b">
        <v>1</v>
      </c>
      <c r="E4946" t="s">
        <v>10</v>
      </c>
      <c r="F4946">
        <v>4116</v>
      </c>
    </row>
    <row r="4947" spans="1:6" x14ac:dyDescent="0.25">
      <c r="A4947" t="s">
        <v>9265</v>
      </c>
      <c r="B4947" t="s">
        <v>9266</v>
      </c>
      <c r="C4947" s="1">
        <v>44083</v>
      </c>
      <c r="D4947" t="b">
        <v>1</v>
      </c>
      <c r="E4947" t="s">
        <v>10</v>
      </c>
      <c r="F4947">
        <v>4119</v>
      </c>
    </row>
    <row r="4948" spans="1:6" x14ac:dyDescent="0.25">
      <c r="A4948" t="s">
        <v>9267</v>
      </c>
      <c r="B4948" t="s">
        <v>9268</v>
      </c>
      <c r="C4948" s="1">
        <v>44083</v>
      </c>
      <c r="D4948" t="b">
        <v>1</v>
      </c>
      <c r="E4948" t="s">
        <v>10</v>
      </c>
      <c r="F4948">
        <v>4120</v>
      </c>
    </row>
    <row r="4949" spans="1:6" x14ac:dyDescent="0.25">
      <c r="A4949" t="s">
        <v>9269</v>
      </c>
      <c r="B4949" t="s">
        <v>9270</v>
      </c>
      <c r="C4949" s="1">
        <v>44083</v>
      </c>
      <c r="D4949" t="b">
        <v>1</v>
      </c>
      <c r="E4949" t="s">
        <v>10</v>
      </c>
      <c r="F4949">
        <v>4121</v>
      </c>
    </row>
    <row r="4950" spans="1:6" x14ac:dyDescent="0.25">
      <c r="A4950" t="s">
        <v>9271</v>
      </c>
      <c r="B4950" t="s">
        <v>9272</v>
      </c>
      <c r="C4950" s="1">
        <v>44083</v>
      </c>
      <c r="D4950" t="b">
        <v>1</v>
      </c>
      <c r="E4950" t="s">
        <v>10</v>
      </c>
      <c r="F4950">
        <v>11332</v>
      </c>
    </row>
    <row r="4951" spans="1:6" x14ac:dyDescent="0.25">
      <c r="A4951" t="s">
        <v>9273</v>
      </c>
      <c r="B4951" t="s">
        <v>9274</v>
      </c>
      <c r="C4951" s="1">
        <v>44083</v>
      </c>
      <c r="D4951" t="b">
        <v>1</v>
      </c>
      <c r="E4951" t="s">
        <v>10</v>
      </c>
      <c r="F4951">
        <v>4123</v>
      </c>
    </row>
    <row r="4952" spans="1:6" x14ac:dyDescent="0.25">
      <c r="A4952" t="s">
        <v>9275</v>
      </c>
      <c r="B4952" t="s">
        <v>9276</v>
      </c>
      <c r="C4952" s="1">
        <v>44083</v>
      </c>
      <c r="D4952" t="b">
        <v>1</v>
      </c>
      <c r="E4952" t="s">
        <v>10</v>
      </c>
      <c r="F4952">
        <v>4124</v>
      </c>
    </row>
    <row r="4953" spans="1:6" x14ac:dyDescent="0.25">
      <c r="A4953" t="s">
        <v>9277</v>
      </c>
      <c r="B4953" t="s">
        <v>9278</v>
      </c>
      <c r="C4953" s="1">
        <v>44083</v>
      </c>
      <c r="D4953" t="b">
        <v>1</v>
      </c>
      <c r="E4953" t="s">
        <v>10</v>
      </c>
      <c r="F4953">
        <v>8875</v>
      </c>
    </row>
    <row r="4954" spans="1:6" x14ac:dyDescent="0.25">
      <c r="A4954" t="s">
        <v>9279</v>
      </c>
      <c r="B4954" t="s">
        <v>9280</v>
      </c>
      <c r="C4954" s="1">
        <v>44083</v>
      </c>
      <c r="D4954" t="b">
        <v>1</v>
      </c>
      <c r="E4954" t="s">
        <v>10</v>
      </c>
      <c r="F4954">
        <v>15135</v>
      </c>
    </row>
    <row r="4955" spans="1:6" x14ac:dyDescent="0.25">
      <c r="A4955" t="s">
        <v>9281</v>
      </c>
      <c r="B4955" t="s">
        <v>9282</v>
      </c>
      <c r="C4955" s="1">
        <v>44083</v>
      </c>
      <c r="D4955" t="b">
        <v>1</v>
      </c>
      <c r="E4955" t="s">
        <v>10</v>
      </c>
      <c r="F4955">
        <v>15136</v>
      </c>
    </row>
    <row r="4956" spans="1:6" x14ac:dyDescent="0.25">
      <c r="A4956" t="s">
        <v>9283</v>
      </c>
      <c r="B4956" t="s">
        <v>9280</v>
      </c>
      <c r="C4956" s="1">
        <v>44083</v>
      </c>
      <c r="D4956" t="b">
        <v>1</v>
      </c>
      <c r="E4956" t="s">
        <v>10</v>
      </c>
      <c r="F4956">
        <v>14932</v>
      </c>
    </row>
    <row r="4957" spans="1:6" x14ac:dyDescent="0.25">
      <c r="A4957" t="s">
        <v>9284</v>
      </c>
      <c r="C4957" s="1">
        <v>44083</v>
      </c>
      <c r="D4957" t="b">
        <v>1</v>
      </c>
      <c r="E4957" t="s">
        <v>10</v>
      </c>
      <c r="F4957">
        <v>15143</v>
      </c>
    </row>
    <row r="4958" spans="1:6" x14ac:dyDescent="0.25">
      <c r="A4958" t="s">
        <v>9285</v>
      </c>
      <c r="B4958" t="s">
        <v>9286</v>
      </c>
      <c r="C4958" s="1">
        <v>44083</v>
      </c>
      <c r="D4958" t="b">
        <v>1</v>
      </c>
      <c r="E4958" t="s">
        <v>10</v>
      </c>
      <c r="F4958">
        <v>16751</v>
      </c>
    </row>
    <row r="4959" spans="1:6" x14ac:dyDescent="0.25">
      <c r="A4959" t="s">
        <v>9287</v>
      </c>
      <c r="C4959" s="1">
        <v>44083</v>
      </c>
      <c r="D4959" t="b">
        <v>1</v>
      </c>
      <c r="E4959" t="s">
        <v>10</v>
      </c>
      <c r="F4959">
        <v>16759</v>
      </c>
    </row>
    <row r="4960" spans="1:6" x14ac:dyDescent="0.25">
      <c r="A4960" t="s">
        <v>9288</v>
      </c>
      <c r="B4960" t="s">
        <v>9289</v>
      </c>
      <c r="C4960" s="1">
        <v>44083</v>
      </c>
      <c r="D4960" t="b">
        <v>1</v>
      </c>
      <c r="E4960" t="s">
        <v>10</v>
      </c>
      <c r="F4960">
        <v>16591</v>
      </c>
    </row>
    <row r="4961" spans="1:6" x14ac:dyDescent="0.25">
      <c r="A4961" t="s">
        <v>9290</v>
      </c>
      <c r="B4961" t="s">
        <v>9291</v>
      </c>
      <c r="C4961" s="1">
        <v>44083</v>
      </c>
      <c r="D4961" t="b">
        <v>1</v>
      </c>
      <c r="E4961" t="s">
        <v>10</v>
      </c>
      <c r="F4961">
        <v>4126</v>
      </c>
    </row>
    <row r="4962" spans="1:6" x14ac:dyDescent="0.25">
      <c r="A4962" t="s">
        <v>9292</v>
      </c>
      <c r="B4962" t="s">
        <v>9293</v>
      </c>
      <c r="C4962" s="1">
        <v>44083</v>
      </c>
      <c r="D4962" t="b">
        <v>1</v>
      </c>
      <c r="E4962" t="s">
        <v>10</v>
      </c>
      <c r="F4962">
        <v>8553</v>
      </c>
    </row>
    <row r="4963" spans="1:6" x14ac:dyDescent="0.25">
      <c r="A4963" t="s">
        <v>9294</v>
      </c>
      <c r="B4963" t="s">
        <v>9295</v>
      </c>
      <c r="C4963" s="1">
        <v>44083</v>
      </c>
      <c r="D4963" t="b">
        <v>1</v>
      </c>
      <c r="E4963" t="s">
        <v>10</v>
      </c>
      <c r="F4963">
        <v>8993</v>
      </c>
    </row>
    <row r="4964" spans="1:6" x14ac:dyDescent="0.25">
      <c r="A4964" t="s">
        <v>9296</v>
      </c>
      <c r="B4964" t="s">
        <v>9297</v>
      </c>
      <c r="C4964" s="1">
        <v>44083</v>
      </c>
      <c r="D4964" t="b">
        <v>1</v>
      </c>
      <c r="E4964" t="s">
        <v>10</v>
      </c>
      <c r="F4964">
        <v>4129</v>
      </c>
    </row>
    <row r="4965" spans="1:6" x14ac:dyDescent="0.25">
      <c r="A4965" t="s">
        <v>9298</v>
      </c>
      <c r="B4965" t="s">
        <v>9299</v>
      </c>
      <c r="C4965" s="1">
        <v>44083</v>
      </c>
      <c r="D4965" t="b">
        <v>1</v>
      </c>
      <c r="E4965" t="s">
        <v>10</v>
      </c>
      <c r="F4965">
        <v>15074</v>
      </c>
    </row>
    <row r="4966" spans="1:6" x14ac:dyDescent="0.25">
      <c r="A4966" t="s">
        <v>9300</v>
      </c>
      <c r="B4966" t="s">
        <v>9301</v>
      </c>
      <c r="C4966" s="1">
        <v>44083</v>
      </c>
      <c r="D4966" t="b">
        <v>1</v>
      </c>
      <c r="E4966" t="s">
        <v>10</v>
      </c>
      <c r="F4966">
        <v>4130</v>
      </c>
    </row>
    <row r="4967" spans="1:6" x14ac:dyDescent="0.25">
      <c r="A4967" t="s">
        <v>9302</v>
      </c>
      <c r="B4967" t="s">
        <v>9303</v>
      </c>
      <c r="C4967" s="1">
        <v>44083</v>
      </c>
      <c r="D4967" t="b">
        <v>1</v>
      </c>
      <c r="E4967" t="s">
        <v>10</v>
      </c>
      <c r="F4967">
        <v>13358</v>
      </c>
    </row>
    <row r="4968" spans="1:6" x14ac:dyDescent="0.25">
      <c r="A4968" t="s">
        <v>9304</v>
      </c>
      <c r="B4968" t="s">
        <v>9305</v>
      </c>
      <c r="C4968" s="1">
        <v>44083</v>
      </c>
      <c r="D4968" t="b">
        <v>1</v>
      </c>
      <c r="E4968" t="s">
        <v>10</v>
      </c>
      <c r="F4968">
        <v>11579</v>
      </c>
    </row>
    <row r="4969" spans="1:6" x14ac:dyDescent="0.25">
      <c r="A4969" t="s">
        <v>9306</v>
      </c>
      <c r="B4969" t="s">
        <v>9307</v>
      </c>
      <c r="C4969" s="1">
        <v>44083</v>
      </c>
      <c r="D4969" t="b">
        <v>1</v>
      </c>
      <c r="E4969" t="s">
        <v>10</v>
      </c>
      <c r="F4969">
        <v>13812</v>
      </c>
    </row>
    <row r="4970" spans="1:6" x14ac:dyDescent="0.25">
      <c r="A4970" t="s">
        <v>9308</v>
      </c>
      <c r="B4970" t="s">
        <v>9309</v>
      </c>
      <c r="C4970" s="1">
        <v>44083</v>
      </c>
      <c r="D4970" t="b">
        <v>1</v>
      </c>
      <c r="E4970" t="s">
        <v>10</v>
      </c>
      <c r="F4970">
        <v>4136</v>
      </c>
    </row>
    <row r="4971" spans="1:6" x14ac:dyDescent="0.25">
      <c r="A4971" t="s">
        <v>9310</v>
      </c>
      <c r="B4971" t="s">
        <v>9311</v>
      </c>
      <c r="C4971" s="1">
        <v>44083</v>
      </c>
      <c r="D4971" t="b">
        <v>1</v>
      </c>
      <c r="E4971" t="s">
        <v>10</v>
      </c>
      <c r="F4971">
        <v>4138</v>
      </c>
    </row>
    <row r="4972" spans="1:6" x14ac:dyDescent="0.25">
      <c r="A4972" t="s">
        <v>9312</v>
      </c>
      <c r="B4972" t="s">
        <v>9313</v>
      </c>
      <c r="C4972" s="1">
        <v>44083</v>
      </c>
      <c r="D4972" t="b">
        <v>1</v>
      </c>
      <c r="E4972" t="s">
        <v>10</v>
      </c>
      <c r="F4972">
        <v>14858</v>
      </c>
    </row>
    <row r="4973" spans="1:6" x14ac:dyDescent="0.25">
      <c r="A4973" t="s">
        <v>9314</v>
      </c>
      <c r="B4973" t="s">
        <v>9315</v>
      </c>
      <c r="C4973" s="1">
        <v>44083</v>
      </c>
      <c r="D4973" t="b">
        <v>1</v>
      </c>
      <c r="E4973" t="s">
        <v>10</v>
      </c>
      <c r="F4973">
        <v>13740</v>
      </c>
    </row>
    <row r="4974" spans="1:6" x14ac:dyDescent="0.25">
      <c r="A4974" t="s">
        <v>9316</v>
      </c>
      <c r="B4974" t="s">
        <v>9317</v>
      </c>
      <c r="C4974" s="1">
        <v>44083</v>
      </c>
      <c r="D4974" t="b">
        <v>1</v>
      </c>
      <c r="E4974" t="s">
        <v>10</v>
      </c>
      <c r="F4974">
        <v>14468</v>
      </c>
    </row>
    <row r="4975" spans="1:6" x14ac:dyDescent="0.25">
      <c r="A4975" t="s">
        <v>9318</v>
      </c>
      <c r="B4975" t="s">
        <v>9319</v>
      </c>
      <c r="C4975" s="1">
        <v>44083</v>
      </c>
      <c r="D4975" t="b">
        <v>1</v>
      </c>
      <c r="E4975" t="s">
        <v>10</v>
      </c>
      <c r="F4975">
        <v>4140</v>
      </c>
    </row>
    <row r="4976" spans="1:6" x14ac:dyDescent="0.25">
      <c r="A4976" t="s">
        <v>9320</v>
      </c>
      <c r="B4976" t="s">
        <v>9321</v>
      </c>
      <c r="C4976" s="1">
        <v>44083</v>
      </c>
      <c r="D4976" t="b">
        <v>1</v>
      </c>
      <c r="E4976" t="s">
        <v>10</v>
      </c>
      <c r="F4976">
        <v>9532</v>
      </c>
    </row>
    <row r="4977" spans="1:6" x14ac:dyDescent="0.25">
      <c r="A4977" t="s">
        <v>9322</v>
      </c>
      <c r="B4977" t="s">
        <v>9323</v>
      </c>
      <c r="C4977" s="1">
        <v>44083</v>
      </c>
      <c r="D4977" t="b">
        <v>1</v>
      </c>
      <c r="E4977" t="s">
        <v>10</v>
      </c>
      <c r="F4977">
        <v>8483</v>
      </c>
    </row>
    <row r="4978" spans="1:6" x14ac:dyDescent="0.25">
      <c r="A4978" t="s">
        <v>9324</v>
      </c>
      <c r="B4978" t="s">
        <v>9325</v>
      </c>
      <c r="C4978" s="1">
        <v>44083</v>
      </c>
      <c r="D4978" t="b">
        <v>1</v>
      </c>
      <c r="E4978" t="s">
        <v>10</v>
      </c>
      <c r="F4978">
        <v>8402</v>
      </c>
    </row>
    <row r="4979" spans="1:6" x14ac:dyDescent="0.25">
      <c r="A4979" t="s">
        <v>9326</v>
      </c>
      <c r="B4979" t="s">
        <v>9327</v>
      </c>
      <c r="C4979" s="1">
        <v>44083</v>
      </c>
      <c r="D4979" t="b">
        <v>1</v>
      </c>
      <c r="E4979" t="s">
        <v>10</v>
      </c>
      <c r="F4979">
        <v>4143</v>
      </c>
    </row>
    <row r="4980" spans="1:6" x14ac:dyDescent="0.25">
      <c r="A4980" t="s">
        <v>9328</v>
      </c>
      <c r="B4980" t="s">
        <v>9329</v>
      </c>
      <c r="C4980" s="1">
        <v>44083</v>
      </c>
      <c r="D4980" t="b">
        <v>1</v>
      </c>
      <c r="E4980" t="s">
        <v>10</v>
      </c>
      <c r="F4980">
        <v>4144</v>
      </c>
    </row>
    <row r="4981" spans="1:6" x14ac:dyDescent="0.25">
      <c r="A4981" t="s">
        <v>9330</v>
      </c>
      <c r="B4981" t="s">
        <v>9331</v>
      </c>
      <c r="C4981" s="1">
        <v>44083</v>
      </c>
      <c r="D4981" t="b">
        <v>1</v>
      </c>
      <c r="E4981" t="s">
        <v>10</v>
      </c>
      <c r="F4981">
        <v>4145</v>
      </c>
    </row>
    <row r="4982" spans="1:6" x14ac:dyDescent="0.25">
      <c r="A4982" t="s">
        <v>9332</v>
      </c>
      <c r="B4982" t="s">
        <v>9333</v>
      </c>
      <c r="C4982" s="1">
        <v>44083</v>
      </c>
      <c r="D4982" t="b">
        <v>1</v>
      </c>
      <c r="E4982" t="s">
        <v>10</v>
      </c>
      <c r="F4982">
        <v>16810</v>
      </c>
    </row>
    <row r="4983" spans="1:6" x14ac:dyDescent="0.25">
      <c r="A4983" t="s">
        <v>9334</v>
      </c>
      <c r="B4983" t="s">
        <v>9335</v>
      </c>
      <c r="C4983" s="1">
        <v>44083</v>
      </c>
      <c r="D4983" t="b">
        <v>1</v>
      </c>
      <c r="E4983" t="s">
        <v>10</v>
      </c>
      <c r="F4983">
        <v>4151</v>
      </c>
    </row>
    <row r="4984" spans="1:6" x14ac:dyDescent="0.25">
      <c r="A4984" t="s">
        <v>9336</v>
      </c>
      <c r="B4984" t="s">
        <v>9337</v>
      </c>
      <c r="C4984" s="1">
        <v>44083</v>
      </c>
      <c r="D4984" t="b">
        <v>1</v>
      </c>
      <c r="E4984" t="s">
        <v>10</v>
      </c>
      <c r="F4984">
        <v>4152</v>
      </c>
    </row>
    <row r="4985" spans="1:6" x14ac:dyDescent="0.25">
      <c r="A4985" t="s">
        <v>9338</v>
      </c>
      <c r="B4985" t="s">
        <v>9339</v>
      </c>
      <c r="C4985" s="1">
        <v>44083</v>
      </c>
      <c r="D4985" t="b">
        <v>1</v>
      </c>
      <c r="E4985" t="s">
        <v>10</v>
      </c>
      <c r="F4985">
        <v>12311</v>
      </c>
    </row>
    <row r="4986" spans="1:6" x14ac:dyDescent="0.25">
      <c r="A4986" t="s">
        <v>9340</v>
      </c>
      <c r="B4986" t="s">
        <v>9341</v>
      </c>
      <c r="C4986" s="1">
        <v>44083</v>
      </c>
      <c r="D4986" t="b">
        <v>1</v>
      </c>
      <c r="E4986" t="s">
        <v>10</v>
      </c>
      <c r="F4986">
        <v>4154</v>
      </c>
    </row>
    <row r="4987" spans="1:6" x14ac:dyDescent="0.25">
      <c r="A4987" t="s">
        <v>9342</v>
      </c>
      <c r="B4987" t="s">
        <v>9343</v>
      </c>
      <c r="C4987" s="1">
        <v>44083</v>
      </c>
      <c r="D4987" t="b">
        <v>1</v>
      </c>
      <c r="E4987" t="s">
        <v>10</v>
      </c>
      <c r="F4987">
        <v>4155</v>
      </c>
    </row>
    <row r="4988" spans="1:6" x14ac:dyDescent="0.25">
      <c r="A4988" t="s">
        <v>9344</v>
      </c>
      <c r="B4988" t="s">
        <v>9345</v>
      </c>
      <c r="C4988" s="1">
        <v>44083</v>
      </c>
      <c r="D4988" t="b">
        <v>1</v>
      </c>
      <c r="E4988" t="s">
        <v>10</v>
      </c>
      <c r="F4988">
        <v>14789</v>
      </c>
    </row>
    <row r="4989" spans="1:6" x14ac:dyDescent="0.25">
      <c r="A4989" t="s">
        <v>9346</v>
      </c>
      <c r="B4989" t="s">
        <v>9347</v>
      </c>
      <c r="C4989" s="1">
        <v>44083</v>
      </c>
      <c r="D4989" t="b">
        <v>1</v>
      </c>
      <c r="E4989" t="s">
        <v>10</v>
      </c>
      <c r="F4989">
        <v>8676</v>
      </c>
    </row>
    <row r="4990" spans="1:6" x14ac:dyDescent="0.25">
      <c r="A4990" t="s">
        <v>9348</v>
      </c>
      <c r="B4990" t="s">
        <v>9349</v>
      </c>
      <c r="C4990" s="1">
        <v>44083</v>
      </c>
      <c r="D4990" t="b">
        <v>1</v>
      </c>
      <c r="E4990" t="s">
        <v>10</v>
      </c>
      <c r="F4990">
        <v>14534</v>
      </c>
    </row>
    <row r="4991" spans="1:6" x14ac:dyDescent="0.25">
      <c r="A4991" t="s">
        <v>9350</v>
      </c>
      <c r="B4991" t="s">
        <v>9351</v>
      </c>
      <c r="C4991" s="1">
        <v>44083</v>
      </c>
      <c r="D4991" t="b">
        <v>1</v>
      </c>
      <c r="E4991" t="s">
        <v>10</v>
      </c>
      <c r="F4991">
        <v>4156</v>
      </c>
    </row>
    <row r="4992" spans="1:6" x14ac:dyDescent="0.25">
      <c r="A4992" t="s">
        <v>9352</v>
      </c>
      <c r="B4992" t="s">
        <v>9353</v>
      </c>
      <c r="C4992" s="1">
        <v>44083</v>
      </c>
      <c r="D4992" t="b">
        <v>1</v>
      </c>
      <c r="E4992" t="s">
        <v>10</v>
      </c>
      <c r="F4992">
        <v>4158</v>
      </c>
    </row>
    <row r="4993" spans="1:6" x14ac:dyDescent="0.25">
      <c r="A4993" t="s">
        <v>9354</v>
      </c>
      <c r="B4993" t="s">
        <v>9355</v>
      </c>
      <c r="C4993" s="1">
        <v>44083</v>
      </c>
      <c r="D4993" t="b">
        <v>1</v>
      </c>
      <c r="E4993" t="s">
        <v>10</v>
      </c>
      <c r="F4993">
        <v>12945</v>
      </c>
    </row>
    <row r="4994" spans="1:6" x14ac:dyDescent="0.25">
      <c r="A4994" t="s">
        <v>9356</v>
      </c>
      <c r="B4994" t="s">
        <v>9357</v>
      </c>
      <c r="C4994" s="1">
        <v>44083</v>
      </c>
      <c r="D4994" t="b">
        <v>1</v>
      </c>
      <c r="E4994" t="s">
        <v>10</v>
      </c>
      <c r="F4994">
        <v>9949</v>
      </c>
    </row>
    <row r="4995" spans="1:6" x14ac:dyDescent="0.25">
      <c r="A4995" t="s">
        <v>9358</v>
      </c>
      <c r="B4995" t="s">
        <v>9359</v>
      </c>
      <c r="C4995" s="1">
        <v>44083</v>
      </c>
      <c r="D4995" t="b">
        <v>1</v>
      </c>
      <c r="E4995" t="s">
        <v>10</v>
      </c>
      <c r="F4995">
        <v>8585</v>
      </c>
    </row>
    <row r="4996" spans="1:6" x14ac:dyDescent="0.25">
      <c r="A4996" t="s">
        <v>9360</v>
      </c>
      <c r="B4996" t="s">
        <v>9361</v>
      </c>
      <c r="C4996" s="1">
        <v>44083</v>
      </c>
      <c r="D4996" t="b">
        <v>1</v>
      </c>
      <c r="E4996" t="s">
        <v>10</v>
      </c>
      <c r="F4996">
        <v>4160</v>
      </c>
    </row>
    <row r="4997" spans="1:6" x14ac:dyDescent="0.25">
      <c r="A4997" t="s">
        <v>9362</v>
      </c>
      <c r="B4997" t="s">
        <v>9363</v>
      </c>
      <c r="C4997" s="1">
        <v>44083</v>
      </c>
      <c r="D4997" t="b">
        <v>1</v>
      </c>
      <c r="E4997" t="s">
        <v>10</v>
      </c>
      <c r="F4997">
        <v>16582</v>
      </c>
    </row>
    <row r="4998" spans="1:6" x14ac:dyDescent="0.25">
      <c r="A4998" t="s">
        <v>9364</v>
      </c>
      <c r="B4998" t="s">
        <v>9365</v>
      </c>
      <c r="C4998" s="1">
        <v>44083</v>
      </c>
      <c r="D4998" t="b">
        <v>1</v>
      </c>
      <c r="E4998" t="s">
        <v>10</v>
      </c>
      <c r="F4998">
        <v>16705</v>
      </c>
    </row>
    <row r="4999" spans="1:6" x14ac:dyDescent="0.25">
      <c r="A4999" t="s">
        <v>9366</v>
      </c>
      <c r="B4999" t="s">
        <v>9365</v>
      </c>
      <c r="C4999" s="1">
        <v>44083</v>
      </c>
      <c r="D4999" t="b">
        <v>1</v>
      </c>
      <c r="E4999" t="s">
        <v>10</v>
      </c>
      <c r="F4999">
        <v>16536</v>
      </c>
    </row>
    <row r="5000" spans="1:6" x14ac:dyDescent="0.25">
      <c r="A5000" t="s">
        <v>9367</v>
      </c>
      <c r="C5000" s="1">
        <v>44083</v>
      </c>
      <c r="D5000" t="b">
        <v>1</v>
      </c>
      <c r="E5000" t="s">
        <v>10</v>
      </c>
      <c r="F5000">
        <v>16706</v>
      </c>
    </row>
    <row r="5001" spans="1:6" x14ac:dyDescent="0.25">
      <c r="A5001" t="s">
        <v>9368</v>
      </c>
      <c r="B5001" t="s">
        <v>9369</v>
      </c>
      <c r="C5001" s="1">
        <v>44083</v>
      </c>
      <c r="D5001" t="b">
        <v>1</v>
      </c>
      <c r="E5001" t="s">
        <v>10</v>
      </c>
      <c r="F5001">
        <v>15099</v>
      </c>
    </row>
    <row r="5002" spans="1:6" x14ac:dyDescent="0.25">
      <c r="A5002" t="s">
        <v>9370</v>
      </c>
      <c r="B5002" t="s">
        <v>9371</v>
      </c>
      <c r="C5002" s="1">
        <v>44083</v>
      </c>
      <c r="D5002" t="b">
        <v>1</v>
      </c>
      <c r="E5002" t="s">
        <v>10</v>
      </c>
      <c r="F5002">
        <v>4164</v>
      </c>
    </row>
    <row r="5003" spans="1:6" x14ac:dyDescent="0.25">
      <c r="A5003" t="s">
        <v>9372</v>
      </c>
      <c r="B5003" t="s">
        <v>9373</v>
      </c>
      <c r="C5003" s="1">
        <v>44083</v>
      </c>
      <c r="D5003" t="b">
        <v>1</v>
      </c>
      <c r="E5003" t="s">
        <v>10</v>
      </c>
      <c r="F5003">
        <v>4166</v>
      </c>
    </row>
    <row r="5004" spans="1:6" x14ac:dyDescent="0.25">
      <c r="A5004" t="s">
        <v>9374</v>
      </c>
      <c r="B5004" t="s">
        <v>9375</v>
      </c>
      <c r="C5004" s="1">
        <v>44083</v>
      </c>
      <c r="D5004" t="b">
        <v>1</v>
      </c>
      <c r="E5004" t="s">
        <v>10</v>
      </c>
      <c r="F5004">
        <v>6508</v>
      </c>
    </row>
    <row r="5005" spans="1:6" x14ac:dyDescent="0.25">
      <c r="A5005" t="s">
        <v>9376</v>
      </c>
      <c r="B5005" t="s">
        <v>9377</v>
      </c>
      <c r="C5005" s="1">
        <v>44083</v>
      </c>
      <c r="D5005" t="b">
        <v>1</v>
      </c>
      <c r="E5005" t="s">
        <v>10</v>
      </c>
      <c r="F5005">
        <v>15512</v>
      </c>
    </row>
    <row r="5006" spans="1:6" x14ac:dyDescent="0.25">
      <c r="A5006" t="s">
        <v>9378</v>
      </c>
      <c r="B5006" t="s">
        <v>9379</v>
      </c>
      <c r="C5006" s="1">
        <v>44083</v>
      </c>
      <c r="D5006" t="b">
        <v>1</v>
      </c>
      <c r="E5006" t="s">
        <v>10</v>
      </c>
      <c r="F5006">
        <v>13967</v>
      </c>
    </row>
    <row r="5007" spans="1:6" x14ac:dyDescent="0.25">
      <c r="A5007" t="s">
        <v>9380</v>
      </c>
      <c r="B5007" t="s">
        <v>9381</v>
      </c>
      <c r="C5007" s="1">
        <v>44083</v>
      </c>
      <c r="D5007" t="b">
        <v>1</v>
      </c>
      <c r="E5007" t="s">
        <v>10</v>
      </c>
      <c r="F5007">
        <v>4174</v>
      </c>
    </row>
    <row r="5008" spans="1:6" x14ac:dyDescent="0.25">
      <c r="A5008" t="s">
        <v>9382</v>
      </c>
      <c r="B5008" t="s">
        <v>9383</v>
      </c>
      <c r="C5008" s="1">
        <v>44083</v>
      </c>
      <c r="D5008" t="b">
        <v>1</v>
      </c>
      <c r="E5008" t="s">
        <v>10</v>
      </c>
      <c r="F5008">
        <v>11248</v>
      </c>
    </row>
    <row r="5009" spans="1:6" x14ac:dyDescent="0.25">
      <c r="A5009" t="s">
        <v>9384</v>
      </c>
      <c r="B5009" t="s">
        <v>9385</v>
      </c>
      <c r="C5009" s="1">
        <v>44083</v>
      </c>
      <c r="D5009" t="b">
        <v>1</v>
      </c>
      <c r="E5009" t="s">
        <v>10</v>
      </c>
      <c r="F5009">
        <v>11249</v>
      </c>
    </row>
    <row r="5010" spans="1:6" x14ac:dyDescent="0.25">
      <c r="A5010" t="s">
        <v>9386</v>
      </c>
      <c r="B5010" t="s">
        <v>9387</v>
      </c>
      <c r="C5010" s="1">
        <v>44083</v>
      </c>
      <c r="D5010" t="b">
        <v>1</v>
      </c>
      <c r="E5010" t="s">
        <v>10</v>
      </c>
      <c r="F5010">
        <v>11250</v>
      </c>
    </row>
    <row r="5011" spans="1:6" x14ac:dyDescent="0.25">
      <c r="A5011" t="s">
        <v>9388</v>
      </c>
      <c r="B5011" t="s">
        <v>9389</v>
      </c>
      <c r="C5011" s="1">
        <v>44083</v>
      </c>
      <c r="D5011" t="b">
        <v>1</v>
      </c>
      <c r="E5011" t="s">
        <v>10</v>
      </c>
      <c r="F5011">
        <v>4175</v>
      </c>
    </row>
    <row r="5012" spans="1:6" x14ac:dyDescent="0.25">
      <c r="A5012" t="s">
        <v>9390</v>
      </c>
      <c r="B5012" t="s">
        <v>9391</v>
      </c>
      <c r="C5012" s="1">
        <v>44083</v>
      </c>
      <c r="D5012" t="b">
        <v>1</v>
      </c>
      <c r="E5012" t="s">
        <v>10</v>
      </c>
      <c r="F5012">
        <v>4176</v>
      </c>
    </row>
    <row r="5013" spans="1:6" x14ac:dyDescent="0.25">
      <c r="A5013" t="s">
        <v>9392</v>
      </c>
      <c r="B5013" t="s">
        <v>9393</v>
      </c>
      <c r="C5013" s="1">
        <v>44083</v>
      </c>
      <c r="D5013" t="b">
        <v>1</v>
      </c>
      <c r="E5013" t="s">
        <v>10</v>
      </c>
      <c r="F5013">
        <v>14963</v>
      </c>
    </row>
    <row r="5014" spans="1:6" x14ac:dyDescent="0.25">
      <c r="A5014" t="s">
        <v>9394</v>
      </c>
      <c r="B5014" t="s">
        <v>9395</v>
      </c>
      <c r="C5014" s="1">
        <v>44083</v>
      </c>
      <c r="D5014" t="b">
        <v>1</v>
      </c>
      <c r="E5014" t="s">
        <v>10</v>
      </c>
      <c r="F5014">
        <v>4178</v>
      </c>
    </row>
    <row r="5015" spans="1:6" x14ac:dyDescent="0.25">
      <c r="A5015" t="s">
        <v>9396</v>
      </c>
      <c r="B5015" t="s">
        <v>9397</v>
      </c>
      <c r="C5015" s="1">
        <v>44083</v>
      </c>
      <c r="D5015" t="b">
        <v>1</v>
      </c>
      <c r="E5015" t="s">
        <v>10</v>
      </c>
      <c r="F5015">
        <v>4181</v>
      </c>
    </row>
    <row r="5016" spans="1:6" x14ac:dyDescent="0.25">
      <c r="A5016" t="s">
        <v>9398</v>
      </c>
      <c r="B5016" t="s">
        <v>9399</v>
      </c>
      <c r="C5016" s="1">
        <v>44083</v>
      </c>
      <c r="D5016" t="b">
        <v>1</v>
      </c>
      <c r="E5016" t="s">
        <v>10</v>
      </c>
      <c r="F5016">
        <v>16681</v>
      </c>
    </row>
    <row r="5017" spans="1:6" x14ac:dyDescent="0.25">
      <c r="A5017" t="s">
        <v>9400</v>
      </c>
      <c r="B5017" t="s">
        <v>9401</v>
      </c>
      <c r="C5017" s="1">
        <v>44083</v>
      </c>
      <c r="D5017" t="b">
        <v>1</v>
      </c>
      <c r="E5017" t="s">
        <v>10</v>
      </c>
      <c r="F5017">
        <v>9147</v>
      </c>
    </row>
    <row r="5018" spans="1:6" x14ac:dyDescent="0.25">
      <c r="A5018" t="s">
        <v>9402</v>
      </c>
      <c r="B5018" t="s">
        <v>9403</v>
      </c>
      <c r="C5018" s="1">
        <v>44083</v>
      </c>
      <c r="D5018" t="b">
        <v>1</v>
      </c>
      <c r="E5018" t="s">
        <v>10</v>
      </c>
      <c r="F5018">
        <v>9190</v>
      </c>
    </row>
    <row r="5019" spans="1:6" x14ac:dyDescent="0.25">
      <c r="A5019" t="s">
        <v>9404</v>
      </c>
      <c r="B5019" t="s">
        <v>9405</v>
      </c>
      <c r="C5019" s="1">
        <v>44083</v>
      </c>
      <c r="D5019" t="b">
        <v>1</v>
      </c>
      <c r="E5019" t="s">
        <v>10</v>
      </c>
      <c r="F5019">
        <v>4183</v>
      </c>
    </row>
    <row r="5020" spans="1:6" x14ac:dyDescent="0.25">
      <c r="A5020" t="s">
        <v>9406</v>
      </c>
      <c r="B5020" t="s">
        <v>9407</v>
      </c>
      <c r="C5020" s="1">
        <v>44083</v>
      </c>
      <c r="D5020" t="b">
        <v>1</v>
      </c>
      <c r="E5020" t="s">
        <v>10</v>
      </c>
      <c r="F5020">
        <v>4187</v>
      </c>
    </row>
    <row r="5021" spans="1:6" x14ac:dyDescent="0.25">
      <c r="A5021" t="s">
        <v>9408</v>
      </c>
      <c r="B5021" t="s">
        <v>9409</v>
      </c>
      <c r="C5021" s="1">
        <v>44083</v>
      </c>
      <c r="D5021" t="b">
        <v>1</v>
      </c>
      <c r="E5021" t="s">
        <v>10</v>
      </c>
      <c r="F5021">
        <v>4189</v>
      </c>
    </row>
    <row r="5022" spans="1:6" x14ac:dyDescent="0.25">
      <c r="A5022" t="s">
        <v>9410</v>
      </c>
      <c r="B5022" t="s">
        <v>9411</v>
      </c>
      <c r="C5022" s="1">
        <v>44083</v>
      </c>
      <c r="D5022" t="b">
        <v>1</v>
      </c>
      <c r="E5022" t="s">
        <v>10</v>
      </c>
      <c r="F5022">
        <v>4833</v>
      </c>
    </row>
    <row r="5023" spans="1:6" x14ac:dyDescent="0.25">
      <c r="A5023" t="s">
        <v>9412</v>
      </c>
      <c r="B5023" t="s">
        <v>9413</v>
      </c>
      <c r="C5023" s="1">
        <v>44083</v>
      </c>
      <c r="D5023" t="b">
        <v>1</v>
      </c>
      <c r="E5023" t="s">
        <v>10</v>
      </c>
      <c r="F5023">
        <v>4190</v>
      </c>
    </row>
    <row r="5024" spans="1:6" x14ac:dyDescent="0.25">
      <c r="A5024" t="s">
        <v>9414</v>
      </c>
      <c r="B5024" t="s">
        <v>9415</v>
      </c>
      <c r="C5024" s="1">
        <v>44083</v>
      </c>
      <c r="D5024" t="b">
        <v>1</v>
      </c>
      <c r="E5024" t="s">
        <v>10</v>
      </c>
      <c r="F5024">
        <v>4191</v>
      </c>
    </row>
    <row r="5025" spans="1:6" x14ac:dyDescent="0.25">
      <c r="A5025" t="s">
        <v>9416</v>
      </c>
      <c r="B5025" t="s">
        <v>9417</v>
      </c>
      <c r="C5025" s="1">
        <v>44083</v>
      </c>
      <c r="D5025" t="b">
        <v>1</v>
      </c>
      <c r="E5025" t="s">
        <v>10</v>
      </c>
      <c r="F5025">
        <v>15936</v>
      </c>
    </row>
    <row r="5026" spans="1:6" x14ac:dyDescent="0.25">
      <c r="A5026" t="s">
        <v>9418</v>
      </c>
      <c r="B5026" t="s">
        <v>9419</v>
      </c>
      <c r="C5026" s="1">
        <v>44083</v>
      </c>
      <c r="D5026" t="b">
        <v>1</v>
      </c>
      <c r="E5026" t="s">
        <v>10</v>
      </c>
      <c r="F5026">
        <v>10972</v>
      </c>
    </row>
    <row r="5027" spans="1:6" x14ac:dyDescent="0.25">
      <c r="A5027" t="s">
        <v>9420</v>
      </c>
      <c r="B5027" t="s">
        <v>9421</v>
      </c>
      <c r="C5027" s="1">
        <v>44083</v>
      </c>
      <c r="D5027" t="b">
        <v>1</v>
      </c>
      <c r="E5027" t="s">
        <v>10</v>
      </c>
      <c r="F5027">
        <v>11658</v>
      </c>
    </row>
    <row r="5028" spans="1:6" x14ac:dyDescent="0.25">
      <c r="A5028" t="s">
        <v>9422</v>
      </c>
      <c r="B5028" t="s">
        <v>9423</v>
      </c>
      <c r="C5028" s="1">
        <v>44083</v>
      </c>
      <c r="D5028" t="b">
        <v>1</v>
      </c>
      <c r="E5028" t="s">
        <v>10</v>
      </c>
      <c r="F5028">
        <v>4198</v>
      </c>
    </row>
    <row r="5029" spans="1:6" x14ac:dyDescent="0.25">
      <c r="A5029" t="s">
        <v>9424</v>
      </c>
      <c r="B5029" t="s">
        <v>9425</v>
      </c>
      <c r="C5029" s="1">
        <v>44083</v>
      </c>
      <c r="D5029" t="b">
        <v>1</v>
      </c>
      <c r="E5029" t="s">
        <v>10</v>
      </c>
      <c r="F5029">
        <v>12036</v>
      </c>
    </row>
    <row r="5030" spans="1:6" x14ac:dyDescent="0.25">
      <c r="A5030" t="s">
        <v>9426</v>
      </c>
      <c r="B5030" t="s">
        <v>9427</v>
      </c>
      <c r="C5030" s="1">
        <v>44083</v>
      </c>
      <c r="D5030" t="b">
        <v>1</v>
      </c>
      <c r="E5030" t="s">
        <v>10</v>
      </c>
      <c r="F5030">
        <v>4199</v>
      </c>
    </row>
    <row r="5031" spans="1:6" x14ac:dyDescent="0.25">
      <c r="A5031" t="s">
        <v>9428</v>
      </c>
      <c r="B5031" t="s">
        <v>9429</v>
      </c>
      <c r="C5031" s="1">
        <v>44083</v>
      </c>
      <c r="D5031" t="b">
        <v>1</v>
      </c>
      <c r="E5031" t="s">
        <v>10</v>
      </c>
      <c r="F5031">
        <v>13819</v>
      </c>
    </row>
    <row r="5032" spans="1:6" x14ac:dyDescent="0.25">
      <c r="A5032" t="s">
        <v>9430</v>
      </c>
      <c r="B5032" t="s">
        <v>9431</v>
      </c>
      <c r="C5032" s="1">
        <v>44083</v>
      </c>
      <c r="D5032" t="b">
        <v>1</v>
      </c>
      <c r="E5032" t="s">
        <v>10</v>
      </c>
      <c r="F5032">
        <v>4201</v>
      </c>
    </row>
    <row r="5033" spans="1:6" x14ac:dyDescent="0.25">
      <c r="A5033" t="s">
        <v>9432</v>
      </c>
      <c r="B5033" t="s">
        <v>9433</v>
      </c>
      <c r="C5033" s="1">
        <v>44083</v>
      </c>
      <c r="D5033" t="b">
        <v>1</v>
      </c>
      <c r="E5033" t="s">
        <v>10</v>
      </c>
      <c r="F5033">
        <v>4204</v>
      </c>
    </row>
    <row r="5034" spans="1:6" x14ac:dyDescent="0.25">
      <c r="A5034" t="s">
        <v>9434</v>
      </c>
      <c r="C5034" s="1">
        <v>44083</v>
      </c>
      <c r="D5034" t="b">
        <v>1</v>
      </c>
      <c r="E5034" t="s">
        <v>10</v>
      </c>
      <c r="F5034">
        <v>4205</v>
      </c>
    </row>
    <row r="5035" spans="1:6" x14ac:dyDescent="0.25">
      <c r="A5035" t="s">
        <v>9435</v>
      </c>
      <c r="B5035" t="s">
        <v>9436</v>
      </c>
      <c r="C5035" s="1">
        <v>44083</v>
      </c>
      <c r="D5035" t="b">
        <v>1</v>
      </c>
      <c r="E5035" t="s">
        <v>10</v>
      </c>
      <c r="F5035">
        <v>4206</v>
      </c>
    </row>
    <row r="5036" spans="1:6" x14ac:dyDescent="0.25">
      <c r="A5036" t="s">
        <v>9437</v>
      </c>
      <c r="B5036" t="s">
        <v>9438</v>
      </c>
      <c r="C5036" s="1">
        <v>44083</v>
      </c>
      <c r="D5036" t="b">
        <v>1</v>
      </c>
      <c r="E5036" t="s">
        <v>10</v>
      </c>
      <c r="F5036">
        <v>4207</v>
      </c>
    </row>
    <row r="5037" spans="1:6" x14ac:dyDescent="0.25">
      <c r="A5037" t="s">
        <v>9439</v>
      </c>
      <c r="B5037" t="s">
        <v>9440</v>
      </c>
      <c r="C5037" s="1">
        <v>44083</v>
      </c>
      <c r="D5037" t="b">
        <v>1</v>
      </c>
      <c r="E5037" t="s">
        <v>10</v>
      </c>
      <c r="F5037">
        <v>4208</v>
      </c>
    </row>
    <row r="5038" spans="1:6" x14ac:dyDescent="0.25">
      <c r="A5038" t="s">
        <v>9441</v>
      </c>
      <c r="B5038" t="s">
        <v>9442</v>
      </c>
      <c r="C5038" s="1">
        <v>44083</v>
      </c>
      <c r="D5038" t="b">
        <v>1</v>
      </c>
      <c r="E5038" t="s">
        <v>10</v>
      </c>
      <c r="F5038">
        <v>15476</v>
      </c>
    </row>
    <row r="5039" spans="1:6" x14ac:dyDescent="0.25">
      <c r="A5039" t="s">
        <v>9443</v>
      </c>
      <c r="B5039" t="s">
        <v>9444</v>
      </c>
      <c r="C5039" s="1">
        <v>44083</v>
      </c>
      <c r="D5039" t="b">
        <v>1</v>
      </c>
      <c r="E5039" t="s">
        <v>10</v>
      </c>
      <c r="F5039">
        <v>4209</v>
      </c>
    </row>
    <row r="5040" spans="1:6" x14ac:dyDescent="0.25">
      <c r="A5040" t="s">
        <v>9445</v>
      </c>
      <c r="B5040" t="s">
        <v>9446</v>
      </c>
      <c r="C5040" s="1">
        <v>44083</v>
      </c>
      <c r="D5040" t="b">
        <v>1</v>
      </c>
      <c r="E5040" t="s">
        <v>10</v>
      </c>
      <c r="F5040">
        <v>13617</v>
      </c>
    </row>
    <row r="5041" spans="1:6" x14ac:dyDescent="0.25">
      <c r="A5041" t="s">
        <v>9447</v>
      </c>
      <c r="B5041" t="s">
        <v>9448</v>
      </c>
      <c r="C5041" s="1">
        <v>44083</v>
      </c>
      <c r="D5041" t="b">
        <v>1</v>
      </c>
      <c r="E5041" t="s">
        <v>10</v>
      </c>
      <c r="F5041">
        <v>16605</v>
      </c>
    </row>
    <row r="5042" spans="1:6" x14ac:dyDescent="0.25">
      <c r="A5042" t="s">
        <v>9449</v>
      </c>
      <c r="B5042" t="s">
        <v>9450</v>
      </c>
      <c r="C5042" s="1">
        <v>44083</v>
      </c>
      <c r="D5042" t="b">
        <v>1</v>
      </c>
      <c r="E5042" t="s">
        <v>10</v>
      </c>
      <c r="F5042">
        <v>4210</v>
      </c>
    </row>
    <row r="5043" spans="1:6" x14ac:dyDescent="0.25">
      <c r="A5043" t="s">
        <v>9451</v>
      </c>
      <c r="B5043" t="s">
        <v>9452</v>
      </c>
      <c r="C5043" s="1">
        <v>44083</v>
      </c>
      <c r="D5043" t="b">
        <v>1</v>
      </c>
      <c r="E5043" t="s">
        <v>10</v>
      </c>
      <c r="F5043">
        <v>4211</v>
      </c>
    </row>
    <row r="5044" spans="1:6" x14ac:dyDescent="0.25">
      <c r="A5044" t="s">
        <v>9453</v>
      </c>
      <c r="B5044" t="s">
        <v>9454</v>
      </c>
      <c r="C5044" s="1">
        <v>44083</v>
      </c>
      <c r="D5044" t="b">
        <v>1</v>
      </c>
      <c r="E5044" t="s">
        <v>10</v>
      </c>
      <c r="F5044">
        <v>4212</v>
      </c>
    </row>
    <row r="5045" spans="1:6" x14ac:dyDescent="0.25">
      <c r="A5045" t="s">
        <v>9455</v>
      </c>
      <c r="B5045" t="s">
        <v>9456</v>
      </c>
      <c r="C5045" s="1">
        <v>44083</v>
      </c>
      <c r="D5045" t="b">
        <v>1</v>
      </c>
      <c r="E5045" t="s">
        <v>10</v>
      </c>
      <c r="F5045">
        <v>4213</v>
      </c>
    </row>
    <row r="5046" spans="1:6" x14ac:dyDescent="0.25">
      <c r="A5046" t="s">
        <v>9457</v>
      </c>
      <c r="B5046" t="s">
        <v>9458</v>
      </c>
      <c r="C5046" s="1">
        <v>44083</v>
      </c>
      <c r="D5046" t="b">
        <v>1</v>
      </c>
      <c r="E5046" t="s">
        <v>10</v>
      </c>
      <c r="F5046">
        <v>4214</v>
      </c>
    </row>
    <row r="5047" spans="1:6" x14ac:dyDescent="0.25">
      <c r="A5047" t="s">
        <v>9459</v>
      </c>
      <c r="B5047" t="s">
        <v>9460</v>
      </c>
      <c r="C5047" s="1">
        <v>44083</v>
      </c>
      <c r="D5047" t="b">
        <v>1</v>
      </c>
      <c r="E5047" t="s">
        <v>10</v>
      </c>
      <c r="F5047">
        <v>4215</v>
      </c>
    </row>
    <row r="5048" spans="1:6" x14ac:dyDescent="0.25">
      <c r="A5048" t="s">
        <v>9461</v>
      </c>
      <c r="C5048" s="1">
        <v>44083</v>
      </c>
      <c r="D5048" t="b">
        <v>1</v>
      </c>
      <c r="E5048" t="s">
        <v>10</v>
      </c>
      <c r="F5048">
        <v>12158</v>
      </c>
    </row>
    <row r="5049" spans="1:6" x14ac:dyDescent="0.25">
      <c r="A5049" t="s">
        <v>9462</v>
      </c>
      <c r="B5049" t="s">
        <v>9463</v>
      </c>
      <c r="C5049" s="1">
        <v>44083</v>
      </c>
      <c r="D5049" t="b">
        <v>1</v>
      </c>
      <c r="E5049" t="s">
        <v>10</v>
      </c>
      <c r="F5049">
        <v>15734</v>
      </c>
    </row>
    <row r="5050" spans="1:6" x14ac:dyDescent="0.25">
      <c r="A5050" t="s">
        <v>9464</v>
      </c>
      <c r="B5050" t="s">
        <v>9465</v>
      </c>
      <c r="C5050" s="1">
        <v>44083</v>
      </c>
      <c r="D5050" t="b">
        <v>1</v>
      </c>
      <c r="E5050" t="s">
        <v>10</v>
      </c>
      <c r="F5050">
        <v>4217</v>
      </c>
    </row>
    <row r="5051" spans="1:6" x14ac:dyDescent="0.25">
      <c r="A5051" t="s">
        <v>9466</v>
      </c>
      <c r="B5051" t="s">
        <v>9467</v>
      </c>
      <c r="C5051" s="1">
        <v>44083</v>
      </c>
      <c r="D5051" t="b">
        <v>1</v>
      </c>
      <c r="E5051" t="s">
        <v>10</v>
      </c>
      <c r="F5051">
        <v>4218</v>
      </c>
    </row>
    <row r="5052" spans="1:6" x14ac:dyDescent="0.25">
      <c r="A5052" t="s">
        <v>9468</v>
      </c>
      <c r="B5052" t="s">
        <v>9469</v>
      </c>
      <c r="C5052" s="1">
        <v>44083</v>
      </c>
      <c r="D5052" t="b">
        <v>1</v>
      </c>
      <c r="E5052" t="s">
        <v>10</v>
      </c>
      <c r="F5052">
        <v>4633</v>
      </c>
    </row>
    <row r="5053" spans="1:6" x14ac:dyDescent="0.25">
      <c r="A5053" t="s">
        <v>9470</v>
      </c>
      <c r="B5053" t="s">
        <v>9471</v>
      </c>
      <c r="C5053" s="1">
        <v>44083</v>
      </c>
      <c r="D5053" t="b">
        <v>1</v>
      </c>
      <c r="E5053" t="s">
        <v>10</v>
      </c>
      <c r="F5053">
        <v>13355</v>
      </c>
    </row>
    <row r="5054" spans="1:6" x14ac:dyDescent="0.25">
      <c r="A5054" t="s">
        <v>9472</v>
      </c>
      <c r="B5054" t="s">
        <v>9473</v>
      </c>
      <c r="C5054" s="1">
        <v>44083</v>
      </c>
      <c r="D5054" t="b">
        <v>1</v>
      </c>
      <c r="E5054" t="s">
        <v>10</v>
      </c>
      <c r="F5054">
        <v>4220</v>
      </c>
    </row>
    <row r="5055" spans="1:6" x14ac:dyDescent="0.25">
      <c r="A5055" t="s">
        <v>9474</v>
      </c>
      <c r="B5055" t="s">
        <v>9475</v>
      </c>
      <c r="C5055" s="1">
        <v>44083</v>
      </c>
      <c r="D5055" t="b">
        <v>1</v>
      </c>
      <c r="E5055" t="s">
        <v>10</v>
      </c>
      <c r="F5055">
        <v>4221</v>
      </c>
    </row>
    <row r="5056" spans="1:6" x14ac:dyDescent="0.25">
      <c r="A5056" t="s">
        <v>9476</v>
      </c>
      <c r="B5056" t="s">
        <v>9477</v>
      </c>
      <c r="C5056" s="1">
        <v>44083</v>
      </c>
      <c r="D5056" t="b">
        <v>1</v>
      </c>
      <c r="E5056" t="s">
        <v>10</v>
      </c>
      <c r="F5056">
        <v>4224</v>
      </c>
    </row>
    <row r="5057" spans="1:6" x14ac:dyDescent="0.25">
      <c r="A5057" t="s">
        <v>9478</v>
      </c>
      <c r="B5057" t="s">
        <v>9479</v>
      </c>
      <c r="C5057" s="1">
        <v>44083</v>
      </c>
      <c r="D5057" t="b">
        <v>1</v>
      </c>
      <c r="E5057" t="s">
        <v>10</v>
      </c>
      <c r="F5057">
        <v>4225</v>
      </c>
    </row>
    <row r="5058" spans="1:6" x14ac:dyDescent="0.25">
      <c r="A5058" t="s">
        <v>9480</v>
      </c>
      <c r="B5058" t="s">
        <v>9481</v>
      </c>
      <c r="C5058" s="1">
        <v>44083</v>
      </c>
      <c r="D5058" t="b">
        <v>1</v>
      </c>
      <c r="E5058" t="s">
        <v>10</v>
      </c>
      <c r="F5058">
        <v>4226</v>
      </c>
    </row>
    <row r="5059" spans="1:6" x14ac:dyDescent="0.25">
      <c r="A5059" t="s">
        <v>9482</v>
      </c>
      <c r="B5059" t="s">
        <v>9483</v>
      </c>
      <c r="C5059" s="1">
        <v>44083</v>
      </c>
      <c r="D5059" t="b">
        <v>1</v>
      </c>
      <c r="E5059" t="s">
        <v>10</v>
      </c>
      <c r="F5059">
        <v>4227</v>
      </c>
    </row>
    <row r="5060" spans="1:6" x14ac:dyDescent="0.25">
      <c r="A5060" t="s">
        <v>9484</v>
      </c>
      <c r="B5060" t="s">
        <v>9485</v>
      </c>
      <c r="C5060" s="1">
        <v>44083</v>
      </c>
      <c r="D5060" t="b">
        <v>1</v>
      </c>
      <c r="E5060" t="s">
        <v>10</v>
      </c>
      <c r="F5060">
        <v>4228</v>
      </c>
    </row>
    <row r="5061" spans="1:6" x14ac:dyDescent="0.25">
      <c r="A5061" t="s">
        <v>9486</v>
      </c>
      <c r="B5061" t="s">
        <v>9487</v>
      </c>
      <c r="C5061" s="1">
        <v>44083</v>
      </c>
      <c r="D5061" t="b">
        <v>1</v>
      </c>
      <c r="E5061" t="s">
        <v>10</v>
      </c>
      <c r="F5061">
        <v>9104</v>
      </c>
    </row>
    <row r="5062" spans="1:6" x14ac:dyDescent="0.25">
      <c r="A5062" t="s">
        <v>9488</v>
      </c>
      <c r="B5062" t="s">
        <v>9489</v>
      </c>
      <c r="C5062" s="1">
        <v>44083</v>
      </c>
      <c r="D5062" t="b">
        <v>1</v>
      </c>
      <c r="E5062" t="s">
        <v>10</v>
      </c>
      <c r="F5062">
        <v>16504</v>
      </c>
    </row>
    <row r="5063" spans="1:6" x14ac:dyDescent="0.25">
      <c r="A5063" t="s">
        <v>9490</v>
      </c>
      <c r="B5063" t="s">
        <v>9491</v>
      </c>
      <c r="C5063" s="1">
        <v>44083</v>
      </c>
      <c r="D5063" t="b">
        <v>1</v>
      </c>
      <c r="E5063" t="s">
        <v>10</v>
      </c>
      <c r="F5063">
        <v>4229</v>
      </c>
    </row>
    <row r="5064" spans="1:6" x14ac:dyDescent="0.25">
      <c r="A5064" t="s">
        <v>9492</v>
      </c>
      <c r="B5064" t="s">
        <v>9493</v>
      </c>
      <c r="C5064" s="1">
        <v>44083</v>
      </c>
      <c r="D5064" t="b">
        <v>1</v>
      </c>
      <c r="E5064" t="s">
        <v>10</v>
      </c>
      <c r="F5064">
        <v>4230</v>
      </c>
    </row>
    <row r="5065" spans="1:6" x14ac:dyDescent="0.25">
      <c r="A5065" t="s">
        <v>9494</v>
      </c>
      <c r="B5065" t="s">
        <v>9495</v>
      </c>
      <c r="C5065" s="1">
        <v>44083</v>
      </c>
      <c r="D5065" t="b">
        <v>1</v>
      </c>
      <c r="E5065" t="s">
        <v>10</v>
      </c>
      <c r="F5065">
        <v>4231</v>
      </c>
    </row>
    <row r="5066" spans="1:6" x14ac:dyDescent="0.25">
      <c r="A5066" t="s">
        <v>9496</v>
      </c>
      <c r="B5066" t="s">
        <v>9497</v>
      </c>
      <c r="C5066" s="1">
        <v>44083</v>
      </c>
      <c r="D5066" t="b">
        <v>1</v>
      </c>
      <c r="E5066" t="s">
        <v>10</v>
      </c>
      <c r="F5066">
        <v>4233</v>
      </c>
    </row>
    <row r="5067" spans="1:6" x14ac:dyDescent="0.25">
      <c r="A5067" t="s">
        <v>9498</v>
      </c>
      <c r="B5067" t="s">
        <v>9499</v>
      </c>
      <c r="C5067" s="1">
        <v>44083</v>
      </c>
      <c r="D5067" t="b">
        <v>1</v>
      </c>
      <c r="E5067" t="s">
        <v>10</v>
      </c>
      <c r="F5067">
        <v>4234</v>
      </c>
    </row>
    <row r="5068" spans="1:6" x14ac:dyDescent="0.25">
      <c r="A5068" t="s">
        <v>9500</v>
      </c>
      <c r="B5068" t="s">
        <v>9501</v>
      </c>
      <c r="C5068" s="1">
        <v>44083</v>
      </c>
      <c r="D5068" t="b">
        <v>1</v>
      </c>
      <c r="E5068" t="s">
        <v>10</v>
      </c>
      <c r="F5068">
        <v>4238</v>
      </c>
    </row>
    <row r="5069" spans="1:6" x14ac:dyDescent="0.25">
      <c r="A5069" t="s">
        <v>9502</v>
      </c>
      <c r="B5069" t="s">
        <v>9503</v>
      </c>
      <c r="C5069" s="1">
        <v>44083</v>
      </c>
      <c r="D5069" t="b">
        <v>1</v>
      </c>
      <c r="E5069" t="s">
        <v>10</v>
      </c>
      <c r="F5069">
        <v>4239</v>
      </c>
    </row>
    <row r="5070" spans="1:6" x14ac:dyDescent="0.25">
      <c r="A5070" t="s">
        <v>9504</v>
      </c>
      <c r="B5070" t="s">
        <v>9505</v>
      </c>
      <c r="C5070" s="1">
        <v>44083</v>
      </c>
      <c r="D5070" t="b">
        <v>1</v>
      </c>
      <c r="E5070" t="s">
        <v>10</v>
      </c>
      <c r="F5070">
        <v>4240</v>
      </c>
    </row>
    <row r="5071" spans="1:6" x14ac:dyDescent="0.25">
      <c r="A5071" t="s">
        <v>9506</v>
      </c>
      <c r="B5071" t="s">
        <v>9507</v>
      </c>
      <c r="C5071" s="1">
        <v>44083</v>
      </c>
      <c r="D5071" t="b">
        <v>1</v>
      </c>
      <c r="E5071" t="s">
        <v>10</v>
      </c>
      <c r="F5071">
        <v>17080</v>
      </c>
    </row>
    <row r="5072" spans="1:6" x14ac:dyDescent="0.25">
      <c r="A5072" t="s">
        <v>9508</v>
      </c>
      <c r="B5072" t="s">
        <v>9509</v>
      </c>
      <c r="C5072" s="1">
        <v>44083</v>
      </c>
      <c r="D5072" t="b">
        <v>1</v>
      </c>
      <c r="E5072" t="s">
        <v>10</v>
      </c>
      <c r="F5072">
        <v>15350</v>
      </c>
    </row>
    <row r="5073" spans="1:6" x14ac:dyDescent="0.25">
      <c r="A5073" t="s">
        <v>9510</v>
      </c>
      <c r="B5073" t="s">
        <v>9511</v>
      </c>
      <c r="C5073" s="1">
        <v>44083</v>
      </c>
      <c r="D5073" t="b">
        <v>1</v>
      </c>
      <c r="E5073" t="s">
        <v>10</v>
      </c>
      <c r="F5073">
        <v>4242</v>
      </c>
    </row>
    <row r="5074" spans="1:6" x14ac:dyDescent="0.25">
      <c r="A5074" t="s">
        <v>9512</v>
      </c>
      <c r="B5074" t="s">
        <v>9513</v>
      </c>
      <c r="C5074" s="1">
        <v>44083</v>
      </c>
      <c r="D5074" t="b">
        <v>1</v>
      </c>
      <c r="E5074" t="s">
        <v>10</v>
      </c>
      <c r="F5074">
        <v>4243</v>
      </c>
    </row>
    <row r="5075" spans="1:6" x14ac:dyDescent="0.25">
      <c r="A5075" t="s">
        <v>9514</v>
      </c>
      <c r="B5075" t="s">
        <v>9515</v>
      </c>
      <c r="C5075" s="1">
        <v>44083</v>
      </c>
      <c r="D5075" t="b">
        <v>1</v>
      </c>
      <c r="E5075" t="s">
        <v>10</v>
      </c>
      <c r="F5075">
        <v>9243</v>
      </c>
    </row>
    <row r="5076" spans="1:6" x14ac:dyDescent="0.25">
      <c r="A5076" t="s">
        <v>9516</v>
      </c>
      <c r="B5076" t="s">
        <v>9517</v>
      </c>
      <c r="C5076" s="1">
        <v>44083</v>
      </c>
      <c r="D5076" t="b">
        <v>1</v>
      </c>
      <c r="E5076" t="s">
        <v>10</v>
      </c>
      <c r="F5076">
        <v>4248</v>
      </c>
    </row>
    <row r="5077" spans="1:6" x14ac:dyDescent="0.25">
      <c r="A5077" t="s">
        <v>9518</v>
      </c>
      <c r="B5077" t="s">
        <v>9519</v>
      </c>
      <c r="C5077" s="1">
        <v>44083</v>
      </c>
      <c r="D5077" t="b">
        <v>1</v>
      </c>
      <c r="E5077" t="s">
        <v>10</v>
      </c>
      <c r="F5077">
        <v>4249</v>
      </c>
    </row>
    <row r="5078" spans="1:6" x14ac:dyDescent="0.25">
      <c r="A5078" t="s">
        <v>9520</v>
      </c>
      <c r="B5078" t="s">
        <v>9521</v>
      </c>
      <c r="C5078" s="1">
        <v>44083</v>
      </c>
      <c r="D5078" t="b">
        <v>1</v>
      </c>
      <c r="E5078" t="s">
        <v>10</v>
      </c>
      <c r="F5078">
        <v>13445</v>
      </c>
    </row>
    <row r="5079" spans="1:6" x14ac:dyDescent="0.25">
      <c r="A5079" t="s">
        <v>9522</v>
      </c>
      <c r="C5079" s="1">
        <v>44083</v>
      </c>
      <c r="D5079" t="b">
        <v>1</v>
      </c>
      <c r="E5079" t="s">
        <v>10</v>
      </c>
      <c r="F5079">
        <v>16011</v>
      </c>
    </row>
    <row r="5080" spans="1:6" x14ac:dyDescent="0.25">
      <c r="A5080" t="s">
        <v>9523</v>
      </c>
      <c r="C5080" s="1">
        <v>44083</v>
      </c>
      <c r="D5080" t="b">
        <v>1</v>
      </c>
      <c r="E5080" t="s">
        <v>10</v>
      </c>
      <c r="F5080">
        <v>15570</v>
      </c>
    </row>
    <row r="5081" spans="1:6" x14ac:dyDescent="0.25">
      <c r="A5081" t="s">
        <v>9524</v>
      </c>
      <c r="B5081" t="s">
        <v>9525</v>
      </c>
      <c r="C5081" s="1">
        <v>44083</v>
      </c>
      <c r="D5081" t="b">
        <v>1</v>
      </c>
      <c r="E5081" t="s">
        <v>10</v>
      </c>
      <c r="F5081">
        <v>13304</v>
      </c>
    </row>
    <row r="5082" spans="1:6" x14ac:dyDescent="0.25">
      <c r="A5082" t="s">
        <v>9526</v>
      </c>
      <c r="C5082" s="1">
        <v>44083</v>
      </c>
      <c r="D5082" t="b">
        <v>1</v>
      </c>
      <c r="E5082" t="s">
        <v>10</v>
      </c>
      <c r="F5082">
        <v>16391</v>
      </c>
    </row>
    <row r="5083" spans="1:6" x14ac:dyDescent="0.25">
      <c r="A5083" t="s">
        <v>9527</v>
      </c>
      <c r="B5083" t="s">
        <v>9528</v>
      </c>
      <c r="C5083" s="1">
        <v>44083</v>
      </c>
      <c r="D5083" t="b">
        <v>1</v>
      </c>
      <c r="E5083" t="s">
        <v>10</v>
      </c>
      <c r="F5083">
        <v>6528</v>
      </c>
    </row>
    <row r="5084" spans="1:6" x14ac:dyDescent="0.25">
      <c r="A5084" t="s">
        <v>9529</v>
      </c>
      <c r="B5084" t="s">
        <v>9530</v>
      </c>
      <c r="C5084" s="1">
        <v>44083</v>
      </c>
      <c r="D5084" t="b">
        <v>1</v>
      </c>
      <c r="E5084" t="s">
        <v>10</v>
      </c>
      <c r="F5084">
        <v>11051</v>
      </c>
    </row>
    <row r="5085" spans="1:6" x14ac:dyDescent="0.25">
      <c r="A5085" t="s">
        <v>9531</v>
      </c>
      <c r="B5085" t="s">
        <v>9532</v>
      </c>
      <c r="C5085" s="1">
        <v>44083</v>
      </c>
      <c r="D5085" t="b">
        <v>1</v>
      </c>
      <c r="E5085" t="s">
        <v>10</v>
      </c>
      <c r="F5085">
        <v>9217</v>
      </c>
    </row>
    <row r="5086" spans="1:6" x14ac:dyDescent="0.25">
      <c r="A5086" t="s">
        <v>9533</v>
      </c>
      <c r="B5086" t="s">
        <v>9534</v>
      </c>
      <c r="C5086" s="1">
        <v>44083</v>
      </c>
      <c r="D5086" t="b">
        <v>1</v>
      </c>
      <c r="E5086" t="s">
        <v>10</v>
      </c>
      <c r="F5086">
        <v>4254</v>
      </c>
    </row>
    <row r="5087" spans="1:6" x14ac:dyDescent="0.25">
      <c r="A5087" t="s">
        <v>9535</v>
      </c>
      <c r="B5087" t="s">
        <v>9536</v>
      </c>
      <c r="C5087" s="1">
        <v>44083</v>
      </c>
      <c r="D5087" t="b">
        <v>1</v>
      </c>
      <c r="E5087" t="s">
        <v>10</v>
      </c>
      <c r="F5087">
        <v>8240</v>
      </c>
    </row>
    <row r="5088" spans="1:6" x14ac:dyDescent="0.25">
      <c r="A5088" t="s">
        <v>9537</v>
      </c>
      <c r="B5088" t="s">
        <v>9538</v>
      </c>
      <c r="C5088" s="1">
        <v>44083</v>
      </c>
      <c r="D5088" t="b">
        <v>1</v>
      </c>
      <c r="E5088" t="s">
        <v>10</v>
      </c>
      <c r="F5088">
        <v>4257</v>
      </c>
    </row>
    <row r="5089" spans="1:6" x14ac:dyDescent="0.25">
      <c r="A5089" t="s">
        <v>9539</v>
      </c>
      <c r="B5089" t="s">
        <v>9540</v>
      </c>
      <c r="C5089" s="1">
        <v>44083</v>
      </c>
      <c r="D5089" t="b">
        <v>1</v>
      </c>
      <c r="E5089" t="s">
        <v>10</v>
      </c>
      <c r="F5089">
        <v>8405</v>
      </c>
    </row>
    <row r="5090" spans="1:6" x14ac:dyDescent="0.25">
      <c r="A5090" t="s">
        <v>9541</v>
      </c>
      <c r="B5090" t="s">
        <v>9542</v>
      </c>
      <c r="C5090" s="1">
        <v>44083</v>
      </c>
      <c r="D5090" t="b">
        <v>1</v>
      </c>
      <c r="E5090" t="s">
        <v>10</v>
      </c>
      <c r="F5090">
        <v>4258</v>
      </c>
    </row>
    <row r="5091" spans="1:6" x14ac:dyDescent="0.25">
      <c r="A5091" t="s">
        <v>9543</v>
      </c>
      <c r="B5091" t="s">
        <v>9544</v>
      </c>
      <c r="C5091" s="1">
        <v>44083</v>
      </c>
      <c r="D5091" t="b">
        <v>1</v>
      </c>
      <c r="E5091" t="s">
        <v>10</v>
      </c>
      <c r="F5091">
        <v>17131</v>
      </c>
    </row>
    <row r="5092" spans="1:6" x14ac:dyDescent="0.25">
      <c r="A5092" t="s">
        <v>9545</v>
      </c>
      <c r="B5092" t="s">
        <v>9546</v>
      </c>
      <c r="C5092" s="1">
        <v>44083</v>
      </c>
      <c r="D5092" t="b">
        <v>1</v>
      </c>
      <c r="E5092" t="s">
        <v>10</v>
      </c>
      <c r="F5092">
        <v>17132</v>
      </c>
    </row>
    <row r="5093" spans="1:6" x14ac:dyDescent="0.25">
      <c r="A5093" t="s">
        <v>9547</v>
      </c>
      <c r="B5093" t="s">
        <v>9544</v>
      </c>
      <c r="C5093" s="1">
        <v>44083</v>
      </c>
      <c r="D5093" t="b">
        <v>1</v>
      </c>
      <c r="E5093" t="s">
        <v>10</v>
      </c>
      <c r="F5093">
        <v>16741</v>
      </c>
    </row>
    <row r="5094" spans="1:6" x14ac:dyDescent="0.25">
      <c r="A5094" t="s">
        <v>9548</v>
      </c>
      <c r="B5094" t="s">
        <v>9549</v>
      </c>
      <c r="C5094" s="1">
        <v>44083</v>
      </c>
      <c r="D5094" t="b">
        <v>1</v>
      </c>
      <c r="E5094" t="s">
        <v>10</v>
      </c>
      <c r="F5094">
        <v>13505</v>
      </c>
    </row>
    <row r="5095" spans="1:6" x14ac:dyDescent="0.25">
      <c r="A5095" t="s">
        <v>9550</v>
      </c>
      <c r="B5095" t="s">
        <v>9551</v>
      </c>
      <c r="C5095" s="1">
        <v>44083</v>
      </c>
      <c r="D5095" t="b">
        <v>1</v>
      </c>
      <c r="E5095" t="s">
        <v>10</v>
      </c>
      <c r="F5095">
        <v>4259</v>
      </c>
    </row>
    <row r="5096" spans="1:6" x14ac:dyDescent="0.25">
      <c r="A5096" t="s">
        <v>9552</v>
      </c>
      <c r="B5096" t="s">
        <v>9553</v>
      </c>
      <c r="C5096" s="1">
        <v>44083</v>
      </c>
      <c r="D5096" t="b">
        <v>1</v>
      </c>
      <c r="E5096" t="s">
        <v>10</v>
      </c>
      <c r="F5096">
        <v>16155</v>
      </c>
    </row>
    <row r="5097" spans="1:6" x14ac:dyDescent="0.25">
      <c r="A5097" t="s">
        <v>9554</v>
      </c>
      <c r="B5097" t="s">
        <v>9555</v>
      </c>
      <c r="C5097" s="1">
        <v>44083</v>
      </c>
      <c r="D5097" t="b">
        <v>1</v>
      </c>
      <c r="E5097" t="s">
        <v>10</v>
      </c>
      <c r="F5097">
        <v>4262</v>
      </c>
    </row>
    <row r="5098" spans="1:6" x14ac:dyDescent="0.25">
      <c r="A5098" t="s">
        <v>9556</v>
      </c>
      <c r="B5098" t="s">
        <v>9557</v>
      </c>
      <c r="C5098" s="1">
        <v>44083</v>
      </c>
      <c r="D5098" t="b">
        <v>1</v>
      </c>
      <c r="E5098" t="s">
        <v>10</v>
      </c>
      <c r="F5098">
        <v>4263</v>
      </c>
    </row>
    <row r="5099" spans="1:6" x14ac:dyDescent="0.25">
      <c r="A5099" t="s">
        <v>9558</v>
      </c>
      <c r="B5099" t="s">
        <v>9559</v>
      </c>
      <c r="C5099" s="1">
        <v>44083</v>
      </c>
      <c r="D5099" t="b">
        <v>1</v>
      </c>
      <c r="E5099" t="s">
        <v>10</v>
      </c>
      <c r="F5099">
        <v>11892</v>
      </c>
    </row>
    <row r="5100" spans="1:6" x14ac:dyDescent="0.25">
      <c r="A5100" t="s">
        <v>9560</v>
      </c>
      <c r="B5100" t="s">
        <v>9561</v>
      </c>
      <c r="C5100" s="1">
        <v>44083</v>
      </c>
      <c r="D5100" t="b">
        <v>1</v>
      </c>
      <c r="E5100" t="s">
        <v>10</v>
      </c>
      <c r="F5100">
        <v>4264</v>
      </c>
    </row>
    <row r="5101" spans="1:6" x14ac:dyDescent="0.25">
      <c r="A5101" t="s">
        <v>9562</v>
      </c>
      <c r="B5101" t="s">
        <v>9563</v>
      </c>
      <c r="C5101" s="1">
        <v>44083</v>
      </c>
      <c r="D5101" t="b">
        <v>1</v>
      </c>
      <c r="E5101" t="s">
        <v>10</v>
      </c>
      <c r="F5101">
        <v>4265</v>
      </c>
    </row>
    <row r="5102" spans="1:6" x14ac:dyDescent="0.25">
      <c r="A5102" t="s">
        <v>9564</v>
      </c>
      <c r="B5102" t="s">
        <v>9565</v>
      </c>
      <c r="C5102" s="1">
        <v>44083</v>
      </c>
      <c r="D5102" t="b">
        <v>1</v>
      </c>
      <c r="E5102" t="s">
        <v>10</v>
      </c>
      <c r="F5102">
        <v>10088</v>
      </c>
    </row>
    <row r="5103" spans="1:6" x14ac:dyDescent="0.25">
      <c r="A5103" t="s">
        <v>9566</v>
      </c>
      <c r="B5103" t="s">
        <v>9567</v>
      </c>
      <c r="C5103" s="1">
        <v>44083</v>
      </c>
      <c r="D5103" t="b">
        <v>1</v>
      </c>
      <c r="E5103" t="s">
        <v>10</v>
      </c>
      <c r="F5103">
        <v>4267</v>
      </c>
    </row>
    <row r="5104" spans="1:6" x14ac:dyDescent="0.25">
      <c r="A5104" t="s">
        <v>9568</v>
      </c>
      <c r="B5104" t="s">
        <v>9569</v>
      </c>
      <c r="C5104" s="1">
        <v>44083</v>
      </c>
      <c r="D5104" t="b">
        <v>1</v>
      </c>
      <c r="E5104" t="s">
        <v>10</v>
      </c>
      <c r="F5104">
        <v>4268</v>
      </c>
    </row>
    <row r="5105" spans="1:6" x14ac:dyDescent="0.25">
      <c r="A5105" t="s">
        <v>9570</v>
      </c>
      <c r="B5105" t="s">
        <v>9571</v>
      </c>
      <c r="C5105" s="1">
        <v>44083</v>
      </c>
      <c r="D5105" t="b">
        <v>1</v>
      </c>
      <c r="E5105" t="s">
        <v>10</v>
      </c>
      <c r="F5105">
        <v>4269</v>
      </c>
    </row>
    <row r="5106" spans="1:6" x14ac:dyDescent="0.25">
      <c r="A5106" t="s">
        <v>9572</v>
      </c>
      <c r="B5106" t="s">
        <v>9573</v>
      </c>
      <c r="C5106" s="1">
        <v>44083</v>
      </c>
      <c r="D5106" t="b">
        <v>1</v>
      </c>
      <c r="E5106" t="s">
        <v>10</v>
      </c>
      <c r="F5106">
        <v>4270</v>
      </c>
    </row>
    <row r="5107" spans="1:6" x14ac:dyDescent="0.25">
      <c r="A5107" t="s">
        <v>9574</v>
      </c>
      <c r="B5107" t="s">
        <v>9575</v>
      </c>
      <c r="C5107" s="1">
        <v>44083</v>
      </c>
      <c r="D5107" t="b">
        <v>1</v>
      </c>
      <c r="E5107" t="s">
        <v>10</v>
      </c>
      <c r="F5107">
        <v>4271</v>
      </c>
    </row>
    <row r="5108" spans="1:6" x14ac:dyDescent="0.25">
      <c r="A5108" t="s">
        <v>9576</v>
      </c>
      <c r="B5108" t="s">
        <v>9577</v>
      </c>
      <c r="C5108" s="1">
        <v>44083</v>
      </c>
      <c r="D5108" t="b">
        <v>1</v>
      </c>
      <c r="E5108" t="s">
        <v>10</v>
      </c>
      <c r="F5108">
        <v>16370</v>
      </c>
    </row>
    <row r="5109" spans="1:6" x14ac:dyDescent="0.25">
      <c r="A5109" t="s">
        <v>9578</v>
      </c>
      <c r="C5109" s="1">
        <v>44083</v>
      </c>
      <c r="D5109" t="b">
        <v>1</v>
      </c>
      <c r="E5109" t="s">
        <v>10</v>
      </c>
      <c r="F5109">
        <v>16378</v>
      </c>
    </row>
    <row r="5110" spans="1:6" x14ac:dyDescent="0.25">
      <c r="A5110" t="s">
        <v>9579</v>
      </c>
      <c r="B5110" t="s">
        <v>9580</v>
      </c>
      <c r="C5110" s="1">
        <v>44083</v>
      </c>
      <c r="D5110" t="b">
        <v>1</v>
      </c>
      <c r="E5110" t="s">
        <v>10</v>
      </c>
      <c r="F5110">
        <v>4272</v>
      </c>
    </row>
    <row r="5111" spans="1:6" x14ac:dyDescent="0.25">
      <c r="A5111" t="s">
        <v>9581</v>
      </c>
      <c r="B5111" t="s">
        <v>9582</v>
      </c>
      <c r="C5111" s="1">
        <v>44083</v>
      </c>
      <c r="D5111" t="b">
        <v>1</v>
      </c>
      <c r="E5111" t="s">
        <v>10</v>
      </c>
      <c r="F5111">
        <v>4273</v>
      </c>
    </row>
    <row r="5112" spans="1:6" x14ac:dyDescent="0.25">
      <c r="A5112" t="s">
        <v>9583</v>
      </c>
      <c r="B5112" t="s">
        <v>9584</v>
      </c>
      <c r="C5112" s="1">
        <v>44083</v>
      </c>
      <c r="D5112" t="b">
        <v>1</v>
      </c>
      <c r="E5112" t="s">
        <v>10</v>
      </c>
      <c r="F5112">
        <v>4278</v>
      </c>
    </row>
    <row r="5113" spans="1:6" x14ac:dyDescent="0.25">
      <c r="A5113" t="s">
        <v>9585</v>
      </c>
      <c r="B5113" t="s">
        <v>9586</v>
      </c>
      <c r="C5113" s="1">
        <v>44083</v>
      </c>
      <c r="D5113" t="b">
        <v>1</v>
      </c>
      <c r="E5113" t="s">
        <v>10</v>
      </c>
      <c r="F5113">
        <v>10067</v>
      </c>
    </row>
    <row r="5114" spans="1:6" x14ac:dyDescent="0.25">
      <c r="A5114" t="s">
        <v>9587</v>
      </c>
      <c r="B5114" t="s">
        <v>9588</v>
      </c>
      <c r="C5114" s="1">
        <v>44083</v>
      </c>
      <c r="D5114" t="b">
        <v>1</v>
      </c>
      <c r="E5114" t="s">
        <v>10</v>
      </c>
      <c r="F5114">
        <v>4279</v>
      </c>
    </row>
    <row r="5115" spans="1:6" x14ac:dyDescent="0.25">
      <c r="A5115" t="s">
        <v>9589</v>
      </c>
      <c r="B5115" t="s">
        <v>9590</v>
      </c>
      <c r="C5115" s="1">
        <v>44083</v>
      </c>
      <c r="D5115" t="b">
        <v>1</v>
      </c>
      <c r="E5115" t="s">
        <v>10</v>
      </c>
      <c r="F5115">
        <v>4281</v>
      </c>
    </row>
    <row r="5116" spans="1:6" x14ac:dyDescent="0.25">
      <c r="A5116" t="s">
        <v>9591</v>
      </c>
      <c r="B5116" t="s">
        <v>9592</v>
      </c>
      <c r="C5116" s="1">
        <v>44083</v>
      </c>
      <c r="D5116" t="b">
        <v>1</v>
      </c>
      <c r="E5116" t="s">
        <v>10</v>
      </c>
      <c r="F5116">
        <v>4283</v>
      </c>
    </row>
    <row r="5117" spans="1:6" x14ac:dyDescent="0.25">
      <c r="A5117" t="s">
        <v>9593</v>
      </c>
      <c r="C5117" s="1">
        <v>44083</v>
      </c>
      <c r="D5117" t="b">
        <v>1</v>
      </c>
      <c r="E5117" t="s">
        <v>10</v>
      </c>
      <c r="F5117">
        <v>4284</v>
      </c>
    </row>
    <row r="5118" spans="1:6" x14ac:dyDescent="0.25">
      <c r="A5118" t="s">
        <v>9594</v>
      </c>
      <c r="C5118" s="1">
        <v>44083</v>
      </c>
      <c r="D5118" t="b">
        <v>1</v>
      </c>
      <c r="E5118" t="s">
        <v>10</v>
      </c>
      <c r="F5118">
        <v>10925</v>
      </c>
    </row>
    <row r="5119" spans="1:6" x14ac:dyDescent="0.25">
      <c r="A5119" t="s">
        <v>9595</v>
      </c>
      <c r="B5119" t="s">
        <v>9596</v>
      </c>
      <c r="C5119" s="1">
        <v>44083</v>
      </c>
      <c r="D5119" t="b">
        <v>1</v>
      </c>
      <c r="E5119" t="s">
        <v>10</v>
      </c>
      <c r="F5119">
        <v>4285</v>
      </c>
    </row>
    <row r="5120" spans="1:6" x14ac:dyDescent="0.25">
      <c r="A5120" t="s">
        <v>9597</v>
      </c>
      <c r="B5120" t="s">
        <v>9598</v>
      </c>
      <c r="C5120" s="1">
        <v>44083</v>
      </c>
      <c r="D5120" t="b">
        <v>1</v>
      </c>
      <c r="E5120" t="s">
        <v>10</v>
      </c>
      <c r="F5120">
        <v>4287</v>
      </c>
    </row>
    <row r="5121" spans="1:6" x14ac:dyDescent="0.25">
      <c r="A5121" t="s">
        <v>9599</v>
      </c>
      <c r="B5121" t="s">
        <v>9600</v>
      </c>
      <c r="C5121" s="1">
        <v>44083</v>
      </c>
      <c r="D5121" t="b">
        <v>1</v>
      </c>
      <c r="E5121" t="s">
        <v>10</v>
      </c>
      <c r="F5121">
        <v>13435</v>
      </c>
    </row>
    <row r="5122" spans="1:6" x14ac:dyDescent="0.25">
      <c r="A5122" t="s">
        <v>9601</v>
      </c>
      <c r="B5122" t="s">
        <v>9602</v>
      </c>
      <c r="C5122" s="1">
        <v>44083</v>
      </c>
      <c r="D5122" t="b">
        <v>1</v>
      </c>
      <c r="E5122" t="s">
        <v>10</v>
      </c>
      <c r="F5122">
        <v>4289</v>
      </c>
    </row>
    <row r="5123" spans="1:6" x14ac:dyDescent="0.25">
      <c r="A5123" t="s">
        <v>9603</v>
      </c>
      <c r="B5123" t="s">
        <v>9604</v>
      </c>
      <c r="C5123" s="1">
        <v>44083</v>
      </c>
      <c r="D5123" t="b">
        <v>1</v>
      </c>
      <c r="E5123" t="s">
        <v>10</v>
      </c>
      <c r="F5123">
        <v>4290</v>
      </c>
    </row>
    <row r="5124" spans="1:6" x14ac:dyDescent="0.25">
      <c r="A5124" t="s">
        <v>9605</v>
      </c>
      <c r="B5124" t="s">
        <v>9606</v>
      </c>
      <c r="C5124" s="1">
        <v>44083</v>
      </c>
      <c r="D5124" t="b">
        <v>1</v>
      </c>
      <c r="E5124" t="s">
        <v>10</v>
      </c>
      <c r="F5124">
        <v>6399</v>
      </c>
    </row>
    <row r="5125" spans="1:6" x14ac:dyDescent="0.25">
      <c r="A5125" t="s">
        <v>9607</v>
      </c>
      <c r="B5125" t="s">
        <v>9608</v>
      </c>
      <c r="C5125" s="1">
        <v>44083</v>
      </c>
      <c r="D5125" t="b">
        <v>1</v>
      </c>
      <c r="E5125" t="s">
        <v>10</v>
      </c>
      <c r="F5125">
        <v>10008</v>
      </c>
    </row>
    <row r="5126" spans="1:6" x14ac:dyDescent="0.25">
      <c r="A5126" t="s">
        <v>9609</v>
      </c>
      <c r="C5126" s="1">
        <v>44083</v>
      </c>
      <c r="D5126" t="b">
        <v>1</v>
      </c>
      <c r="E5126" t="s">
        <v>10</v>
      </c>
      <c r="F5126">
        <v>14849</v>
      </c>
    </row>
    <row r="5127" spans="1:6" x14ac:dyDescent="0.25">
      <c r="A5127" t="s">
        <v>9610</v>
      </c>
      <c r="B5127" t="s">
        <v>9611</v>
      </c>
      <c r="C5127" s="1">
        <v>44083</v>
      </c>
      <c r="D5127" t="b">
        <v>1</v>
      </c>
      <c r="E5127" t="s">
        <v>10</v>
      </c>
      <c r="F5127">
        <v>16261</v>
      </c>
    </row>
    <row r="5128" spans="1:6" x14ac:dyDescent="0.25">
      <c r="A5128" t="s">
        <v>9612</v>
      </c>
      <c r="B5128" t="s">
        <v>9613</v>
      </c>
      <c r="C5128" s="1">
        <v>44083</v>
      </c>
      <c r="D5128" t="b">
        <v>1</v>
      </c>
      <c r="E5128" t="s">
        <v>10</v>
      </c>
      <c r="F5128">
        <v>4295</v>
      </c>
    </row>
    <row r="5129" spans="1:6" x14ac:dyDescent="0.25">
      <c r="A5129" t="s">
        <v>9614</v>
      </c>
      <c r="B5129" t="s">
        <v>9615</v>
      </c>
      <c r="C5129" s="1">
        <v>44083</v>
      </c>
      <c r="D5129" t="b">
        <v>1</v>
      </c>
      <c r="E5129" t="s">
        <v>10</v>
      </c>
      <c r="F5129">
        <v>14929</v>
      </c>
    </row>
    <row r="5130" spans="1:6" x14ac:dyDescent="0.25">
      <c r="A5130" t="s">
        <v>9616</v>
      </c>
      <c r="B5130" t="s">
        <v>9617</v>
      </c>
      <c r="C5130" s="1">
        <v>44083</v>
      </c>
      <c r="D5130" t="b">
        <v>1</v>
      </c>
      <c r="E5130" t="s">
        <v>10</v>
      </c>
      <c r="F5130">
        <v>15866</v>
      </c>
    </row>
    <row r="5131" spans="1:6" x14ac:dyDescent="0.25">
      <c r="A5131" t="s">
        <v>9618</v>
      </c>
      <c r="C5131" s="1">
        <v>44083</v>
      </c>
      <c r="D5131" t="b">
        <v>1</v>
      </c>
      <c r="E5131" t="s">
        <v>10</v>
      </c>
      <c r="F5131">
        <v>12338</v>
      </c>
    </row>
    <row r="5132" spans="1:6" x14ac:dyDescent="0.25">
      <c r="A5132" t="s">
        <v>9619</v>
      </c>
      <c r="C5132" s="1">
        <v>44083</v>
      </c>
      <c r="D5132" t="b">
        <v>1</v>
      </c>
      <c r="E5132" t="s">
        <v>10</v>
      </c>
      <c r="F5132">
        <v>11741</v>
      </c>
    </row>
    <row r="5133" spans="1:6" x14ac:dyDescent="0.25">
      <c r="A5133" t="s">
        <v>9620</v>
      </c>
      <c r="B5133" t="s">
        <v>9621</v>
      </c>
      <c r="C5133" s="1">
        <v>44083</v>
      </c>
      <c r="D5133" t="b">
        <v>1</v>
      </c>
      <c r="E5133" t="s">
        <v>10</v>
      </c>
      <c r="F5133">
        <v>9165</v>
      </c>
    </row>
    <row r="5134" spans="1:6" x14ac:dyDescent="0.25">
      <c r="A5134" t="s">
        <v>9622</v>
      </c>
      <c r="B5134" t="s">
        <v>9623</v>
      </c>
      <c r="C5134" s="1">
        <v>44083</v>
      </c>
      <c r="D5134" t="b">
        <v>1</v>
      </c>
      <c r="E5134" t="s">
        <v>10</v>
      </c>
      <c r="F5134">
        <v>4296</v>
      </c>
    </row>
    <row r="5135" spans="1:6" x14ac:dyDescent="0.25">
      <c r="A5135" t="s">
        <v>9624</v>
      </c>
      <c r="B5135" t="s">
        <v>9625</v>
      </c>
      <c r="C5135" s="1">
        <v>44083</v>
      </c>
      <c r="D5135" t="b">
        <v>1</v>
      </c>
      <c r="E5135" t="s">
        <v>10</v>
      </c>
      <c r="F5135">
        <v>17127</v>
      </c>
    </row>
    <row r="5136" spans="1:6" x14ac:dyDescent="0.25">
      <c r="A5136" t="s">
        <v>9626</v>
      </c>
      <c r="B5136" t="s">
        <v>9627</v>
      </c>
      <c r="C5136" s="1">
        <v>44083</v>
      </c>
      <c r="D5136" t="b">
        <v>1</v>
      </c>
      <c r="E5136" t="s">
        <v>10</v>
      </c>
      <c r="F5136">
        <v>4298</v>
      </c>
    </row>
    <row r="5137" spans="1:6" x14ac:dyDescent="0.25">
      <c r="A5137" t="s">
        <v>9628</v>
      </c>
      <c r="B5137" t="s">
        <v>9629</v>
      </c>
      <c r="C5137" s="1">
        <v>44083</v>
      </c>
      <c r="D5137" t="b">
        <v>1</v>
      </c>
      <c r="E5137" t="s">
        <v>10</v>
      </c>
      <c r="F5137">
        <v>14970</v>
      </c>
    </row>
    <row r="5138" spans="1:6" x14ac:dyDescent="0.25">
      <c r="A5138" t="s">
        <v>9630</v>
      </c>
      <c r="C5138" s="1">
        <v>44083</v>
      </c>
      <c r="D5138" t="b">
        <v>1</v>
      </c>
      <c r="E5138" t="s">
        <v>10</v>
      </c>
      <c r="F5138">
        <v>16527</v>
      </c>
    </row>
    <row r="5139" spans="1:6" x14ac:dyDescent="0.25">
      <c r="A5139" t="s">
        <v>9631</v>
      </c>
      <c r="B5139" t="s">
        <v>9632</v>
      </c>
      <c r="C5139" s="1">
        <v>44083</v>
      </c>
      <c r="D5139" t="b">
        <v>1</v>
      </c>
      <c r="E5139" t="s">
        <v>10</v>
      </c>
      <c r="F5139">
        <v>4300</v>
      </c>
    </row>
    <row r="5140" spans="1:6" x14ac:dyDescent="0.25">
      <c r="A5140" t="s">
        <v>9633</v>
      </c>
      <c r="B5140" t="s">
        <v>9634</v>
      </c>
      <c r="C5140" s="1">
        <v>44083</v>
      </c>
      <c r="D5140" t="b">
        <v>1</v>
      </c>
      <c r="E5140" t="s">
        <v>10</v>
      </c>
      <c r="F5140">
        <v>4302</v>
      </c>
    </row>
    <row r="5141" spans="1:6" x14ac:dyDescent="0.25">
      <c r="A5141" t="s">
        <v>9635</v>
      </c>
      <c r="B5141" t="s">
        <v>9636</v>
      </c>
      <c r="C5141" s="1">
        <v>44083</v>
      </c>
      <c r="D5141" t="b">
        <v>1</v>
      </c>
      <c r="E5141" t="s">
        <v>10</v>
      </c>
      <c r="F5141">
        <v>4303</v>
      </c>
    </row>
    <row r="5142" spans="1:6" x14ac:dyDescent="0.25">
      <c r="A5142" t="s">
        <v>9637</v>
      </c>
      <c r="B5142" t="s">
        <v>9638</v>
      </c>
      <c r="C5142" s="1">
        <v>44083</v>
      </c>
      <c r="D5142" t="b">
        <v>1</v>
      </c>
      <c r="E5142" t="s">
        <v>10</v>
      </c>
      <c r="F5142">
        <v>8320</v>
      </c>
    </row>
    <row r="5143" spans="1:6" x14ac:dyDescent="0.25">
      <c r="A5143" t="s">
        <v>9639</v>
      </c>
      <c r="B5143" t="s">
        <v>9640</v>
      </c>
      <c r="C5143" s="1">
        <v>44083</v>
      </c>
      <c r="D5143" t="b">
        <v>1</v>
      </c>
      <c r="E5143" t="s">
        <v>10</v>
      </c>
      <c r="F5143">
        <v>4307</v>
      </c>
    </row>
    <row r="5144" spans="1:6" x14ac:dyDescent="0.25">
      <c r="A5144" t="s">
        <v>9641</v>
      </c>
      <c r="B5144" t="s">
        <v>9642</v>
      </c>
      <c r="C5144" s="1">
        <v>44083</v>
      </c>
      <c r="D5144" t="b">
        <v>1</v>
      </c>
      <c r="E5144" t="s">
        <v>10</v>
      </c>
      <c r="F5144">
        <v>4308</v>
      </c>
    </row>
    <row r="5145" spans="1:6" x14ac:dyDescent="0.25">
      <c r="A5145" t="s">
        <v>9643</v>
      </c>
      <c r="B5145" t="s">
        <v>9644</v>
      </c>
      <c r="C5145" s="1">
        <v>44083</v>
      </c>
      <c r="D5145" t="b">
        <v>1</v>
      </c>
      <c r="E5145" t="s">
        <v>10</v>
      </c>
      <c r="F5145">
        <v>4309</v>
      </c>
    </row>
    <row r="5146" spans="1:6" x14ac:dyDescent="0.25">
      <c r="A5146" t="s">
        <v>9645</v>
      </c>
      <c r="B5146" t="s">
        <v>9646</v>
      </c>
      <c r="C5146" s="1">
        <v>44083</v>
      </c>
      <c r="D5146" t="b">
        <v>1</v>
      </c>
      <c r="E5146" t="s">
        <v>10</v>
      </c>
      <c r="F5146">
        <v>9789</v>
      </c>
    </row>
    <row r="5147" spans="1:6" x14ac:dyDescent="0.25">
      <c r="A5147" t="s">
        <v>9647</v>
      </c>
      <c r="B5147" t="s">
        <v>9648</v>
      </c>
      <c r="C5147" s="1">
        <v>44083</v>
      </c>
      <c r="D5147" t="b">
        <v>1</v>
      </c>
      <c r="E5147" t="s">
        <v>10</v>
      </c>
      <c r="F5147">
        <v>15677</v>
      </c>
    </row>
    <row r="5148" spans="1:6" x14ac:dyDescent="0.25">
      <c r="A5148" t="s">
        <v>9649</v>
      </c>
      <c r="B5148" t="s">
        <v>9650</v>
      </c>
      <c r="C5148" s="1">
        <v>44083</v>
      </c>
      <c r="D5148" t="b">
        <v>1</v>
      </c>
      <c r="E5148" t="s">
        <v>10</v>
      </c>
      <c r="F5148">
        <v>4313</v>
      </c>
    </row>
    <row r="5149" spans="1:6" x14ac:dyDescent="0.25">
      <c r="A5149" t="s">
        <v>9651</v>
      </c>
      <c r="B5149" t="s">
        <v>9652</v>
      </c>
      <c r="C5149" s="1">
        <v>44083</v>
      </c>
      <c r="D5149" t="b">
        <v>1</v>
      </c>
      <c r="E5149" t="s">
        <v>10</v>
      </c>
      <c r="F5149">
        <v>11523</v>
      </c>
    </row>
    <row r="5150" spans="1:6" x14ac:dyDescent="0.25">
      <c r="A5150" t="s">
        <v>9653</v>
      </c>
      <c r="B5150" t="s">
        <v>9654</v>
      </c>
      <c r="C5150" s="1">
        <v>44083</v>
      </c>
      <c r="D5150" t="b">
        <v>1</v>
      </c>
      <c r="E5150" t="s">
        <v>10</v>
      </c>
      <c r="F5150">
        <v>16521</v>
      </c>
    </row>
    <row r="5151" spans="1:6" x14ac:dyDescent="0.25">
      <c r="A5151" t="s">
        <v>9655</v>
      </c>
      <c r="B5151" t="s">
        <v>9656</v>
      </c>
      <c r="C5151" s="1">
        <v>44083</v>
      </c>
      <c r="D5151" t="b">
        <v>1</v>
      </c>
      <c r="E5151" t="s">
        <v>10</v>
      </c>
      <c r="F5151">
        <v>16909</v>
      </c>
    </row>
    <row r="5152" spans="1:6" x14ac:dyDescent="0.25">
      <c r="A5152" t="s">
        <v>9657</v>
      </c>
      <c r="B5152" t="s">
        <v>9658</v>
      </c>
      <c r="C5152" s="1">
        <v>44083</v>
      </c>
      <c r="D5152" t="b">
        <v>1</v>
      </c>
      <c r="E5152" t="s">
        <v>10</v>
      </c>
      <c r="F5152">
        <v>4316</v>
      </c>
    </row>
    <row r="5153" spans="1:6" x14ac:dyDescent="0.25">
      <c r="A5153" t="s">
        <v>9659</v>
      </c>
      <c r="B5153" t="s">
        <v>9660</v>
      </c>
      <c r="C5153" s="1">
        <v>44083</v>
      </c>
      <c r="D5153" t="b">
        <v>1</v>
      </c>
      <c r="E5153" t="s">
        <v>10</v>
      </c>
      <c r="F5153">
        <v>4318</v>
      </c>
    </row>
    <row r="5154" spans="1:6" x14ac:dyDescent="0.25">
      <c r="A5154" t="s">
        <v>9661</v>
      </c>
      <c r="B5154" t="s">
        <v>9662</v>
      </c>
      <c r="C5154" s="1">
        <v>44083</v>
      </c>
      <c r="D5154" t="b">
        <v>1</v>
      </c>
      <c r="E5154" t="s">
        <v>10</v>
      </c>
      <c r="F5154">
        <v>4320</v>
      </c>
    </row>
    <row r="5155" spans="1:6" x14ac:dyDescent="0.25">
      <c r="A5155" t="s">
        <v>9663</v>
      </c>
      <c r="B5155" t="s">
        <v>9664</v>
      </c>
      <c r="C5155" s="1">
        <v>44083</v>
      </c>
      <c r="D5155" t="b">
        <v>1</v>
      </c>
      <c r="E5155" t="s">
        <v>10</v>
      </c>
      <c r="F5155">
        <v>4323</v>
      </c>
    </row>
    <row r="5156" spans="1:6" x14ac:dyDescent="0.25">
      <c r="A5156" t="s">
        <v>9665</v>
      </c>
      <c r="B5156" t="s">
        <v>9666</v>
      </c>
      <c r="C5156" s="1">
        <v>44083</v>
      </c>
      <c r="D5156" t="b">
        <v>1</v>
      </c>
      <c r="E5156" t="s">
        <v>10</v>
      </c>
      <c r="F5156">
        <v>4325</v>
      </c>
    </row>
    <row r="5157" spans="1:6" x14ac:dyDescent="0.25">
      <c r="A5157" t="s">
        <v>9667</v>
      </c>
      <c r="C5157" s="1">
        <v>44083</v>
      </c>
      <c r="D5157" t="b">
        <v>1</v>
      </c>
      <c r="E5157" t="s">
        <v>10</v>
      </c>
      <c r="F5157">
        <v>15154</v>
      </c>
    </row>
    <row r="5158" spans="1:6" x14ac:dyDescent="0.25">
      <c r="A5158" t="s">
        <v>9668</v>
      </c>
      <c r="B5158" t="s">
        <v>9669</v>
      </c>
      <c r="C5158" s="1">
        <v>44083</v>
      </c>
      <c r="D5158" t="b">
        <v>1</v>
      </c>
      <c r="E5158" t="s">
        <v>10</v>
      </c>
      <c r="F5158">
        <v>4333</v>
      </c>
    </row>
    <row r="5159" spans="1:6" x14ac:dyDescent="0.25">
      <c r="A5159" t="s">
        <v>9670</v>
      </c>
      <c r="B5159" t="s">
        <v>9671</v>
      </c>
      <c r="C5159" s="1">
        <v>44083</v>
      </c>
      <c r="D5159" t="b">
        <v>1</v>
      </c>
      <c r="E5159" t="s">
        <v>10</v>
      </c>
      <c r="F5159">
        <v>14828</v>
      </c>
    </row>
    <row r="5160" spans="1:6" x14ac:dyDescent="0.25">
      <c r="A5160" t="s">
        <v>9672</v>
      </c>
      <c r="B5160" t="s">
        <v>9673</v>
      </c>
      <c r="C5160" s="1">
        <v>44083</v>
      </c>
      <c r="D5160" t="b">
        <v>1</v>
      </c>
      <c r="E5160" t="s">
        <v>10</v>
      </c>
      <c r="F5160">
        <v>10848</v>
      </c>
    </row>
    <row r="5161" spans="1:6" x14ac:dyDescent="0.25">
      <c r="A5161" t="s">
        <v>9674</v>
      </c>
      <c r="B5161" t="s">
        <v>9675</v>
      </c>
      <c r="C5161" s="1">
        <v>44083</v>
      </c>
      <c r="D5161" t="b">
        <v>1</v>
      </c>
      <c r="E5161" t="s">
        <v>10</v>
      </c>
      <c r="F5161">
        <v>4336</v>
      </c>
    </row>
    <row r="5162" spans="1:6" x14ac:dyDescent="0.25">
      <c r="A5162" t="s">
        <v>9676</v>
      </c>
      <c r="C5162" s="1">
        <v>44083</v>
      </c>
      <c r="D5162" t="b">
        <v>1</v>
      </c>
      <c r="E5162" t="s">
        <v>10</v>
      </c>
      <c r="F5162">
        <v>4337</v>
      </c>
    </row>
    <row r="5163" spans="1:6" x14ac:dyDescent="0.25">
      <c r="A5163" t="s">
        <v>9677</v>
      </c>
      <c r="C5163" s="1">
        <v>44083</v>
      </c>
      <c r="D5163" t="b">
        <v>1</v>
      </c>
      <c r="E5163" t="s">
        <v>10</v>
      </c>
      <c r="F5163">
        <v>14721</v>
      </c>
    </row>
    <row r="5164" spans="1:6" x14ac:dyDescent="0.25">
      <c r="A5164" t="s">
        <v>9678</v>
      </c>
      <c r="C5164" s="1">
        <v>44083</v>
      </c>
      <c r="D5164" t="b">
        <v>1</v>
      </c>
      <c r="E5164" t="s">
        <v>10</v>
      </c>
      <c r="F5164">
        <v>16471</v>
      </c>
    </row>
    <row r="5165" spans="1:6" x14ac:dyDescent="0.25">
      <c r="A5165" t="s">
        <v>9679</v>
      </c>
      <c r="B5165" t="s">
        <v>9680</v>
      </c>
      <c r="C5165" s="1">
        <v>44083</v>
      </c>
      <c r="D5165" t="b">
        <v>1</v>
      </c>
      <c r="E5165" t="s">
        <v>10</v>
      </c>
      <c r="F5165">
        <v>12252</v>
      </c>
    </row>
    <row r="5166" spans="1:6" x14ac:dyDescent="0.25">
      <c r="A5166" t="s">
        <v>9681</v>
      </c>
      <c r="B5166" t="s">
        <v>9682</v>
      </c>
      <c r="C5166" s="1">
        <v>44083</v>
      </c>
      <c r="D5166" t="b">
        <v>1</v>
      </c>
      <c r="E5166" t="s">
        <v>10</v>
      </c>
      <c r="F5166">
        <v>16606</v>
      </c>
    </row>
    <row r="5167" spans="1:6" x14ac:dyDescent="0.25">
      <c r="A5167" t="s">
        <v>9683</v>
      </c>
      <c r="C5167" s="1">
        <v>44083</v>
      </c>
      <c r="D5167" t="b">
        <v>1</v>
      </c>
      <c r="E5167" t="s">
        <v>10</v>
      </c>
      <c r="F5167">
        <v>16756</v>
      </c>
    </row>
    <row r="5168" spans="1:6" x14ac:dyDescent="0.25">
      <c r="A5168" t="s">
        <v>9684</v>
      </c>
      <c r="B5168" t="s">
        <v>9685</v>
      </c>
      <c r="C5168" s="1">
        <v>44083</v>
      </c>
      <c r="D5168" t="b">
        <v>1</v>
      </c>
      <c r="E5168" t="s">
        <v>10</v>
      </c>
      <c r="F5168">
        <v>12868</v>
      </c>
    </row>
    <row r="5169" spans="1:6" x14ac:dyDescent="0.25">
      <c r="A5169" t="s">
        <v>9686</v>
      </c>
      <c r="B5169" t="s">
        <v>9687</v>
      </c>
      <c r="C5169" s="1">
        <v>44083</v>
      </c>
      <c r="D5169" t="b">
        <v>1</v>
      </c>
      <c r="E5169" t="s">
        <v>10</v>
      </c>
      <c r="F5169">
        <v>4340</v>
      </c>
    </row>
    <row r="5170" spans="1:6" x14ac:dyDescent="0.25">
      <c r="A5170" t="s">
        <v>9688</v>
      </c>
      <c r="C5170" s="1">
        <v>44083</v>
      </c>
      <c r="D5170" t="b">
        <v>1</v>
      </c>
      <c r="E5170" t="s">
        <v>10</v>
      </c>
      <c r="F5170">
        <v>4341</v>
      </c>
    </row>
    <row r="5171" spans="1:6" x14ac:dyDescent="0.25">
      <c r="A5171" t="s">
        <v>9689</v>
      </c>
      <c r="C5171" s="1">
        <v>44083</v>
      </c>
      <c r="D5171" t="b">
        <v>1</v>
      </c>
      <c r="E5171" t="s">
        <v>10</v>
      </c>
      <c r="F5171">
        <v>16598</v>
      </c>
    </row>
    <row r="5172" spans="1:6" x14ac:dyDescent="0.25">
      <c r="A5172" t="s">
        <v>9690</v>
      </c>
      <c r="B5172" t="s">
        <v>9691</v>
      </c>
      <c r="C5172" s="1">
        <v>44083</v>
      </c>
      <c r="D5172" t="b">
        <v>1</v>
      </c>
      <c r="E5172" t="s">
        <v>10</v>
      </c>
      <c r="F5172">
        <v>15050</v>
      </c>
    </row>
    <row r="5173" spans="1:6" x14ac:dyDescent="0.25">
      <c r="A5173" t="s">
        <v>9692</v>
      </c>
      <c r="C5173" s="1">
        <v>44083</v>
      </c>
      <c r="D5173" t="b">
        <v>1</v>
      </c>
      <c r="E5173" t="s">
        <v>10</v>
      </c>
      <c r="F5173">
        <v>15061</v>
      </c>
    </row>
    <row r="5174" spans="1:6" x14ac:dyDescent="0.25">
      <c r="A5174" t="s">
        <v>9693</v>
      </c>
      <c r="B5174" t="s">
        <v>9694</v>
      </c>
      <c r="C5174" s="1">
        <v>44083</v>
      </c>
      <c r="D5174" t="b">
        <v>1</v>
      </c>
      <c r="E5174" t="s">
        <v>10</v>
      </c>
      <c r="F5174">
        <v>14847</v>
      </c>
    </row>
    <row r="5175" spans="1:6" x14ac:dyDescent="0.25">
      <c r="A5175" t="s">
        <v>9695</v>
      </c>
      <c r="B5175" t="s">
        <v>9696</v>
      </c>
      <c r="C5175" s="1">
        <v>44083</v>
      </c>
      <c r="D5175" t="b">
        <v>1</v>
      </c>
      <c r="E5175" t="s">
        <v>10</v>
      </c>
      <c r="F5175">
        <v>4343</v>
      </c>
    </row>
    <row r="5176" spans="1:6" x14ac:dyDescent="0.25">
      <c r="A5176" t="s">
        <v>9697</v>
      </c>
      <c r="B5176" t="s">
        <v>9698</v>
      </c>
      <c r="C5176" s="1">
        <v>44083</v>
      </c>
      <c r="D5176" t="b">
        <v>1</v>
      </c>
      <c r="E5176" t="s">
        <v>10</v>
      </c>
      <c r="F5176">
        <v>4344</v>
      </c>
    </row>
    <row r="5177" spans="1:6" x14ac:dyDescent="0.25">
      <c r="A5177" t="s">
        <v>9699</v>
      </c>
      <c r="B5177" t="s">
        <v>9700</v>
      </c>
      <c r="C5177" s="1">
        <v>44083</v>
      </c>
      <c r="D5177" t="b">
        <v>1</v>
      </c>
      <c r="E5177" t="s">
        <v>10</v>
      </c>
      <c r="F5177">
        <v>13342</v>
      </c>
    </row>
    <row r="5178" spans="1:6" x14ac:dyDescent="0.25">
      <c r="A5178" t="s">
        <v>9701</v>
      </c>
      <c r="B5178" t="s">
        <v>9700</v>
      </c>
      <c r="C5178" s="1">
        <v>44083</v>
      </c>
      <c r="D5178" t="b">
        <v>1</v>
      </c>
      <c r="E5178" t="s">
        <v>10</v>
      </c>
      <c r="F5178">
        <v>13343</v>
      </c>
    </row>
    <row r="5179" spans="1:6" x14ac:dyDescent="0.25">
      <c r="A5179" t="s">
        <v>9702</v>
      </c>
      <c r="B5179" t="s">
        <v>9703</v>
      </c>
      <c r="C5179" s="1">
        <v>44083</v>
      </c>
      <c r="D5179" t="b">
        <v>1</v>
      </c>
      <c r="E5179" t="s">
        <v>10</v>
      </c>
      <c r="F5179">
        <v>4345</v>
      </c>
    </row>
    <row r="5180" spans="1:6" x14ac:dyDescent="0.25">
      <c r="A5180" t="s">
        <v>9704</v>
      </c>
      <c r="B5180" t="s">
        <v>9705</v>
      </c>
      <c r="C5180" s="1">
        <v>44083</v>
      </c>
      <c r="D5180" t="b">
        <v>1</v>
      </c>
      <c r="E5180" t="s">
        <v>10</v>
      </c>
      <c r="F5180">
        <v>13283</v>
      </c>
    </row>
    <row r="5181" spans="1:6" x14ac:dyDescent="0.25">
      <c r="A5181" t="s">
        <v>9706</v>
      </c>
      <c r="B5181" t="s">
        <v>9707</v>
      </c>
      <c r="C5181" s="1">
        <v>44083</v>
      </c>
      <c r="D5181" t="b">
        <v>1</v>
      </c>
      <c r="E5181" t="s">
        <v>10</v>
      </c>
      <c r="F5181">
        <v>9650</v>
      </c>
    </row>
    <row r="5182" spans="1:6" x14ac:dyDescent="0.25">
      <c r="A5182" t="s">
        <v>9708</v>
      </c>
      <c r="B5182" t="s">
        <v>9709</v>
      </c>
      <c r="C5182" s="1">
        <v>44083</v>
      </c>
      <c r="D5182" t="b">
        <v>1</v>
      </c>
      <c r="E5182" t="s">
        <v>10</v>
      </c>
      <c r="F5182">
        <v>6672</v>
      </c>
    </row>
    <row r="5183" spans="1:6" x14ac:dyDescent="0.25">
      <c r="A5183" t="s">
        <v>9710</v>
      </c>
      <c r="C5183" s="1">
        <v>44083</v>
      </c>
      <c r="D5183" t="b">
        <v>1</v>
      </c>
      <c r="E5183" t="s">
        <v>10</v>
      </c>
      <c r="F5183">
        <v>11278</v>
      </c>
    </row>
    <row r="5184" spans="1:6" x14ac:dyDescent="0.25">
      <c r="A5184" t="s">
        <v>9711</v>
      </c>
      <c r="B5184" t="s">
        <v>9712</v>
      </c>
      <c r="C5184" s="1">
        <v>44083</v>
      </c>
      <c r="D5184" t="b">
        <v>1</v>
      </c>
      <c r="E5184" t="s">
        <v>10</v>
      </c>
      <c r="F5184">
        <v>4347</v>
      </c>
    </row>
    <row r="5185" spans="1:6" x14ac:dyDescent="0.25">
      <c r="A5185" t="s">
        <v>9713</v>
      </c>
      <c r="B5185" t="s">
        <v>9714</v>
      </c>
      <c r="C5185" s="1">
        <v>44083</v>
      </c>
      <c r="D5185" t="b">
        <v>1</v>
      </c>
      <c r="E5185" t="s">
        <v>10</v>
      </c>
      <c r="F5185">
        <v>4351</v>
      </c>
    </row>
    <row r="5186" spans="1:6" x14ac:dyDescent="0.25">
      <c r="A5186" t="s">
        <v>9715</v>
      </c>
      <c r="B5186" t="s">
        <v>9716</v>
      </c>
      <c r="C5186" s="1">
        <v>44083</v>
      </c>
      <c r="D5186" t="b">
        <v>1</v>
      </c>
      <c r="E5186" t="s">
        <v>10</v>
      </c>
      <c r="F5186">
        <v>15185</v>
      </c>
    </row>
    <row r="5187" spans="1:6" x14ac:dyDescent="0.25">
      <c r="A5187" t="s">
        <v>9717</v>
      </c>
      <c r="B5187" t="s">
        <v>9718</v>
      </c>
      <c r="C5187" s="1">
        <v>44083</v>
      </c>
      <c r="D5187" t="b">
        <v>1</v>
      </c>
      <c r="E5187" t="s">
        <v>10</v>
      </c>
      <c r="F5187">
        <v>4352</v>
      </c>
    </row>
    <row r="5188" spans="1:6" x14ac:dyDescent="0.25">
      <c r="A5188" t="s">
        <v>9719</v>
      </c>
      <c r="C5188" s="1">
        <v>44083</v>
      </c>
      <c r="D5188" t="b">
        <v>1</v>
      </c>
      <c r="E5188" t="s">
        <v>10</v>
      </c>
      <c r="F5188">
        <v>4353</v>
      </c>
    </row>
    <row r="5189" spans="1:6" x14ac:dyDescent="0.25">
      <c r="A5189" t="s">
        <v>9720</v>
      </c>
      <c r="B5189" t="s">
        <v>9721</v>
      </c>
      <c r="C5189" s="1">
        <v>44083</v>
      </c>
      <c r="D5189" t="b">
        <v>1</v>
      </c>
      <c r="E5189" t="s">
        <v>10</v>
      </c>
      <c r="F5189">
        <v>4358</v>
      </c>
    </row>
    <row r="5190" spans="1:6" x14ac:dyDescent="0.25">
      <c r="A5190" t="s">
        <v>9722</v>
      </c>
      <c r="B5190" t="s">
        <v>9700</v>
      </c>
      <c r="C5190" s="1">
        <v>44083</v>
      </c>
      <c r="D5190" t="b">
        <v>1</v>
      </c>
      <c r="E5190" t="s">
        <v>10</v>
      </c>
      <c r="F5190">
        <v>13344</v>
      </c>
    </row>
    <row r="5191" spans="1:6" x14ac:dyDescent="0.25">
      <c r="A5191" t="s">
        <v>9723</v>
      </c>
      <c r="B5191" t="s">
        <v>9724</v>
      </c>
      <c r="C5191" s="1">
        <v>44083</v>
      </c>
      <c r="D5191" t="b">
        <v>1</v>
      </c>
      <c r="E5191" t="s">
        <v>10</v>
      </c>
      <c r="F5191">
        <v>4359</v>
      </c>
    </row>
    <row r="5192" spans="1:6" x14ac:dyDescent="0.25">
      <c r="A5192" t="s">
        <v>9725</v>
      </c>
      <c r="B5192" t="s">
        <v>9726</v>
      </c>
      <c r="C5192" s="1">
        <v>44083</v>
      </c>
      <c r="D5192" t="b">
        <v>1</v>
      </c>
      <c r="E5192" t="s">
        <v>10</v>
      </c>
      <c r="F5192">
        <v>4360</v>
      </c>
    </row>
    <row r="5193" spans="1:6" x14ac:dyDescent="0.25">
      <c r="A5193" t="s">
        <v>9727</v>
      </c>
      <c r="B5193" t="s">
        <v>9728</v>
      </c>
      <c r="C5193" s="1">
        <v>44083</v>
      </c>
      <c r="D5193" t="b">
        <v>1</v>
      </c>
      <c r="E5193" t="s">
        <v>10</v>
      </c>
      <c r="F5193">
        <v>4361</v>
      </c>
    </row>
    <row r="5194" spans="1:6" x14ac:dyDescent="0.25">
      <c r="A5194" t="s">
        <v>9729</v>
      </c>
      <c r="B5194" t="s">
        <v>9730</v>
      </c>
      <c r="C5194" s="1">
        <v>44083</v>
      </c>
      <c r="D5194" t="b">
        <v>1</v>
      </c>
      <c r="E5194" t="s">
        <v>10</v>
      </c>
      <c r="F5194">
        <v>4363</v>
      </c>
    </row>
    <row r="5195" spans="1:6" x14ac:dyDescent="0.25">
      <c r="A5195" t="s">
        <v>9731</v>
      </c>
      <c r="B5195" t="s">
        <v>9732</v>
      </c>
      <c r="C5195" s="1">
        <v>44083</v>
      </c>
      <c r="D5195" t="b">
        <v>1</v>
      </c>
      <c r="E5195" t="s">
        <v>10</v>
      </c>
      <c r="F5195">
        <v>4365</v>
      </c>
    </row>
    <row r="5196" spans="1:6" x14ac:dyDescent="0.25">
      <c r="A5196" t="s">
        <v>9733</v>
      </c>
      <c r="B5196" t="s">
        <v>9734</v>
      </c>
      <c r="C5196" s="1">
        <v>44083</v>
      </c>
      <c r="D5196" t="b">
        <v>1</v>
      </c>
      <c r="E5196" t="s">
        <v>10</v>
      </c>
      <c r="F5196">
        <v>8544</v>
      </c>
    </row>
    <row r="5197" spans="1:6" x14ac:dyDescent="0.25">
      <c r="A5197" t="s">
        <v>9735</v>
      </c>
      <c r="B5197" t="s">
        <v>9736</v>
      </c>
      <c r="C5197" s="1">
        <v>44083</v>
      </c>
      <c r="D5197" t="b">
        <v>1</v>
      </c>
      <c r="E5197" t="s">
        <v>10</v>
      </c>
      <c r="F5197">
        <v>4366</v>
      </c>
    </row>
    <row r="5198" spans="1:6" x14ac:dyDescent="0.25">
      <c r="A5198" t="s">
        <v>9737</v>
      </c>
      <c r="B5198" t="s">
        <v>9738</v>
      </c>
      <c r="C5198" s="1">
        <v>44083</v>
      </c>
      <c r="D5198" t="b">
        <v>1</v>
      </c>
      <c r="E5198" t="s">
        <v>10</v>
      </c>
      <c r="F5198">
        <v>4368</v>
      </c>
    </row>
    <row r="5199" spans="1:6" x14ac:dyDescent="0.25">
      <c r="A5199" t="s">
        <v>9739</v>
      </c>
      <c r="B5199" t="s">
        <v>9740</v>
      </c>
      <c r="C5199" s="1">
        <v>44083</v>
      </c>
      <c r="D5199" t="b">
        <v>1</v>
      </c>
      <c r="E5199" t="s">
        <v>10</v>
      </c>
      <c r="F5199">
        <v>4369</v>
      </c>
    </row>
    <row r="5200" spans="1:6" x14ac:dyDescent="0.25">
      <c r="A5200" t="s">
        <v>9741</v>
      </c>
      <c r="B5200" t="s">
        <v>9742</v>
      </c>
      <c r="C5200" s="1">
        <v>44083</v>
      </c>
      <c r="D5200" t="b">
        <v>1</v>
      </c>
      <c r="E5200" t="s">
        <v>10</v>
      </c>
      <c r="F5200">
        <v>4370</v>
      </c>
    </row>
    <row r="5201" spans="1:6" x14ac:dyDescent="0.25">
      <c r="A5201" t="s">
        <v>9743</v>
      </c>
      <c r="B5201" t="s">
        <v>9744</v>
      </c>
      <c r="C5201" s="1">
        <v>44083</v>
      </c>
      <c r="D5201" t="b">
        <v>1</v>
      </c>
      <c r="E5201" t="s">
        <v>10</v>
      </c>
      <c r="F5201">
        <v>4371</v>
      </c>
    </row>
    <row r="5202" spans="1:6" x14ac:dyDescent="0.25">
      <c r="A5202" t="s">
        <v>9745</v>
      </c>
      <c r="B5202" t="s">
        <v>9746</v>
      </c>
      <c r="C5202" s="1">
        <v>44083</v>
      </c>
      <c r="D5202" t="b">
        <v>1</v>
      </c>
      <c r="E5202" t="s">
        <v>10</v>
      </c>
      <c r="F5202">
        <v>4372</v>
      </c>
    </row>
    <row r="5203" spans="1:6" x14ac:dyDescent="0.25">
      <c r="A5203" t="s">
        <v>9747</v>
      </c>
      <c r="B5203" t="s">
        <v>9748</v>
      </c>
      <c r="C5203" s="1">
        <v>44083</v>
      </c>
      <c r="D5203" t="b">
        <v>1</v>
      </c>
      <c r="E5203" t="s">
        <v>10</v>
      </c>
      <c r="F5203">
        <v>8512</v>
      </c>
    </row>
    <row r="5204" spans="1:6" x14ac:dyDescent="0.25">
      <c r="A5204" t="s">
        <v>9749</v>
      </c>
      <c r="B5204" t="s">
        <v>9750</v>
      </c>
      <c r="C5204" s="1">
        <v>44083</v>
      </c>
      <c r="D5204" t="b">
        <v>1</v>
      </c>
      <c r="E5204" t="s">
        <v>10</v>
      </c>
      <c r="F5204">
        <v>8000</v>
      </c>
    </row>
    <row r="5205" spans="1:6" x14ac:dyDescent="0.25">
      <c r="A5205" t="s">
        <v>9751</v>
      </c>
      <c r="B5205" t="s">
        <v>9752</v>
      </c>
      <c r="C5205" s="1">
        <v>44083</v>
      </c>
      <c r="D5205" t="b">
        <v>1</v>
      </c>
      <c r="E5205" t="s">
        <v>10</v>
      </c>
      <c r="F5205">
        <v>11177</v>
      </c>
    </row>
    <row r="5206" spans="1:6" x14ac:dyDescent="0.25">
      <c r="A5206" t="s">
        <v>9753</v>
      </c>
      <c r="B5206" t="s">
        <v>9754</v>
      </c>
      <c r="C5206" s="1">
        <v>44083</v>
      </c>
      <c r="D5206" t="b">
        <v>1</v>
      </c>
      <c r="E5206" t="s">
        <v>10</v>
      </c>
      <c r="F5206">
        <v>4374</v>
      </c>
    </row>
    <row r="5207" spans="1:6" x14ac:dyDescent="0.25">
      <c r="A5207" t="s">
        <v>9755</v>
      </c>
      <c r="C5207" s="1">
        <v>44083</v>
      </c>
      <c r="D5207" t="b">
        <v>1</v>
      </c>
      <c r="E5207" t="s">
        <v>10</v>
      </c>
      <c r="F5207">
        <v>15574</v>
      </c>
    </row>
    <row r="5208" spans="1:6" x14ac:dyDescent="0.25">
      <c r="A5208" t="s">
        <v>9756</v>
      </c>
      <c r="B5208" t="s">
        <v>9757</v>
      </c>
      <c r="C5208" s="1">
        <v>44083</v>
      </c>
      <c r="D5208" t="b">
        <v>1</v>
      </c>
      <c r="E5208" t="s">
        <v>10</v>
      </c>
      <c r="F5208">
        <v>4376</v>
      </c>
    </row>
    <row r="5209" spans="1:6" x14ac:dyDescent="0.25">
      <c r="A5209" t="s">
        <v>9758</v>
      </c>
      <c r="B5209" t="s">
        <v>9759</v>
      </c>
      <c r="C5209" s="1">
        <v>44083</v>
      </c>
      <c r="D5209" t="b">
        <v>1</v>
      </c>
      <c r="E5209" t="s">
        <v>10</v>
      </c>
      <c r="F5209">
        <v>14722</v>
      </c>
    </row>
    <row r="5210" spans="1:6" x14ac:dyDescent="0.25">
      <c r="A5210" t="s">
        <v>9760</v>
      </c>
      <c r="B5210" t="s">
        <v>9761</v>
      </c>
      <c r="C5210" s="1">
        <v>44083</v>
      </c>
      <c r="D5210" t="b">
        <v>1</v>
      </c>
      <c r="E5210" t="s">
        <v>10</v>
      </c>
      <c r="F5210">
        <v>14546</v>
      </c>
    </row>
    <row r="5211" spans="1:6" x14ac:dyDescent="0.25">
      <c r="A5211" t="s">
        <v>9762</v>
      </c>
      <c r="B5211" t="s">
        <v>9763</v>
      </c>
      <c r="C5211" s="1">
        <v>44083</v>
      </c>
      <c r="D5211" t="b">
        <v>1</v>
      </c>
      <c r="E5211" t="s">
        <v>10</v>
      </c>
      <c r="F5211">
        <v>4378</v>
      </c>
    </row>
    <row r="5212" spans="1:6" x14ac:dyDescent="0.25">
      <c r="A5212" t="s">
        <v>9764</v>
      </c>
      <c r="B5212" t="s">
        <v>9765</v>
      </c>
      <c r="C5212" s="1">
        <v>44083</v>
      </c>
      <c r="D5212" t="b">
        <v>1</v>
      </c>
      <c r="E5212" t="s">
        <v>10</v>
      </c>
      <c r="F5212">
        <v>4379</v>
      </c>
    </row>
    <row r="5213" spans="1:6" x14ac:dyDescent="0.25">
      <c r="A5213" t="s">
        <v>9766</v>
      </c>
      <c r="B5213" t="s">
        <v>9767</v>
      </c>
      <c r="C5213" s="1">
        <v>44083</v>
      </c>
      <c r="D5213" t="b">
        <v>1</v>
      </c>
      <c r="E5213" t="s">
        <v>10</v>
      </c>
      <c r="F5213">
        <v>13051</v>
      </c>
    </row>
    <row r="5214" spans="1:6" x14ac:dyDescent="0.25">
      <c r="A5214" t="s">
        <v>9768</v>
      </c>
      <c r="B5214" t="s">
        <v>9769</v>
      </c>
      <c r="C5214" s="1">
        <v>44083</v>
      </c>
      <c r="D5214" t="b">
        <v>1</v>
      </c>
      <c r="E5214" t="s">
        <v>10</v>
      </c>
      <c r="F5214">
        <v>4380</v>
      </c>
    </row>
    <row r="5215" spans="1:6" x14ac:dyDescent="0.25">
      <c r="A5215" t="s">
        <v>9770</v>
      </c>
      <c r="C5215" s="1">
        <v>44083</v>
      </c>
      <c r="D5215" t="b">
        <v>1</v>
      </c>
      <c r="E5215" t="s">
        <v>10</v>
      </c>
      <c r="F5215">
        <v>14606</v>
      </c>
    </row>
    <row r="5216" spans="1:6" x14ac:dyDescent="0.25">
      <c r="A5216" t="s">
        <v>9771</v>
      </c>
      <c r="C5216" s="1">
        <v>44083</v>
      </c>
      <c r="D5216" t="b">
        <v>1</v>
      </c>
      <c r="E5216" t="s">
        <v>10</v>
      </c>
      <c r="F5216">
        <v>14607</v>
      </c>
    </row>
    <row r="5217" spans="1:6" x14ac:dyDescent="0.25">
      <c r="A5217" t="s">
        <v>9772</v>
      </c>
      <c r="C5217" s="1">
        <v>44083</v>
      </c>
      <c r="D5217" t="b">
        <v>1</v>
      </c>
      <c r="E5217" t="s">
        <v>10</v>
      </c>
      <c r="F5217">
        <v>14608</v>
      </c>
    </row>
    <row r="5218" spans="1:6" x14ac:dyDescent="0.25">
      <c r="A5218" t="s">
        <v>9773</v>
      </c>
      <c r="B5218" t="s">
        <v>9774</v>
      </c>
      <c r="C5218" s="1">
        <v>44083</v>
      </c>
      <c r="D5218" t="b">
        <v>1</v>
      </c>
      <c r="E5218" t="s">
        <v>10</v>
      </c>
      <c r="F5218">
        <v>4382</v>
      </c>
    </row>
    <row r="5219" spans="1:6" x14ac:dyDescent="0.25">
      <c r="A5219" t="s">
        <v>9775</v>
      </c>
      <c r="B5219" t="s">
        <v>9776</v>
      </c>
      <c r="C5219" s="1">
        <v>44083</v>
      </c>
      <c r="D5219" t="b">
        <v>1</v>
      </c>
      <c r="E5219" t="s">
        <v>10</v>
      </c>
      <c r="F5219">
        <v>4383</v>
      </c>
    </row>
    <row r="5220" spans="1:6" x14ac:dyDescent="0.25">
      <c r="A5220" t="s">
        <v>9777</v>
      </c>
      <c r="B5220" t="s">
        <v>9778</v>
      </c>
      <c r="C5220" s="1">
        <v>44083</v>
      </c>
      <c r="D5220" t="b">
        <v>1</v>
      </c>
      <c r="E5220" t="s">
        <v>10</v>
      </c>
      <c r="F5220">
        <v>4384</v>
      </c>
    </row>
    <row r="5221" spans="1:6" x14ac:dyDescent="0.25">
      <c r="A5221" t="s">
        <v>9779</v>
      </c>
      <c r="B5221" t="s">
        <v>9780</v>
      </c>
      <c r="C5221" s="1">
        <v>44083</v>
      </c>
      <c r="D5221" t="b">
        <v>1</v>
      </c>
      <c r="E5221" t="s">
        <v>10</v>
      </c>
      <c r="F5221">
        <v>4387</v>
      </c>
    </row>
    <row r="5222" spans="1:6" x14ac:dyDescent="0.25">
      <c r="A5222" t="s">
        <v>9781</v>
      </c>
      <c r="B5222" t="s">
        <v>9782</v>
      </c>
      <c r="C5222" s="1">
        <v>44083</v>
      </c>
      <c r="D5222" t="b">
        <v>1</v>
      </c>
      <c r="E5222" t="s">
        <v>10</v>
      </c>
      <c r="F5222">
        <v>4388</v>
      </c>
    </row>
    <row r="5223" spans="1:6" x14ac:dyDescent="0.25">
      <c r="A5223" t="s">
        <v>9783</v>
      </c>
      <c r="B5223" t="s">
        <v>9784</v>
      </c>
      <c r="C5223" s="1">
        <v>44083</v>
      </c>
      <c r="D5223" t="b">
        <v>1</v>
      </c>
      <c r="E5223" t="s">
        <v>10</v>
      </c>
      <c r="F5223">
        <v>4389</v>
      </c>
    </row>
    <row r="5224" spans="1:6" x14ac:dyDescent="0.25">
      <c r="A5224" t="s">
        <v>9785</v>
      </c>
      <c r="C5224" s="1">
        <v>44083</v>
      </c>
      <c r="D5224" t="b">
        <v>1</v>
      </c>
      <c r="E5224" t="s">
        <v>10</v>
      </c>
      <c r="F5224">
        <v>11496</v>
      </c>
    </row>
    <row r="5225" spans="1:6" x14ac:dyDescent="0.25">
      <c r="A5225" t="s">
        <v>9786</v>
      </c>
      <c r="B5225" t="s">
        <v>9787</v>
      </c>
      <c r="C5225" s="1">
        <v>44083</v>
      </c>
      <c r="D5225" t="b">
        <v>1</v>
      </c>
      <c r="E5225" t="s">
        <v>10</v>
      </c>
      <c r="F5225">
        <v>4390</v>
      </c>
    </row>
    <row r="5226" spans="1:6" x14ac:dyDescent="0.25">
      <c r="A5226" t="s">
        <v>9788</v>
      </c>
      <c r="B5226" t="s">
        <v>9789</v>
      </c>
      <c r="C5226" s="1">
        <v>44083</v>
      </c>
      <c r="D5226" t="b">
        <v>1</v>
      </c>
      <c r="E5226" t="s">
        <v>10</v>
      </c>
      <c r="F5226">
        <v>4391</v>
      </c>
    </row>
    <row r="5227" spans="1:6" x14ac:dyDescent="0.25">
      <c r="A5227" t="s">
        <v>9790</v>
      </c>
      <c r="C5227" s="1">
        <v>44083</v>
      </c>
      <c r="D5227" t="b">
        <v>1</v>
      </c>
      <c r="E5227" t="s">
        <v>10</v>
      </c>
      <c r="F5227">
        <v>8137</v>
      </c>
    </row>
    <row r="5228" spans="1:6" x14ac:dyDescent="0.25">
      <c r="A5228" t="s">
        <v>9791</v>
      </c>
      <c r="B5228" t="s">
        <v>9792</v>
      </c>
      <c r="C5228" s="1">
        <v>44083</v>
      </c>
      <c r="D5228" t="b">
        <v>1</v>
      </c>
      <c r="E5228" t="s">
        <v>10</v>
      </c>
      <c r="F5228">
        <v>4394</v>
      </c>
    </row>
    <row r="5229" spans="1:6" x14ac:dyDescent="0.25">
      <c r="A5229" t="s">
        <v>9793</v>
      </c>
      <c r="B5229" t="s">
        <v>9794</v>
      </c>
      <c r="C5229" s="1">
        <v>44083</v>
      </c>
      <c r="D5229" t="b">
        <v>1</v>
      </c>
      <c r="E5229" t="s">
        <v>10</v>
      </c>
      <c r="F5229">
        <v>4401</v>
      </c>
    </row>
    <row r="5230" spans="1:6" x14ac:dyDescent="0.25">
      <c r="A5230" t="s">
        <v>9795</v>
      </c>
      <c r="B5230" t="s">
        <v>9796</v>
      </c>
      <c r="C5230" s="1">
        <v>44083</v>
      </c>
      <c r="D5230" t="b">
        <v>1</v>
      </c>
      <c r="E5230" t="s">
        <v>10</v>
      </c>
      <c r="F5230">
        <v>4402</v>
      </c>
    </row>
    <row r="5231" spans="1:6" x14ac:dyDescent="0.25">
      <c r="A5231" t="s">
        <v>9797</v>
      </c>
      <c r="B5231" t="s">
        <v>9798</v>
      </c>
      <c r="C5231" s="1">
        <v>44083</v>
      </c>
      <c r="D5231" t="b">
        <v>0</v>
      </c>
      <c r="E5231" t="s">
        <v>10</v>
      </c>
      <c r="F5231">
        <v>16969</v>
      </c>
    </row>
    <row r="5232" spans="1:6" x14ac:dyDescent="0.25">
      <c r="A5232" t="s">
        <v>9799</v>
      </c>
      <c r="B5232" t="s">
        <v>9800</v>
      </c>
      <c r="C5232" s="1">
        <v>44083</v>
      </c>
      <c r="D5232" t="b">
        <v>1</v>
      </c>
      <c r="E5232" t="s">
        <v>10</v>
      </c>
      <c r="F5232">
        <v>4403</v>
      </c>
    </row>
    <row r="5233" spans="1:6" x14ac:dyDescent="0.25">
      <c r="A5233" t="s">
        <v>9801</v>
      </c>
      <c r="B5233" t="s">
        <v>9802</v>
      </c>
      <c r="C5233" s="1">
        <v>44083</v>
      </c>
      <c r="D5233" t="b">
        <v>1</v>
      </c>
      <c r="E5233" t="s">
        <v>10</v>
      </c>
      <c r="F5233">
        <v>15802</v>
      </c>
    </row>
    <row r="5234" spans="1:6" x14ac:dyDescent="0.25">
      <c r="A5234" t="s">
        <v>9803</v>
      </c>
      <c r="B5234" t="s">
        <v>9804</v>
      </c>
      <c r="C5234" s="1">
        <v>44083</v>
      </c>
      <c r="D5234" t="b">
        <v>1</v>
      </c>
      <c r="E5234" t="s">
        <v>10</v>
      </c>
      <c r="F5234">
        <v>4404</v>
      </c>
    </row>
    <row r="5235" spans="1:6" x14ac:dyDescent="0.25">
      <c r="A5235" t="s">
        <v>9805</v>
      </c>
      <c r="B5235" t="s">
        <v>9806</v>
      </c>
      <c r="C5235" s="1">
        <v>44083</v>
      </c>
      <c r="D5235" t="b">
        <v>1</v>
      </c>
      <c r="E5235" t="s">
        <v>10</v>
      </c>
      <c r="F5235">
        <v>4406</v>
      </c>
    </row>
    <row r="5236" spans="1:6" x14ac:dyDescent="0.25">
      <c r="A5236" t="s">
        <v>9807</v>
      </c>
      <c r="B5236" t="s">
        <v>9808</v>
      </c>
      <c r="C5236" s="1">
        <v>44083</v>
      </c>
      <c r="D5236" t="b">
        <v>1</v>
      </c>
      <c r="E5236" t="s">
        <v>10</v>
      </c>
      <c r="F5236">
        <v>8600</v>
      </c>
    </row>
    <row r="5237" spans="1:6" x14ac:dyDescent="0.25">
      <c r="A5237" t="s">
        <v>9809</v>
      </c>
      <c r="B5237" t="s">
        <v>9810</v>
      </c>
      <c r="C5237" s="1">
        <v>44083</v>
      </c>
      <c r="D5237" t="b">
        <v>1</v>
      </c>
      <c r="E5237" t="s">
        <v>10</v>
      </c>
      <c r="F5237">
        <v>11320</v>
      </c>
    </row>
    <row r="5238" spans="1:6" x14ac:dyDescent="0.25">
      <c r="A5238" t="s">
        <v>9811</v>
      </c>
      <c r="B5238" t="s">
        <v>9812</v>
      </c>
      <c r="C5238" s="1">
        <v>44083</v>
      </c>
      <c r="D5238" t="b">
        <v>1</v>
      </c>
      <c r="E5238" t="s">
        <v>10</v>
      </c>
      <c r="F5238">
        <v>10866</v>
      </c>
    </row>
    <row r="5239" spans="1:6" x14ac:dyDescent="0.25">
      <c r="A5239" t="s">
        <v>9813</v>
      </c>
      <c r="B5239" t="s">
        <v>9814</v>
      </c>
      <c r="C5239" s="1">
        <v>44083</v>
      </c>
      <c r="D5239" t="b">
        <v>1</v>
      </c>
      <c r="E5239" t="s">
        <v>10</v>
      </c>
      <c r="F5239">
        <v>4411</v>
      </c>
    </row>
    <row r="5240" spans="1:6" x14ac:dyDescent="0.25">
      <c r="A5240" t="s">
        <v>9815</v>
      </c>
      <c r="B5240" t="s">
        <v>9816</v>
      </c>
      <c r="C5240" s="1">
        <v>44083</v>
      </c>
      <c r="D5240" t="b">
        <v>1</v>
      </c>
      <c r="E5240" t="s">
        <v>10</v>
      </c>
      <c r="F5240">
        <v>4412</v>
      </c>
    </row>
    <row r="5241" spans="1:6" x14ac:dyDescent="0.25">
      <c r="A5241" t="s">
        <v>9817</v>
      </c>
      <c r="B5241" t="s">
        <v>9818</v>
      </c>
      <c r="C5241" s="1">
        <v>44083</v>
      </c>
      <c r="D5241" t="b">
        <v>1</v>
      </c>
      <c r="E5241" t="s">
        <v>10</v>
      </c>
      <c r="F5241">
        <v>17062</v>
      </c>
    </row>
    <row r="5242" spans="1:6" x14ac:dyDescent="0.25">
      <c r="A5242" t="s">
        <v>9819</v>
      </c>
      <c r="C5242" s="1">
        <v>44083</v>
      </c>
      <c r="D5242" t="b">
        <v>1</v>
      </c>
      <c r="E5242" t="s">
        <v>10</v>
      </c>
      <c r="F5242">
        <v>17063</v>
      </c>
    </row>
    <row r="5243" spans="1:6" x14ac:dyDescent="0.25">
      <c r="A5243" t="s">
        <v>9820</v>
      </c>
      <c r="B5243" t="s">
        <v>9821</v>
      </c>
      <c r="C5243" s="1">
        <v>44083</v>
      </c>
      <c r="D5243" t="b">
        <v>1</v>
      </c>
      <c r="E5243" t="s">
        <v>10</v>
      </c>
      <c r="F5243">
        <v>4415</v>
      </c>
    </row>
    <row r="5244" spans="1:6" x14ac:dyDescent="0.25">
      <c r="A5244" t="s">
        <v>9822</v>
      </c>
      <c r="B5244" t="s">
        <v>9823</v>
      </c>
      <c r="C5244" s="1">
        <v>44083</v>
      </c>
      <c r="D5244" t="b">
        <v>1</v>
      </c>
      <c r="E5244" t="s">
        <v>10</v>
      </c>
      <c r="F5244">
        <v>15867</v>
      </c>
    </row>
    <row r="5245" spans="1:6" x14ac:dyDescent="0.25">
      <c r="A5245" t="s">
        <v>9824</v>
      </c>
      <c r="B5245" t="s">
        <v>9825</v>
      </c>
      <c r="C5245" s="1">
        <v>44083</v>
      </c>
      <c r="D5245" t="b">
        <v>1</v>
      </c>
      <c r="E5245" t="s">
        <v>10</v>
      </c>
      <c r="F5245">
        <v>15623</v>
      </c>
    </row>
    <row r="5246" spans="1:6" x14ac:dyDescent="0.25">
      <c r="A5246" t="s">
        <v>9826</v>
      </c>
      <c r="B5246" t="s">
        <v>9827</v>
      </c>
      <c r="C5246" s="1">
        <v>44083</v>
      </c>
      <c r="D5246" t="b">
        <v>1</v>
      </c>
      <c r="E5246" t="s">
        <v>10</v>
      </c>
      <c r="F5246">
        <v>4416</v>
      </c>
    </row>
    <row r="5247" spans="1:6" x14ac:dyDescent="0.25">
      <c r="A5247" t="s">
        <v>9828</v>
      </c>
      <c r="B5247" t="s">
        <v>9829</v>
      </c>
      <c r="C5247" s="1">
        <v>44083</v>
      </c>
      <c r="D5247" t="b">
        <v>1</v>
      </c>
      <c r="E5247" t="s">
        <v>10</v>
      </c>
      <c r="F5247">
        <v>15348</v>
      </c>
    </row>
    <row r="5248" spans="1:6" x14ac:dyDescent="0.25">
      <c r="A5248" t="s">
        <v>9830</v>
      </c>
      <c r="B5248" t="s">
        <v>9831</v>
      </c>
      <c r="C5248" s="1">
        <v>44083</v>
      </c>
      <c r="D5248" t="b">
        <v>1</v>
      </c>
      <c r="E5248" t="s">
        <v>10</v>
      </c>
      <c r="F5248">
        <v>4418</v>
      </c>
    </row>
    <row r="5249" spans="1:6" x14ac:dyDescent="0.25">
      <c r="A5249" t="s">
        <v>9832</v>
      </c>
      <c r="C5249" s="1">
        <v>44083</v>
      </c>
      <c r="D5249" t="b">
        <v>1</v>
      </c>
      <c r="E5249" t="s">
        <v>10</v>
      </c>
      <c r="F5249">
        <v>4419</v>
      </c>
    </row>
    <row r="5250" spans="1:6" x14ac:dyDescent="0.25">
      <c r="A5250" t="s">
        <v>9833</v>
      </c>
      <c r="C5250" s="1">
        <v>44083</v>
      </c>
      <c r="D5250" t="b">
        <v>1</v>
      </c>
      <c r="E5250" t="s">
        <v>10</v>
      </c>
      <c r="F5250">
        <v>4420</v>
      </c>
    </row>
    <row r="5251" spans="1:6" x14ac:dyDescent="0.25">
      <c r="A5251" t="s">
        <v>9834</v>
      </c>
      <c r="C5251" s="1">
        <v>44083</v>
      </c>
      <c r="D5251" t="b">
        <v>1</v>
      </c>
      <c r="E5251" t="s">
        <v>10</v>
      </c>
      <c r="F5251">
        <v>16096</v>
      </c>
    </row>
    <row r="5252" spans="1:6" x14ac:dyDescent="0.25">
      <c r="A5252" t="s">
        <v>9835</v>
      </c>
      <c r="B5252" t="s">
        <v>9836</v>
      </c>
      <c r="C5252" s="1">
        <v>44083</v>
      </c>
      <c r="D5252" t="b">
        <v>1</v>
      </c>
      <c r="E5252" t="s">
        <v>10</v>
      </c>
      <c r="F5252">
        <v>7718</v>
      </c>
    </row>
    <row r="5253" spans="1:6" x14ac:dyDescent="0.25">
      <c r="A5253" t="s">
        <v>9837</v>
      </c>
      <c r="B5253" t="s">
        <v>9838</v>
      </c>
      <c r="C5253" s="1">
        <v>44083</v>
      </c>
      <c r="D5253" t="b">
        <v>1</v>
      </c>
      <c r="E5253" t="s">
        <v>10</v>
      </c>
      <c r="F5253">
        <v>4422</v>
      </c>
    </row>
    <row r="5254" spans="1:6" x14ac:dyDescent="0.25">
      <c r="A5254" t="s">
        <v>9839</v>
      </c>
      <c r="B5254" t="s">
        <v>9840</v>
      </c>
      <c r="C5254" s="1">
        <v>44083</v>
      </c>
      <c r="D5254" t="b">
        <v>1</v>
      </c>
      <c r="E5254" t="s">
        <v>10</v>
      </c>
      <c r="F5254">
        <v>10899</v>
      </c>
    </row>
    <row r="5255" spans="1:6" x14ac:dyDescent="0.25">
      <c r="A5255" t="s">
        <v>9841</v>
      </c>
      <c r="B5255" t="s">
        <v>9842</v>
      </c>
      <c r="C5255" s="1">
        <v>44083</v>
      </c>
      <c r="D5255" t="b">
        <v>1</v>
      </c>
      <c r="E5255" t="s">
        <v>10</v>
      </c>
      <c r="F5255">
        <v>10224</v>
      </c>
    </row>
    <row r="5256" spans="1:6" x14ac:dyDescent="0.25">
      <c r="A5256" t="s">
        <v>9843</v>
      </c>
      <c r="B5256" t="s">
        <v>9844</v>
      </c>
      <c r="C5256" s="1">
        <v>44083</v>
      </c>
      <c r="D5256" t="b">
        <v>1</v>
      </c>
      <c r="E5256" t="s">
        <v>10</v>
      </c>
      <c r="F5256">
        <v>16365</v>
      </c>
    </row>
    <row r="5257" spans="1:6" x14ac:dyDescent="0.25">
      <c r="A5257" t="s">
        <v>9845</v>
      </c>
      <c r="B5257" t="s">
        <v>9846</v>
      </c>
      <c r="C5257" s="1">
        <v>44083</v>
      </c>
      <c r="D5257" t="b">
        <v>1</v>
      </c>
      <c r="E5257" t="s">
        <v>10</v>
      </c>
      <c r="F5257">
        <v>16366</v>
      </c>
    </row>
    <row r="5258" spans="1:6" x14ac:dyDescent="0.25">
      <c r="A5258" t="s">
        <v>9847</v>
      </c>
      <c r="B5258" t="s">
        <v>9848</v>
      </c>
      <c r="C5258" s="1">
        <v>44083</v>
      </c>
      <c r="D5258" t="b">
        <v>1</v>
      </c>
      <c r="E5258" t="s">
        <v>10</v>
      </c>
      <c r="F5258">
        <v>4427</v>
      </c>
    </row>
    <row r="5259" spans="1:6" x14ac:dyDescent="0.25">
      <c r="A5259" t="s">
        <v>9849</v>
      </c>
      <c r="B5259" t="s">
        <v>9850</v>
      </c>
      <c r="C5259" s="1">
        <v>44083</v>
      </c>
      <c r="D5259" t="b">
        <v>1</v>
      </c>
      <c r="E5259" t="s">
        <v>10</v>
      </c>
      <c r="F5259">
        <v>4428</v>
      </c>
    </row>
    <row r="5260" spans="1:6" x14ac:dyDescent="0.25">
      <c r="A5260" t="s">
        <v>9851</v>
      </c>
      <c r="B5260" t="s">
        <v>9852</v>
      </c>
      <c r="C5260" s="1">
        <v>44083</v>
      </c>
      <c r="D5260" t="b">
        <v>1</v>
      </c>
      <c r="E5260" t="s">
        <v>10</v>
      </c>
      <c r="F5260">
        <v>16423</v>
      </c>
    </row>
    <row r="5261" spans="1:6" x14ac:dyDescent="0.25">
      <c r="A5261" t="s">
        <v>9853</v>
      </c>
      <c r="B5261" t="s">
        <v>9854</v>
      </c>
      <c r="C5261" s="1">
        <v>44083</v>
      </c>
      <c r="D5261" t="b">
        <v>1</v>
      </c>
      <c r="E5261" t="s">
        <v>10</v>
      </c>
      <c r="F5261">
        <v>14189</v>
      </c>
    </row>
    <row r="5262" spans="1:6" x14ac:dyDescent="0.25">
      <c r="A5262" t="s">
        <v>9855</v>
      </c>
      <c r="B5262" t="s">
        <v>9856</v>
      </c>
      <c r="C5262" s="1">
        <v>44083</v>
      </c>
      <c r="D5262" t="b">
        <v>1</v>
      </c>
      <c r="E5262" t="s">
        <v>10</v>
      </c>
      <c r="F5262">
        <v>4429</v>
      </c>
    </row>
    <row r="5263" spans="1:6" x14ac:dyDescent="0.25">
      <c r="A5263" t="s">
        <v>9857</v>
      </c>
      <c r="B5263" t="s">
        <v>9858</v>
      </c>
      <c r="C5263" s="1">
        <v>44083</v>
      </c>
      <c r="D5263" t="b">
        <v>1</v>
      </c>
      <c r="E5263" t="s">
        <v>10</v>
      </c>
      <c r="F5263">
        <v>4431</v>
      </c>
    </row>
    <row r="5264" spans="1:6" x14ac:dyDescent="0.25">
      <c r="A5264" t="s">
        <v>9859</v>
      </c>
      <c r="B5264" t="s">
        <v>9860</v>
      </c>
      <c r="C5264" s="1">
        <v>44083</v>
      </c>
      <c r="D5264" t="b">
        <v>1</v>
      </c>
      <c r="E5264" t="s">
        <v>10</v>
      </c>
      <c r="F5264">
        <v>4434</v>
      </c>
    </row>
    <row r="5265" spans="1:6" x14ac:dyDescent="0.25">
      <c r="A5265" t="s">
        <v>9861</v>
      </c>
      <c r="B5265" t="s">
        <v>9862</v>
      </c>
      <c r="C5265" s="1">
        <v>44083</v>
      </c>
      <c r="D5265" t="b">
        <v>1</v>
      </c>
      <c r="E5265" t="s">
        <v>10</v>
      </c>
      <c r="F5265">
        <v>4436</v>
      </c>
    </row>
    <row r="5266" spans="1:6" x14ac:dyDescent="0.25">
      <c r="A5266" t="s">
        <v>9863</v>
      </c>
      <c r="B5266" t="s">
        <v>9864</v>
      </c>
      <c r="C5266" s="1">
        <v>44083</v>
      </c>
      <c r="D5266" t="b">
        <v>1</v>
      </c>
      <c r="E5266" t="s">
        <v>10</v>
      </c>
      <c r="F5266">
        <v>17064</v>
      </c>
    </row>
    <row r="5267" spans="1:6" x14ac:dyDescent="0.25">
      <c r="A5267" t="s">
        <v>9865</v>
      </c>
      <c r="B5267" t="s">
        <v>9866</v>
      </c>
      <c r="C5267" s="1">
        <v>44083</v>
      </c>
      <c r="D5267" t="b">
        <v>1</v>
      </c>
      <c r="E5267" t="s">
        <v>10</v>
      </c>
      <c r="F5267">
        <v>16894</v>
      </c>
    </row>
    <row r="5268" spans="1:6" x14ac:dyDescent="0.25">
      <c r="A5268" t="s">
        <v>9867</v>
      </c>
      <c r="C5268" s="1">
        <v>44083</v>
      </c>
      <c r="D5268" t="b">
        <v>1</v>
      </c>
      <c r="E5268" t="s">
        <v>10</v>
      </c>
      <c r="F5268">
        <v>17065</v>
      </c>
    </row>
    <row r="5269" spans="1:6" x14ac:dyDescent="0.25">
      <c r="A5269" t="s">
        <v>9868</v>
      </c>
      <c r="B5269" t="s">
        <v>9869</v>
      </c>
      <c r="C5269" s="1">
        <v>44083</v>
      </c>
      <c r="D5269" t="b">
        <v>1</v>
      </c>
      <c r="E5269" t="s">
        <v>10</v>
      </c>
      <c r="F5269">
        <v>4522</v>
      </c>
    </row>
    <row r="5270" spans="1:6" x14ac:dyDescent="0.25">
      <c r="A5270" t="s">
        <v>9870</v>
      </c>
      <c r="B5270" t="s">
        <v>9871</v>
      </c>
      <c r="C5270" s="1">
        <v>44083</v>
      </c>
      <c r="D5270" t="b">
        <v>1</v>
      </c>
      <c r="E5270" t="s">
        <v>10</v>
      </c>
      <c r="F5270">
        <v>4438</v>
      </c>
    </row>
    <row r="5271" spans="1:6" x14ac:dyDescent="0.25">
      <c r="A5271" t="s">
        <v>9872</v>
      </c>
      <c r="B5271" t="s">
        <v>9873</v>
      </c>
      <c r="C5271" s="1">
        <v>44083</v>
      </c>
      <c r="D5271" t="b">
        <v>1</v>
      </c>
      <c r="E5271" t="s">
        <v>10</v>
      </c>
      <c r="F5271">
        <v>4439</v>
      </c>
    </row>
    <row r="5272" spans="1:6" x14ac:dyDescent="0.25">
      <c r="A5272" t="s">
        <v>9874</v>
      </c>
      <c r="B5272" t="s">
        <v>9875</v>
      </c>
      <c r="C5272" s="1">
        <v>44083</v>
      </c>
      <c r="D5272" t="b">
        <v>1</v>
      </c>
      <c r="E5272" t="s">
        <v>10</v>
      </c>
      <c r="F5272">
        <v>4440</v>
      </c>
    </row>
    <row r="5273" spans="1:6" x14ac:dyDescent="0.25">
      <c r="A5273" t="s">
        <v>9876</v>
      </c>
      <c r="B5273" t="s">
        <v>9877</v>
      </c>
      <c r="C5273" s="1">
        <v>44083</v>
      </c>
      <c r="D5273" t="b">
        <v>1</v>
      </c>
      <c r="E5273" t="s">
        <v>10</v>
      </c>
      <c r="F5273">
        <v>4441</v>
      </c>
    </row>
    <row r="5274" spans="1:6" x14ac:dyDescent="0.25">
      <c r="A5274" t="s">
        <v>9878</v>
      </c>
      <c r="B5274" t="s">
        <v>9879</v>
      </c>
      <c r="C5274" s="1">
        <v>44083</v>
      </c>
      <c r="D5274" t="b">
        <v>1</v>
      </c>
      <c r="E5274" t="s">
        <v>10</v>
      </c>
      <c r="F5274">
        <v>5210</v>
      </c>
    </row>
    <row r="5275" spans="1:6" x14ac:dyDescent="0.25">
      <c r="A5275" t="s">
        <v>9880</v>
      </c>
      <c r="B5275" t="s">
        <v>9881</v>
      </c>
      <c r="C5275" s="1">
        <v>44083</v>
      </c>
      <c r="D5275" t="b">
        <v>1</v>
      </c>
      <c r="E5275" t="s">
        <v>10</v>
      </c>
      <c r="F5275">
        <v>4444</v>
      </c>
    </row>
    <row r="5276" spans="1:6" x14ac:dyDescent="0.25">
      <c r="A5276" t="s">
        <v>9882</v>
      </c>
      <c r="B5276" t="s">
        <v>9883</v>
      </c>
      <c r="C5276" s="1">
        <v>44083</v>
      </c>
      <c r="D5276" t="b">
        <v>1</v>
      </c>
      <c r="E5276" t="s">
        <v>10</v>
      </c>
      <c r="F5276">
        <v>4445</v>
      </c>
    </row>
    <row r="5277" spans="1:6" x14ac:dyDescent="0.25">
      <c r="A5277" t="s">
        <v>9884</v>
      </c>
      <c r="B5277" t="s">
        <v>9885</v>
      </c>
      <c r="C5277" s="1">
        <v>44083</v>
      </c>
      <c r="D5277" t="b">
        <v>1</v>
      </c>
      <c r="E5277" t="s">
        <v>10</v>
      </c>
      <c r="F5277">
        <v>10665</v>
      </c>
    </row>
    <row r="5278" spans="1:6" x14ac:dyDescent="0.25">
      <c r="A5278" t="s">
        <v>9886</v>
      </c>
      <c r="B5278" t="s">
        <v>9887</v>
      </c>
      <c r="C5278" s="1">
        <v>44083</v>
      </c>
      <c r="D5278" t="b">
        <v>1</v>
      </c>
      <c r="E5278" t="s">
        <v>10</v>
      </c>
      <c r="F5278">
        <v>7799</v>
      </c>
    </row>
    <row r="5279" spans="1:6" x14ac:dyDescent="0.25">
      <c r="A5279" t="s">
        <v>9888</v>
      </c>
      <c r="B5279" t="s">
        <v>9889</v>
      </c>
      <c r="C5279" s="1">
        <v>44083</v>
      </c>
      <c r="D5279" t="b">
        <v>1</v>
      </c>
      <c r="E5279" t="s">
        <v>10</v>
      </c>
      <c r="F5279">
        <v>11697</v>
      </c>
    </row>
    <row r="5280" spans="1:6" x14ac:dyDescent="0.25">
      <c r="A5280" t="s">
        <v>9890</v>
      </c>
      <c r="B5280" t="s">
        <v>9891</v>
      </c>
      <c r="C5280" s="1">
        <v>44083</v>
      </c>
      <c r="D5280" t="b">
        <v>1</v>
      </c>
      <c r="E5280" t="s">
        <v>10</v>
      </c>
      <c r="F5280">
        <v>4446</v>
      </c>
    </row>
    <row r="5281" spans="1:6" x14ac:dyDescent="0.25">
      <c r="A5281" t="s">
        <v>9892</v>
      </c>
      <c r="B5281" t="s">
        <v>9893</v>
      </c>
      <c r="C5281" s="1">
        <v>44083</v>
      </c>
      <c r="D5281" t="b">
        <v>1</v>
      </c>
      <c r="E5281" t="s">
        <v>10</v>
      </c>
      <c r="F5281">
        <v>4447</v>
      </c>
    </row>
    <row r="5282" spans="1:6" x14ac:dyDescent="0.25">
      <c r="A5282" t="s">
        <v>9894</v>
      </c>
      <c r="B5282" t="s">
        <v>9895</v>
      </c>
      <c r="C5282" s="1">
        <v>44083</v>
      </c>
      <c r="D5282" t="b">
        <v>1</v>
      </c>
      <c r="E5282" t="s">
        <v>10</v>
      </c>
      <c r="F5282">
        <v>9546</v>
      </c>
    </row>
    <row r="5283" spans="1:6" x14ac:dyDescent="0.25">
      <c r="A5283" t="s">
        <v>9896</v>
      </c>
      <c r="B5283" t="s">
        <v>9897</v>
      </c>
      <c r="C5283" s="1">
        <v>44083</v>
      </c>
      <c r="D5283" t="b">
        <v>1</v>
      </c>
      <c r="E5283" t="s">
        <v>10</v>
      </c>
      <c r="F5283">
        <v>16782</v>
      </c>
    </row>
    <row r="5284" spans="1:6" x14ac:dyDescent="0.25">
      <c r="A5284" t="s">
        <v>9898</v>
      </c>
      <c r="B5284" t="s">
        <v>9899</v>
      </c>
      <c r="C5284" s="1">
        <v>44083</v>
      </c>
      <c r="D5284" t="b">
        <v>1</v>
      </c>
      <c r="E5284" t="s">
        <v>10</v>
      </c>
      <c r="F5284">
        <v>7712</v>
      </c>
    </row>
    <row r="5285" spans="1:6" x14ac:dyDescent="0.25">
      <c r="A5285" t="s">
        <v>9900</v>
      </c>
      <c r="B5285" t="s">
        <v>9901</v>
      </c>
      <c r="C5285" s="1">
        <v>44083</v>
      </c>
      <c r="D5285" t="b">
        <v>1</v>
      </c>
      <c r="E5285" t="s">
        <v>10</v>
      </c>
      <c r="F5285">
        <v>4453</v>
      </c>
    </row>
    <row r="5286" spans="1:6" x14ac:dyDescent="0.25">
      <c r="A5286" t="s">
        <v>9902</v>
      </c>
      <c r="B5286" t="s">
        <v>9903</v>
      </c>
      <c r="C5286" s="1">
        <v>44083</v>
      </c>
      <c r="D5286" t="b">
        <v>1</v>
      </c>
      <c r="E5286" t="s">
        <v>10</v>
      </c>
      <c r="F5286">
        <v>4454</v>
      </c>
    </row>
    <row r="5287" spans="1:6" x14ac:dyDescent="0.25">
      <c r="A5287" t="s">
        <v>9904</v>
      </c>
      <c r="B5287" t="s">
        <v>9905</v>
      </c>
      <c r="C5287" s="1">
        <v>44083</v>
      </c>
      <c r="D5287" t="b">
        <v>1</v>
      </c>
      <c r="E5287" t="s">
        <v>10</v>
      </c>
      <c r="F5287">
        <v>10058</v>
      </c>
    </row>
    <row r="5288" spans="1:6" x14ac:dyDescent="0.25">
      <c r="A5288" t="s">
        <v>9906</v>
      </c>
      <c r="B5288" t="s">
        <v>9907</v>
      </c>
      <c r="C5288" s="1">
        <v>44083</v>
      </c>
      <c r="D5288" t="b">
        <v>1</v>
      </c>
      <c r="E5288" t="s">
        <v>10</v>
      </c>
      <c r="F5288">
        <v>4456</v>
      </c>
    </row>
    <row r="5289" spans="1:6" x14ac:dyDescent="0.25">
      <c r="A5289" t="s">
        <v>9908</v>
      </c>
      <c r="B5289" t="s">
        <v>9909</v>
      </c>
      <c r="C5289" s="1">
        <v>44083</v>
      </c>
      <c r="D5289" t="b">
        <v>1</v>
      </c>
      <c r="E5289" t="s">
        <v>10</v>
      </c>
      <c r="F5289">
        <v>9365</v>
      </c>
    </row>
    <row r="5290" spans="1:6" x14ac:dyDescent="0.25">
      <c r="A5290" t="s">
        <v>9910</v>
      </c>
      <c r="B5290" t="s">
        <v>9911</v>
      </c>
      <c r="C5290" s="1">
        <v>44083</v>
      </c>
      <c r="D5290" t="b">
        <v>1</v>
      </c>
      <c r="E5290" t="s">
        <v>10</v>
      </c>
      <c r="F5290">
        <v>4458</v>
      </c>
    </row>
    <row r="5291" spans="1:6" x14ac:dyDescent="0.25">
      <c r="A5291" t="s">
        <v>9912</v>
      </c>
      <c r="B5291" t="s">
        <v>9913</v>
      </c>
      <c r="C5291" s="1">
        <v>44083</v>
      </c>
      <c r="D5291" t="b">
        <v>1</v>
      </c>
      <c r="E5291" t="s">
        <v>10</v>
      </c>
      <c r="F5291">
        <v>4459</v>
      </c>
    </row>
    <row r="5292" spans="1:6" x14ac:dyDescent="0.25">
      <c r="A5292" t="s">
        <v>9914</v>
      </c>
      <c r="B5292" t="s">
        <v>9915</v>
      </c>
      <c r="C5292" s="1">
        <v>44083</v>
      </c>
      <c r="D5292" t="b">
        <v>1</v>
      </c>
      <c r="E5292" t="s">
        <v>10</v>
      </c>
      <c r="F5292">
        <v>8051</v>
      </c>
    </row>
    <row r="5293" spans="1:6" x14ac:dyDescent="0.25">
      <c r="A5293" t="s">
        <v>9916</v>
      </c>
      <c r="B5293" t="s">
        <v>9917</v>
      </c>
      <c r="C5293" s="1">
        <v>44083</v>
      </c>
      <c r="D5293" t="b">
        <v>1</v>
      </c>
      <c r="E5293" t="s">
        <v>10</v>
      </c>
      <c r="F5293">
        <v>13585</v>
      </c>
    </row>
    <row r="5294" spans="1:6" x14ac:dyDescent="0.25">
      <c r="A5294" t="s">
        <v>9918</v>
      </c>
      <c r="B5294" t="s">
        <v>9919</v>
      </c>
      <c r="C5294" s="1">
        <v>44083</v>
      </c>
      <c r="D5294" t="b">
        <v>1</v>
      </c>
      <c r="E5294" t="s">
        <v>10</v>
      </c>
      <c r="F5294">
        <v>13596</v>
      </c>
    </row>
    <row r="5295" spans="1:6" x14ac:dyDescent="0.25">
      <c r="A5295" t="s">
        <v>9920</v>
      </c>
      <c r="B5295" t="s">
        <v>9921</v>
      </c>
      <c r="C5295" s="1">
        <v>44083</v>
      </c>
      <c r="D5295" t="b">
        <v>0</v>
      </c>
      <c r="E5295" t="s">
        <v>10</v>
      </c>
      <c r="F5295">
        <v>16999</v>
      </c>
    </row>
    <row r="5296" spans="1:6" x14ac:dyDescent="0.25">
      <c r="A5296" t="s">
        <v>9922</v>
      </c>
      <c r="B5296" t="s">
        <v>9923</v>
      </c>
      <c r="C5296" s="1">
        <v>44083</v>
      </c>
      <c r="D5296" t="b">
        <v>1</v>
      </c>
      <c r="E5296" t="s">
        <v>10</v>
      </c>
      <c r="F5296">
        <v>4460</v>
      </c>
    </row>
    <row r="5297" spans="1:6" x14ac:dyDescent="0.25">
      <c r="A5297" t="s">
        <v>9924</v>
      </c>
      <c r="B5297" t="s">
        <v>9925</v>
      </c>
      <c r="C5297" s="1">
        <v>44083</v>
      </c>
      <c r="D5297" t="b">
        <v>1</v>
      </c>
      <c r="E5297" t="s">
        <v>10</v>
      </c>
      <c r="F5297">
        <v>4461</v>
      </c>
    </row>
    <row r="5298" spans="1:6" x14ac:dyDescent="0.25">
      <c r="A5298" t="s">
        <v>9926</v>
      </c>
      <c r="B5298" t="s">
        <v>9927</v>
      </c>
      <c r="C5298" s="1">
        <v>44083</v>
      </c>
      <c r="D5298" t="b">
        <v>1</v>
      </c>
      <c r="E5298" t="s">
        <v>10</v>
      </c>
      <c r="F5298">
        <v>4462</v>
      </c>
    </row>
    <row r="5299" spans="1:6" x14ac:dyDescent="0.25">
      <c r="A5299" t="s">
        <v>9928</v>
      </c>
      <c r="B5299" t="s">
        <v>9929</v>
      </c>
      <c r="C5299" s="1">
        <v>44083</v>
      </c>
      <c r="D5299" t="b">
        <v>1</v>
      </c>
      <c r="E5299" t="s">
        <v>10</v>
      </c>
      <c r="F5299">
        <v>4463</v>
      </c>
    </row>
    <row r="5300" spans="1:6" x14ac:dyDescent="0.25">
      <c r="A5300" t="s">
        <v>9930</v>
      </c>
      <c r="B5300" t="s">
        <v>9931</v>
      </c>
      <c r="C5300" s="1">
        <v>44083</v>
      </c>
      <c r="D5300" t="b">
        <v>1</v>
      </c>
      <c r="E5300" t="s">
        <v>10</v>
      </c>
      <c r="F5300">
        <v>4464</v>
      </c>
    </row>
    <row r="5301" spans="1:6" x14ac:dyDescent="0.25">
      <c r="A5301" t="s">
        <v>9932</v>
      </c>
      <c r="B5301" t="s">
        <v>9933</v>
      </c>
      <c r="C5301" s="1">
        <v>44083</v>
      </c>
      <c r="D5301" t="b">
        <v>1</v>
      </c>
      <c r="E5301" t="s">
        <v>10</v>
      </c>
      <c r="F5301">
        <v>4465</v>
      </c>
    </row>
    <row r="5302" spans="1:6" x14ac:dyDescent="0.25">
      <c r="A5302" t="s">
        <v>9934</v>
      </c>
      <c r="B5302" t="s">
        <v>9935</v>
      </c>
      <c r="C5302" s="1">
        <v>44083</v>
      </c>
      <c r="D5302" t="b">
        <v>1</v>
      </c>
      <c r="E5302" t="s">
        <v>10</v>
      </c>
      <c r="F5302">
        <v>4466</v>
      </c>
    </row>
    <row r="5303" spans="1:6" x14ac:dyDescent="0.25">
      <c r="A5303" t="s">
        <v>9936</v>
      </c>
      <c r="B5303" t="s">
        <v>9937</v>
      </c>
      <c r="C5303" s="1">
        <v>44083</v>
      </c>
      <c r="D5303" t="b">
        <v>1</v>
      </c>
      <c r="E5303" t="s">
        <v>10</v>
      </c>
      <c r="F5303">
        <v>4467</v>
      </c>
    </row>
    <row r="5304" spans="1:6" x14ac:dyDescent="0.25">
      <c r="A5304" t="s">
        <v>9938</v>
      </c>
      <c r="B5304" t="s">
        <v>9939</v>
      </c>
      <c r="C5304" s="1">
        <v>44083</v>
      </c>
      <c r="D5304" t="b">
        <v>1</v>
      </c>
      <c r="E5304" t="s">
        <v>10</v>
      </c>
      <c r="F5304">
        <v>15873</v>
      </c>
    </row>
    <row r="5305" spans="1:6" x14ac:dyDescent="0.25">
      <c r="A5305" t="s">
        <v>9940</v>
      </c>
      <c r="B5305" t="s">
        <v>9941</v>
      </c>
      <c r="C5305" s="1">
        <v>44083</v>
      </c>
      <c r="D5305" t="b">
        <v>1</v>
      </c>
      <c r="E5305" t="s">
        <v>10</v>
      </c>
      <c r="F5305">
        <v>4469</v>
      </c>
    </row>
    <row r="5306" spans="1:6" x14ac:dyDescent="0.25">
      <c r="A5306" t="s">
        <v>9942</v>
      </c>
      <c r="B5306" t="s">
        <v>9943</v>
      </c>
      <c r="C5306" s="1">
        <v>44083</v>
      </c>
      <c r="D5306" t="b">
        <v>1</v>
      </c>
      <c r="E5306" t="s">
        <v>10</v>
      </c>
      <c r="F5306">
        <v>4470</v>
      </c>
    </row>
    <row r="5307" spans="1:6" x14ac:dyDescent="0.25">
      <c r="A5307" t="s">
        <v>9944</v>
      </c>
      <c r="B5307" t="s">
        <v>9945</v>
      </c>
      <c r="C5307" s="1">
        <v>44083</v>
      </c>
      <c r="D5307" t="b">
        <v>1</v>
      </c>
      <c r="E5307" t="s">
        <v>10</v>
      </c>
      <c r="F5307">
        <v>4471</v>
      </c>
    </row>
    <row r="5308" spans="1:6" x14ac:dyDescent="0.25">
      <c r="A5308" t="s">
        <v>9946</v>
      </c>
      <c r="B5308" t="s">
        <v>9947</v>
      </c>
      <c r="C5308" s="1">
        <v>44083</v>
      </c>
      <c r="D5308" t="b">
        <v>1</v>
      </c>
      <c r="E5308" t="s">
        <v>10</v>
      </c>
      <c r="F5308">
        <v>15468</v>
      </c>
    </row>
    <row r="5309" spans="1:6" x14ac:dyDescent="0.25">
      <c r="A5309" t="s">
        <v>9948</v>
      </c>
      <c r="B5309" t="s">
        <v>9947</v>
      </c>
      <c r="C5309" s="1">
        <v>44083</v>
      </c>
      <c r="D5309" t="b">
        <v>1</v>
      </c>
      <c r="E5309" t="s">
        <v>10</v>
      </c>
      <c r="F5309">
        <v>15249</v>
      </c>
    </row>
    <row r="5310" spans="1:6" x14ac:dyDescent="0.25">
      <c r="A5310" t="s">
        <v>9949</v>
      </c>
      <c r="C5310" s="1">
        <v>44083</v>
      </c>
      <c r="D5310" t="b">
        <v>1</v>
      </c>
      <c r="E5310" t="s">
        <v>10</v>
      </c>
      <c r="F5310">
        <v>15471</v>
      </c>
    </row>
    <row r="5311" spans="1:6" x14ac:dyDescent="0.25">
      <c r="A5311" t="s">
        <v>9950</v>
      </c>
      <c r="B5311" t="s">
        <v>9951</v>
      </c>
      <c r="C5311" s="1">
        <v>44083</v>
      </c>
      <c r="D5311" t="b">
        <v>1</v>
      </c>
      <c r="E5311" t="s">
        <v>10</v>
      </c>
      <c r="F5311">
        <v>4473</v>
      </c>
    </row>
    <row r="5312" spans="1:6" x14ac:dyDescent="0.25">
      <c r="A5312" t="s">
        <v>9952</v>
      </c>
      <c r="B5312" t="s">
        <v>9953</v>
      </c>
      <c r="C5312" s="1">
        <v>44083</v>
      </c>
      <c r="D5312" t="b">
        <v>1</v>
      </c>
      <c r="E5312" t="s">
        <v>10</v>
      </c>
      <c r="F5312">
        <v>4477</v>
      </c>
    </row>
    <row r="5313" spans="1:6" x14ac:dyDescent="0.25">
      <c r="A5313" t="s">
        <v>9954</v>
      </c>
      <c r="B5313" t="s">
        <v>9955</v>
      </c>
      <c r="C5313" s="1">
        <v>44083</v>
      </c>
      <c r="D5313" t="b">
        <v>1</v>
      </c>
      <c r="E5313" t="s">
        <v>10</v>
      </c>
      <c r="F5313">
        <v>4478</v>
      </c>
    </row>
    <row r="5314" spans="1:6" x14ac:dyDescent="0.25">
      <c r="A5314" t="s">
        <v>9956</v>
      </c>
      <c r="B5314" t="s">
        <v>9957</v>
      </c>
      <c r="C5314" s="1">
        <v>44083</v>
      </c>
      <c r="D5314" t="b">
        <v>1</v>
      </c>
      <c r="E5314" t="s">
        <v>10</v>
      </c>
      <c r="F5314">
        <v>4479</v>
      </c>
    </row>
    <row r="5315" spans="1:6" x14ac:dyDescent="0.25">
      <c r="A5315" t="s">
        <v>9958</v>
      </c>
      <c r="B5315" t="s">
        <v>9959</v>
      </c>
      <c r="C5315" s="1">
        <v>44083</v>
      </c>
      <c r="D5315" t="b">
        <v>1</v>
      </c>
      <c r="E5315" t="s">
        <v>10</v>
      </c>
      <c r="F5315">
        <v>4480</v>
      </c>
    </row>
    <row r="5316" spans="1:6" x14ac:dyDescent="0.25">
      <c r="A5316" t="s">
        <v>9960</v>
      </c>
      <c r="B5316" t="s">
        <v>9961</v>
      </c>
      <c r="C5316" s="1">
        <v>44083</v>
      </c>
      <c r="D5316" t="b">
        <v>1</v>
      </c>
      <c r="E5316" t="s">
        <v>10</v>
      </c>
      <c r="F5316">
        <v>16006</v>
      </c>
    </row>
    <row r="5317" spans="1:6" x14ac:dyDescent="0.25">
      <c r="A5317" t="s">
        <v>9962</v>
      </c>
      <c r="B5317" t="s">
        <v>9963</v>
      </c>
      <c r="C5317" s="1">
        <v>44083</v>
      </c>
      <c r="D5317" t="b">
        <v>1</v>
      </c>
      <c r="E5317" t="s">
        <v>10</v>
      </c>
      <c r="F5317">
        <v>4481</v>
      </c>
    </row>
    <row r="5318" spans="1:6" x14ac:dyDescent="0.25">
      <c r="A5318" t="s">
        <v>9964</v>
      </c>
      <c r="C5318" s="1">
        <v>44083</v>
      </c>
      <c r="D5318" t="b">
        <v>1</v>
      </c>
      <c r="E5318" t="s">
        <v>10</v>
      </c>
      <c r="F5318">
        <v>11831</v>
      </c>
    </row>
    <row r="5319" spans="1:6" x14ac:dyDescent="0.25">
      <c r="A5319" t="s">
        <v>9965</v>
      </c>
      <c r="B5319" t="s">
        <v>9966</v>
      </c>
      <c r="C5319" s="1">
        <v>44083</v>
      </c>
      <c r="D5319" t="b">
        <v>1</v>
      </c>
      <c r="E5319" t="s">
        <v>10</v>
      </c>
      <c r="F5319">
        <v>15532</v>
      </c>
    </row>
    <row r="5320" spans="1:6" x14ac:dyDescent="0.25">
      <c r="A5320" t="s">
        <v>9967</v>
      </c>
      <c r="B5320" t="s">
        <v>9968</v>
      </c>
      <c r="C5320" s="1">
        <v>44083</v>
      </c>
      <c r="D5320" t="b">
        <v>1</v>
      </c>
      <c r="E5320" t="s">
        <v>10</v>
      </c>
      <c r="F5320">
        <v>4485</v>
      </c>
    </row>
    <row r="5321" spans="1:6" x14ac:dyDescent="0.25">
      <c r="A5321" t="s">
        <v>9969</v>
      </c>
      <c r="B5321" t="s">
        <v>9970</v>
      </c>
      <c r="C5321" s="1">
        <v>44083</v>
      </c>
      <c r="D5321" t="b">
        <v>1</v>
      </c>
      <c r="E5321" t="s">
        <v>10</v>
      </c>
      <c r="F5321">
        <v>15647</v>
      </c>
    </row>
    <row r="5322" spans="1:6" x14ac:dyDescent="0.25">
      <c r="A5322" t="s">
        <v>9971</v>
      </c>
      <c r="B5322" t="s">
        <v>9972</v>
      </c>
      <c r="C5322" s="1">
        <v>44083</v>
      </c>
      <c r="D5322" t="b">
        <v>1</v>
      </c>
      <c r="E5322" t="s">
        <v>10</v>
      </c>
      <c r="F5322">
        <v>10129</v>
      </c>
    </row>
    <row r="5323" spans="1:6" x14ac:dyDescent="0.25">
      <c r="A5323" t="s">
        <v>9973</v>
      </c>
      <c r="B5323" t="s">
        <v>9974</v>
      </c>
      <c r="C5323" s="1">
        <v>44083</v>
      </c>
      <c r="D5323" t="b">
        <v>1</v>
      </c>
      <c r="E5323" t="s">
        <v>10</v>
      </c>
      <c r="F5323">
        <v>4487</v>
      </c>
    </row>
    <row r="5324" spans="1:6" x14ac:dyDescent="0.25">
      <c r="A5324" t="s">
        <v>9975</v>
      </c>
      <c r="B5324" t="s">
        <v>9976</v>
      </c>
      <c r="C5324" s="1">
        <v>44083</v>
      </c>
      <c r="D5324" t="b">
        <v>1</v>
      </c>
      <c r="E5324" t="s">
        <v>10</v>
      </c>
      <c r="F5324">
        <v>4489</v>
      </c>
    </row>
    <row r="5325" spans="1:6" x14ac:dyDescent="0.25">
      <c r="A5325" t="s">
        <v>9977</v>
      </c>
      <c r="B5325" t="s">
        <v>9978</v>
      </c>
      <c r="C5325" s="1">
        <v>44083</v>
      </c>
      <c r="D5325" t="b">
        <v>1</v>
      </c>
      <c r="E5325" t="s">
        <v>10</v>
      </c>
      <c r="F5325">
        <v>4490</v>
      </c>
    </row>
    <row r="5326" spans="1:6" x14ac:dyDescent="0.25">
      <c r="A5326" t="s">
        <v>9979</v>
      </c>
      <c r="B5326" t="s">
        <v>9980</v>
      </c>
      <c r="C5326" s="1">
        <v>44083</v>
      </c>
      <c r="D5326" t="b">
        <v>1</v>
      </c>
      <c r="E5326" t="s">
        <v>10</v>
      </c>
      <c r="F5326">
        <v>4491</v>
      </c>
    </row>
    <row r="5327" spans="1:6" x14ac:dyDescent="0.25">
      <c r="A5327" t="s">
        <v>9981</v>
      </c>
      <c r="B5327" t="s">
        <v>9982</v>
      </c>
      <c r="C5327" s="1">
        <v>44083</v>
      </c>
      <c r="D5327" t="b">
        <v>1</v>
      </c>
      <c r="E5327" t="s">
        <v>10</v>
      </c>
      <c r="F5327">
        <v>8610</v>
      </c>
    </row>
    <row r="5328" spans="1:6" x14ac:dyDescent="0.25">
      <c r="A5328" t="s">
        <v>9983</v>
      </c>
      <c r="B5328" t="s">
        <v>9984</v>
      </c>
      <c r="C5328" s="1">
        <v>44083</v>
      </c>
      <c r="D5328" t="b">
        <v>1</v>
      </c>
      <c r="E5328" t="s">
        <v>10</v>
      </c>
      <c r="F5328">
        <v>4495</v>
      </c>
    </row>
    <row r="5329" spans="1:6" x14ac:dyDescent="0.25">
      <c r="A5329" t="s">
        <v>9985</v>
      </c>
      <c r="B5329" t="s">
        <v>9986</v>
      </c>
      <c r="C5329" s="1">
        <v>44083</v>
      </c>
      <c r="D5329" t="b">
        <v>1</v>
      </c>
      <c r="E5329" t="s">
        <v>10</v>
      </c>
      <c r="F5329">
        <v>4496</v>
      </c>
    </row>
    <row r="5330" spans="1:6" x14ac:dyDescent="0.25">
      <c r="A5330" t="s">
        <v>9987</v>
      </c>
      <c r="B5330" t="s">
        <v>9988</v>
      </c>
      <c r="C5330" s="1">
        <v>44083</v>
      </c>
      <c r="D5330" t="b">
        <v>1</v>
      </c>
      <c r="E5330" t="s">
        <v>10</v>
      </c>
      <c r="F5330">
        <v>4497</v>
      </c>
    </row>
    <row r="5331" spans="1:6" x14ac:dyDescent="0.25">
      <c r="A5331" t="s">
        <v>9989</v>
      </c>
      <c r="B5331" t="s">
        <v>9990</v>
      </c>
      <c r="C5331" s="1">
        <v>44083</v>
      </c>
      <c r="D5331" t="b">
        <v>1</v>
      </c>
      <c r="E5331" t="s">
        <v>10</v>
      </c>
      <c r="F5331">
        <v>4498</v>
      </c>
    </row>
    <row r="5332" spans="1:6" x14ac:dyDescent="0.25">
      <c r="A5332" t="s">
        <v>9991</v>
      </c>
      <c r="B5332" t="s">
        <v>9992</v>
      </c>
      <c r="C5332" s="1">
        <v>44083</v>
      </c>
      <c r="D5332" t="b">
        <v>1</v>
      </c>
      <c r="E5332" t="s">
        <v>10</v>
      </c>
      <c r="F5332">
        <v>4499</v>
      </c>
    </row>
    <row r="5333" spans="1:6" x14ac:dyDescent="0.25">
      <c r="A5333" t="s">
        <v>9993</v>
      </c>
      <c r="B5333" t="s">
        <v>9994</v>
      </c>
      <c r="C5333" s="1">
        <v>44083</v>
      </c>
      <c r="D5333" t="b">
        <v>1</v>
      </c>
      <c r="E5333" t="s">
        <v>10</v>
      </c>
      <c r="F5333">
        <v>15875</v>
      </c>
    </row>
    <row r="5334" spans="1:6" x14ac:dyDescent="0.25">
      <c r="A5334" t="s">
        <v>9995</v>
      </c>
      <c r="B5334" t="s">
        <v>9996</v>
      </c>
      <c r="C5334" s="1">
        <v>44083</v>
      </c>
      <c r="D5334" t="b">
        <v>1</v>
      </c>
      <c r="E5334" t="s">
        <v>10</v>
      </c>
      <c r="F5334">
        <v>15220</v>
      </c>
    </row>
    <row r="5335" spans="1:6" x14ac:dyDescent="0.25">
      <c r="A5335" t="s">
        <v>9997</v>
      </c>
      <c r="B5335" t="s">
        <v>9998</v>
      </c>
      <c r="C5335" s="1">
        <v>44083</v>
      </c>
      <c r="D5335" t="b">
        <v>1</v>
      </c>
      <c r="E5335" t="s">
        <v>10</v>
      </c>
      <c r="F5335">
        <v>4500</v>
      </c>
    </row>
    <row r="5336" spans="1:6" x14ac:dyDescent="0.25">
      <c r="A5336" t="s">
        <v>9999</v>
      </c>
      <c r="B5336" t="s">
        <v>10000</v>
      </c>
      <c r="C5336" s="1">
        <v>44083</v>
      </c>
      <c r="D5336" t="b">
        <v>1</v>
      </c>
      <c r="E5336" t="s">
        <v>10</v>
      </c>
      <c r="F5336">
        <v>16125</v>
      </c>
    </row>
    <row r="5337" spans="1:6" x14ac:dyDescent="0.25">
      <c r="A5337" t="s">
        <v>10001</v>
      </c>
      <c r="B5337" t="s">
        <v>10002</v>
      </c>
      <c r="C5337" s="1">
        <v>44083</v>
      </c>
      <c r="D5337" t="b">
        <v>1</v>
      </c>
      <c r="E5337" t="s">
        <v>10</v>
      </c>
      <c r="F5337">
        <v>4504</v>
      </c>
    </row>
    <row r="5338" spans="1:6" x14ac:dyDescent="0.25">
      <c r="A5338" t="s">
        <v>10003</v>
      </c>
      <c r="B5338" t="s">
        <v>10004</v>
      </c>
      <c r="C5338" s="1">
        <v>44083</v>
      </c>
      <c r="D5338" t="b">
        <v>1</v>
      </c>
      <c r="E5338" t="s">
        <v>10</v>
      </c>
      <c r="F5338">
        <v>9493</v>
      </c>
    </row>
    <row r="5339" spans="1:6" x14ac:dyDescent="0.25">
      <c r="A5339" t="s">
        <v>10005</v>
      </c>
      <c r="B5339" t="s">
        <v>10006</v>
      </c>
      <c r="C5339" s="1">
        <v>44083</v>
      </c>
      <c r="D5339" t="b">
        <v>1</v>
      </c>
      <c r="E5339" t="s">
        <v>10</v>
      </c>
      <c r="F5339">
        <v>4507</v>
      </c>
    </row>
    <row r="5340" spans="1:6" x14ac:dyDescent="0.25">
      <c r="A5340" t="s">
        <v>10007</v>
      </c>
      <c r="B5340" t="s">
        <v>10008</v>
      </c>
      <c r="C5340" s="1">
        <v>44083</v>
      </c>
      <c r="D5340" t="b">
        <v>1</v>
      </c>
      <c r="E5340" t="s">
        <v>10</v>
      </c>
      <c r="F5340">
        <v>14454</v>
      </c>
    </row>
    <row r="5341" spans="1:6" x14ac:dyDescent="0.25">
      <c r="A5341" t="s">
        <v>10009</v>
      </c>
      <c r="B5341" t="s">
        <v>10010</v>
      </c>
      <c r="C5341" s="1">
        <v>44083</v>
      </c>
      <c r="D5341" t="b">
        <v>1</v>
      </c>
      <c r="E5341" t="s">
        <v>10</v>
      </c>
      <c r="F5341">
        <v>15797</v>
      </c>
    </row>
    <row r="5342" spans="1:6" x14ac:dyDescent="0.25">
      <c r="A5342" t="s">
        <v>10011</v>
      </c>
      <c r="B5342" t="s">
        <v>10012</v>
      </c>
      <c r="C5342" s="1">
        <v>44083</v>
      </c>
      <c r="D5342" t="b">
        <v>1</v>
      </c>
      <c r="E5342" t="s">
        <v>10</v>
      </c>
      <c r="F5342">
        <v>4509</v>
      </c>
    </row>
    <row r="5343" spans="1:6" x14ac:dyDescent="0.25">
      <c r="A5343" t="s">
        <v>10013</v>
      </c>
      <c r="B5343" t="s">
        <v>10014</v>
      </c>
      <c r="C5343" s="1">
        <v>44083</v>
      </c>
      <c r="D5343" t="b">
        <v>1</v>
      </c>
      <c r="E5343" t="s">
        <v>10</v>
      </c>
      <c r="F5343">
        <v>4510</v>
      </c>
    </row>
    <row r="5344" spans="1:6" x14ac:dyDescent="0.25">
      <c r="A5344" t="s">
        <v>10015</v>
      </c>
      <c r="B5344" t="s">
        <v>10016</v>
      </c>
      <c r="C5344" s="1">
        <v>44083</v>
      </c>
      <c r="D5344" t="b">
        <v>1</v>
      </c>
      <c r="E5344" t="s">
        <v>10</v>
      </c>
      <c r="F5344">
        <v>4511</v>
      </c>
    </row>
    <row r="5345" spans="1:6" x14ac:dyDescent="0.25">
      <c r="A5345" t="s">
        <v>10017</v>
      </c>
      <c r="B5345" t="s">
        <v>10018</v>
      </c>
      <c r="C5345" s="1">
        <v>44083</v>
      </c>
      <c r="D5345" t="b">
        <v>1</v>
      </c>
      <c r="E5345" t="s">
        <v>10</v>
      </c>
      <c r="F5345">
        <v>4512</v>
      </c>
    </row>
    <row r="5346" spans="1:6" x14ac:dyDescent="0.25">
      <c r="A5346" t="s">
        <v>10019</v>
      </c>
      <c r="B5346" t="s">
        <v>10020</v>
      </c>
      <c r="C5346" s="1">
        <v>44083</v>
      </c>
      <c r="D5346" t="b">
        <v>1</v>
      </c>
      <c r="E5346" t="s">
        <v>10</v>
      </c>
      <c r="F5346">
        <v>10298</v>
      </c>
    </row>
    <row r="5347" spans="1:6" x14ac:dyDescent="0.25">
      <c r="A5347" t="s">
        <v>10021</v>
      </c>
      <c r="B5347" t="s">
        <v>10022</v>
      </c>
      <c r="C5347" s="1">
        <v>44083</v>
      </c>
      <c r="D5347" t="b">
        <v>1</v>
      </c>
      <c r="E5347" t="s">
        <v>10</v>
      </c>
      <c r="F5347">
        <v>16305</v>
      </c>
    </row>
    <row r="5348" spans="1:6" x14ac:dyDescent="0.25">
      <c r="A5348" t="s">
        <v>10023</v>
      </c>
      <c r="B5348" t="s">
        <v>10024</v>
      </c>
      <c r="C5348" s="1">
        <v>44083</v>
      </c>
      <c r="D5348" t="b">
        <v>1</v>
      </c>
      <c r="E5348" t="s">
        <v>10</v>
      </c>
      <c r="F5348">
        <v>13993</v>
      </c>
    </row>
    <row r="5349" spans="1:6" x14ac:dyDescent="0.25">
      <c r="A5349" t="s">
        <v>10025</v>
      </c>
      <c r="B5349" t="s">
        <v>10026</v>
      </c>
      <c r="C5349" s="1">
        <v>44083</v>
      </c>
      <c r="D5349" t="b">
        <v>1</v>
      </c>
      <c r="E5349" t="s">
        <v>10</v>
      </c>
      <c r="F5349">
        <v>4514</v>
      </c>
    </row>
    <row r="5350" spans="1:6" x14ac:dyDescent="0.25">
      <c r="A5350" t="s">
        <v>10027</v>
      </c>
      <c r="B5350" t="s">
        <v>10028</v>
      </c>
      <c r="C5350" s="1">
        <v>44083</v>
      </c>
      <c r="D5350" t="b">
        <v>1</v>
      </c>
      <c r="E5350" t="s">
        <v>10</v>
      </c>
      <c r="F5350">
        <v>12095</v>
      </c>
    </row>
    <row r="5351" spans="1:6" x14ac:dyDescent="0.25">
      <c r="A5351" t="s">
        <v>10029</v>
      </c>
      <c r="B5351" t="s">
        <v>10030</v>
      </c>
      <c r="C5351" s="1">
        <v>44083</v>
      </c>
      <c r="D5351" t="b">
        <v>1</v>
      </c>
      <c r="E5351" t="s">
        <v>10</v>
      </c>
      <c r="F5351">
        <v>4517</v>
      </c>
    </row>
    <row r="5352" spans="1:6" x14ac:dyDescent="0.25">
      <c r="A5352" t="s">
        <v>10031</v>
      </c>
      <c r="B5352" t="s">
        <v>10032</v>
      </c>
      <c r="C5352" s="1">
        <v>44083</v>
      </c>
      <c r="D5352" t="b">
        <v>1</v>
      </c>
      <c r="E5352" t="s">
        <v>10</v>
      </c>
      <c r="F5352">
        <v>4518</v>
      </c>
    </row>
    <row r="5353" spans="1:6" x14ac:dyDescent="0.25">
      <c r="A5353" t="s">
        <v>10033</v>
      </c>
      <c r="B5353" t="s">
        <v>10034</v>
      </c>
      <c r="C5353" s="1">
        <v>44083</v>
      </c>
      <c r="D5353" t="b">
        <v>1</v>
      </c>
      <c r="E5353" t="s">
        <v>10</v>
      </c>
      <c r="F5353">
        <v>4520</v>
      </c>
    </row>
    <row r="5354" spans="1:6" x14ac:dyDescent="0.25">
      <c r="A5354" t="s">
        <v>10035</v>
      </c>
      <c r="B5354" t="s">
        <v>10036</v>
      </c>
      <c r="C5354" s="1">
        <v>44083</v>
      </c>
      <c r="D5354" t="b">
        <v>1</v>
      </c>
      <c r="E5354" t="s">
        <v>10</v>
      </c>
      <c r="F5354">
        <v>4521</v>
      </c>
    </row>
    <row r="5355" spans="1:6" x14ac:dyDescent="0.25">
      <c r="A5355" t="s">
        <v>10037</v>
      </c>
      <c r="B5355" t="s">
        <v>10038</v>
      </c>
      <c r="C5355" s="1">
        <v>44083</v>
      </c>
      <c r="D5355" t="b">
        <v>1</v>
      </c>
      <c r="E5355" t="s">
        <v>10</v>
      </c>
      <c r="F5355">
        <v>4526</v>
      </c>
    </row>
    <row r="5356" spans="1:6" x14ac:dyDescent="0.25">
      <c r="A5356" t="s">
        <v>10039</v>
      </c>
      <c r="B5356" t="s">
        <v>10040</v>
      </c>
      <c r="C5356" s="1">
        <v>44083</v>
      </c>
      <c r="D5356" t="b">
        <v>1</v>
      </c>
      <c r="E5356" t="s">
        <v>10</v>
      </c>
      <c r="F5356">
        <v>4529</v>
      </c>
    </row>
    <row r="5357" spans="1:6" x14ac:dyDescent="0.25">
      <c r="A5357" t="s">
        <v>10041</v>
      </c>
      <c r="B5357" t="s">
        <v>10042</v>
      </c>
      <c r="C5357" s="1">
        <v>44083</v>
      </c>
      <c r="D5357" t="b">
        <v>1</v>
      </c>
      <c r="E5357" t="s">
        <v>10</v>
      </c>
      <c r="F5357">
        <v>4530</v>
      </c>
    </row>
    <row r="5358" spans="1:6" x14ac:dyDescent="0.25">
      <c r="A5358" t="s">
        <v>10043</v>
      </c>
      <c r="B5358" t="s">
        <v>10044</v>
      </c>
      <c r="C5358" s="1">
        <v>44083</v>
      </c>
      <c r="D5358" t="b">
        <v>1</v>
      </c>
      <c r="E5358" t="s">
        <v>10</v>
      </c>
      <c r="F5358">
        <v>4531</v>
      </c>
    </row>
    <row r="5359" spans="1:6" x14ac:dyDescent="0.25">
      <c r="A5359" t="s">
        <v>10045</v>
      </c>
      <c r="B5359" t="s">
        <v>10046</v>
      </c>
      <c r="C5359" s="1">
        <v>44083</v>
      </c>
      <c r="D5359" t="b">
        <v>1</v>
      </c>
      <c r="E5359" t="s">
        <v>10</v>
      </c>
      <c r="F5359">
        <v>4532</v>
      </c>
    </row>
    <row r="5360" spans="1:6" x14ac:dyDescent="0.25">
      <c r="A5360" t="s">
        <v>10047</v>
      </c>
      <c r="B5360" t="s">
        <v>10048</v>
      </c>
      <c r="C5360" s="1">
        <v>44083</v>
      </c>
      <c r="D5360" t="b">
        <v>1</v>
      </c>
      <c r="E5360" t="s">
        <v>10</v>
      </c>
      <c r="F5360">
        <v>4533</v>
      </c>
    </row>
    <row r="5361" spans="1:6" x14ac:dyDescent="0.25">
      <c r="A5361" t="s">
        <v>10049</v>
      </c>
      <c r="B5361" t="s">
        <v>9721</v>
      </c>
      <c r="C5361" s="1">
        <v>44083</v>
      </c>
      <c r="D5361" t="b">
        <v>1</v>
      </c>
      <c r="E5361" t="s">
        <v>10</v>
      </c>
      <c r="F5361">
        <v>4534</v>
      </c>
    </row>
    <row r="5362" spans="1:6" x14ac:dyDescent="0.25">
      <c r="A5362" t="s">
        <v>10050</v>
      </c>
      <c r="B5362" t="s">
        <v>10051</v>
      </c>
      <c r="C5362" s="1">
        <v>44083</v>
      </c>
      <c r="D5362" t="b">
        <v>1</v>
      </c>
      <c r="E5362" t="s">
        <v>10</v>
      </c>
      <c r="F5362">
        <v>8596</v>
      </c>
    </row>
    <row r="5363" spans="1:6" x14ac:dyDescent="0.25">
      <c r="A5363" t="s">
        <v>10052</v>
      </c>
      <c r="B5363" t="s">
        <v>10053</v>
      </c>
      <c r="C5363" s="1">
        <v>44083</v>
      </c>
      <c r="D5363" t="b">
        <v>1</v>
      </c>
      <c r="E5363" t="s">
        <v>10</v>
      </c>
      <c r="F5363">
        <v>11893</v>
      </c>
    </row>
    <row r="5364" spans="1:6" x14ac:dyDescent="0.25">
      <c r="A5364" t="s">
        <v>10054</v>
      </c>
      <c r="B5364" t="s">
        <v>10055</v>
      </c>
      <c r="C5364" s="1">
        <v>44083</v>
      </c>
      <c r="D5364" t="b">
        <v>1</v>
      </c>
      <c r="E5364" t="s">
        <v>10</v>
      </c>
      <c r="F5364">
        <v>13721</v>
      </c>
    </row>
    <row r="5365" spans="1:6" x14ac:dyDescent="0.25">
      <c r="A5365" t="s">
        <v>10056</v>
      </c>
      <c r="B5365" t="s">
        <v>10057</v>
      </c>
      <c r="C5365" s="1">
        <v>44083</v>
      </c>
      <c r="D5365" t="b">
        <v>1</v>
      </c>
      <c r="E5365" t="s">
        <v>10</v>
      </c>
      <c r="F5365">
        <v>4536</v>
      </c>
    </row>
    <row r="5366" spans="1:6" x14ac:dyDescent="0.25">
      <c r="A5366" t="s">
        <v>10058</v>
      </c>
      <c r="B5366" t="s">
        <v>10059</v>
      </c>
      <c r="C5366" s="1">
        <v>44083</v>
      </c>
      <c r="D5366" t="b">
        <v>1</v>
      </c>
      <c r="E5366" t="s">
        <v>10</v>
      </c>
      <c r="F5366">
        <v>4537</v>
      </c>
    </row>
    <row r="5367" spans="1:6" x14ac:dyDescent="0.25">
      <c r="A5367" t="s">
        <v>10060</v>
      </c>
      <c r="C5367" s="1">
        <v>44083</v>
      </c>
      <c r="D5367" t="b">
        <v>1</v>
      </c>
      <c r="E5367" t="s">
        <v>10</v>
      </c>
      <c r="F5367">
        <v>15041</v>
      </c>
    </row>
    <row r="5368" spans="1:6" x14ac:dyDescent="0.25">
      <c r="A5368" t="s">
        <v>10061</v>
      </c>
      <c r="B5368" t="s">
        <v>10062</v>
      </c>
      <c r="C5368" s="1">
        <v>44083</v>
      </c>
      <c r="D5368" t="b">
        <v>1</v>
      </c>
      <c r="E5368" t="s">
        <v>10</v>
      </c>
      <c r="F5368">
        <v>4538</v>
      </c>
    </row>
    <row r="5369" spans="1:6" x14ac:dyDescent="0.25">
      <c r="A5369" t="s">
        <v>10063</v>
      </c>
      <c r="B5369" t="s">
        <v>10064</v>
      </c>
      <c r="C5369" s="1">
        <v>44083</v>
      </c>
      <c r="D5369" t="b">
        <v>1</v>
      </c>
      <c r="E5369" t="s">
        <v>10</v>
      </c>
      <c r="F5369">
        <v>14289</v>
      </c>
    </row>
    <row r="5370" spans="1:6" x14ac:dyDescent="0.25">
      <c r="A5370" t="s">
        <v>10065</v>
      </c>
      <c r="B5370" t="s">
        <v>10066</v>
      </c>
      <c r="C5370" s="1">
        <v>44083</v>
      </c>
      <c r="D5370" t="b">
        <v>1</v>
      </c>
      <c r="E5370" t="s">
        <v>10</v>
      </c>
      <c r="F5370">
        <v>4541</v>
      </c>
    </row>
    <row r="5371" spans="1:6" x14ac:dyDescent="0.25">
      <c r="A5371" t="s">
        <v>10067</v>
      </c>
      <c r="B5371" t="s">
        <v>10068</v>
      </c>
      <c r="C5371" s="1">
        <v>44083</v>
      </c>
      <c r="D5371" t="b">
        <v>1</v>
      </c>
      <c r="E5371" t="s">
        <v>10</v>
      </c>
      <c r="F5371">
        <v>4543</v>
      </c>
    </row>
    <row r="5372" spans="1:6" x14ac:dyDescent="0.25">
      <c r="A5372" t="s">
        <v>10069</v>
      </c>
      <c r="B5372" t="s">
        <v>10070</v>
      </c>
      <c r="C5372" s="1">
        <v>44083</v>
      </c>
      <c r="D5372" t="b">
        <v>1</v>
      </c>
      <c r="E5372" t="s">
        <v>10</v>
      </c>
      <c r="F5372">
        <v>4544</v>
      </c>
    </row>
    <row r="5373" spans="1:6" x14ac:dyDescent="0.25">
      <c r="A5373" t="s">
        <v>10071</v>
      </c>
      <c r="B5373" t="s">
        <v>10072</v>
      </c>
      <c r="C5373" s="1">
        <v>44083</v>
      </c>
      <c r="D5373" t="b">
        <v>1</v>
      </c>
      <c r="E5373" t="s">
        <v>10</v>
      </c>
      <c r="F5373">
        <v>12071</v>
      </c>
    </row>
    <row r="5374" spans="1:6" x14ac:dyDescent="0.25">
      <c r="A5374" t="s">
        <v>10073</v>
      </c>
      <c r="B5374" t="s">
        <v>10074</v>
      </c>
      <c r="C5374" s="1">
        <v>44083</v>
      </c>
      <c r="D5374" t="b">
        <v>1</v>
      </c>
      <c r="E5374" t="s">
        <v>10</v>
      </c>
      <c r="F5374">
        <v>4545</v>
      </c>
    </row>
    <row r="5375" spans="1:6" x14ac:dyDescent="0.25">
      <c r="A5375" t="s">
        <v>10075</v>
      </c>
      <c r="B5375" t="s">
        <v>10076</v>
      </c>
      <c r="C5375" s="1">
        <v>44083</v>
      </c>
      <c r="D5375" t="b">
        <v>1</v>
      </c>
      <c r="E5375" t="s">
        <v>10</v>
      </c>
      <c r="F5375">
        <v>15228</v>
      </c>
    </row>
    <row r="5376" spans="1:6" x14ac:dyDescent="0.25">
      <c r="A5376" t="s">
        <v>10077</v>
      </c>
      <c r="B5376" t="s">
        <v>10078</v>
      </c>
      <c r="C5376" s="1">
        <v>44083</v>
      </c>
      <c r="D5376" t="b">
        <v>1</v>
      </c>
      <c r="E5376" t="s">
        <v>10</v>
      </c>
      <c r="F5376">
        <v>8628</v>
      </c>
    </row>
    <row r="5377" spans="1:6" x14ac:dyDescent="0.25">
      <c r="A5377" t="s">
        <v>10079</v>
      </c>
      <c r="B5377" t="s">
        <v>10080</v>
      </c>
      <c r="C5377" s="1">
        <v>44083</v>
      </c>
      <c r="D5377" t="b">
        <v>1</v>
      </c>
      <c r="E5377" t="s">
        <v>10</v>
      </c>
      <c r="F5377">
        <v>4546</v>
      </c>
    </row>
    <row r="5378" spans="1:6" x14ac:dyDescent="0.25">
      <c r="A5378" t="s">
        <v>10081</v>
      </c>
      <c r="B5378" t="s">
        <v>10082</v>
      </c>
      <c r="C5378" s="1">
        <v>44083</v>
      </c>
      <c r="D5378" t="b">
        <v>1</v>
      </c>
      <c r="E5378" t="s">
        <v>10</v>
      </c>
      <c r="F5378">
        <v>16608</v>
      </c>
    </row>
    <row r="5379" spans="1:6" x14ac:dyDescent="0.25">
      <c r="A5379" t="s">
        <v>10083</v>
      </c>
      <c r="B5379" t="s">
        <v>10084</v>
      </c>
      <c r="C5379" s="1">
        <v>44083</v>
      </c>
      <c r="D5379" t="b">
        <v>1</v>
      </c>
      <c r="E5379" t="s">
        <v>10</v>
      </c>
      <c r="F5379">
        <v>12985</v>
      </c>
    </row>
    <row r="5380" spans="1:6" x14ac:dyDescent="0.25">
      <c r="A5380" t="s">
        <v>10085</v>
      </c>
      <c r="B5380" t="s">
        <v>10086</v>
      </c>
      <c r="C5380" s="1">
        <v>44083</v>
      </c>
      <c r="D5380" t="b">
        <v>1</v>
      </c>
      <c r="E5380" t="s">
        <v>10</v>
      </c>
      <c r="F5380">
        <v>4547</v>
      </c>
    </row>
    <row r="5381" spans="1:6" x14ac:dyDescent="0.25">
      <c r="A5381" t="s">
        <v>10087</v>
      </c>
      <c r="B5381" t="s">
        <v>10088</v>
      </c>
      <c r="C5381" s="1">
        <v>44083</v>
      </c>
      <c r="D5381" t="b">
        <v>1</v>
      </c>
      <c r="E5381" t="s">
        <v>10</v>
      </c>
      <c r="F5381">
        <v>4548</v>
      </c>
    </row>
    <row r="5382" spans="1:6" x14ac:dyDescent="0.25">
      <c r="A5382" t="s">
        <v>10089</v>
      </c>
      <c r="B5382" t="s">
        <v>10090</v>
      </c>
      <c r="C5382" s="1">
        <v>44083</v>
      </c>
      <c r="D5382" t="b">
        <v>1</v>
      </c>
      <c r="E5382" t="s">
        <v>10</v>
      </c>
      <c r="F5382">
        <v>11389</v>
      </c>
    </row>
    <row r="5383" spans="1:6" x14ac:dyDescent="0.25">
      <c r="A5383" t="s">
        <v>10091</v>
      </c>
      <c r="B5383" t="s">
        <v>10092</v>
      </c>
      <c r="C5383" s="1">
        <v>44083</v>
      </c>
      <c r="D5383" t="b">
        <v>1</v>
      </c>
      <c r="E5383" t="s">
        <v>10</v>
      </c>
      <c r="F5383">
        <v>4549</v>
      </c>
    </row>
    <row r="5384" spans="1:6" x14ac:dyDescent="0.25">
      <c r="A5384" t="s">
        <v>10093</v>
      </c>
      <c r="B5384" t="s">
        <v>10094</v>
      </c>
      <c r="C5384" s="1">
        <v>44083</v>
      </c>
      <c r="D5384" t="b">
        <v>1</v>
      </c>
      <c r="E5384" t="s">
        <v>10</v>
      </c>
      <c r="F5384">
        <v>4550</v>
      </c>
    </row>
    <row r="5385" spans="1:6" x14ac:dyDescent="0.25">
      <c r="A5385" t="s">
        <v>10095</v>
      </c>
      <c r="C5385" s="1">
        <v>44083</v>
      </c>
      <c r="D5385" t="b">
        <v>1</v>
      </c>
      <c r="E5385" t="s">
        <v>10</v>
      </c>
      <c r="F5385">
        <v>4551</v>
      </c>
    </row>
    <row r="5386" spans="1:6" x14ac:dyDescent="0.25">
      <c r="A5386" t="s">
        <v>10096</v>
      </c>
      <c r="C5386" s="1">
        <v>44083</v>
      </c>
      <c r="D5386" t="b">
        <v>1</v>
      </c>
      <c r="E5386" t="s">
        <v>10</v>
      </c>
      <c r="F5386">
        <v>7888</v>
      </c>
    </row>
    <row r="5387" spans="1:6" x14ac:dyDescent="0.25">
      <c r="A5387" t="s">
        <v>10097</v>
      </c>
      <c r="C5387" s="1">
        <v>44083</v>
      </c>
      <c r="D5387" t="b">
        <v>1</v>
      </c>
      <c r="E5387" t="s">
        <v>10</v>
      </c>
      <c r="F5387">
        <v>8162</v>
      </c>
    </row>
    <row r="5388" spans="1:6" x14ac:dyDescent="0.25">
      <c r="A5388" t="s">
        <v>10098</v>
      </c>
      <c r="C5388" s="1">
        <v>44083</v>
      </c>
      <c r="D5388" t="b">
        <v>1</v>
      </c>
      <c r="E5388" t="s">
        <v>10</v>
      </c>
      <c r="F5388">
        <v>9312</v>
      </c>
    </row>
    <row r="5389" spans="1:6" x14ac:dyDescent="0.25">
      <c r="A5389" t="s">
        <v>10099</v>
      </c>
      <c r="C5389" s="1">
        <v>44083</v>
      </c>
      <c r="D5389" t="b">
        <v>1</v>
      </c>
      <c r="E5389" t="s">
        <v>10</v>
      </c>
      <c r="F5389">
        <v>12364</v>
      </c>
    </row>
    <row r="5390" spans="1:6" x14ac:dyDescent="0.25">
      <c r="A5390" t="s">
        <v>10100</v>
      </c>
      <c r="C5390" s="1">
        <v>44083</v>
      </c>
      <c r="D5390" t="b">
        <v>1</v>
      </c>
      <c r="E5390" t="s">
        <v>10</v>
      </c>
      <c r="F5390">
        <v>16333</v>
      </c>
    </row>
    <row r="5391" spans="1:6" x14ac:dyDescent="0.25">
      <c r="A5391" t="s">
        <v>10101</v>
      </c>
      <c r="B5391" t="s">
        <v>10102</v>
      </c>
      <c r="C5391" s="1">
        <v>44083</v>
      </c>
      <c r="D5391" t="b">
        <v>1</v>
      </c>
      <c r="E5391" t="s">
        <v>10</v>
      </c>
      <c r="F5391">
        <v>4552</v>
      </c>
    </row>
    <row r="5392" spans="1:6" x14ac:dyDescent="0.25">
      <c r="A5392" t="s">
        <v>10103</v>
      </c>
      <c r="B5392" t="s">
        <v>10104</v>
      </c>
      <c r="C5392" s="1">
        <v>44083</v>
      </c>
      <c r="D5392" t="b">
        <v>1</v>
      </c>
      <c r="E5392" t="s">
        <v>10</v>
      </c>
      <c r="F5392">
        <v>4553</v>
      </c>
    </row>
    <row r="5393" spans="1:6" x14ac:dyDescent="0.25">
      <c r="A5393" t="s">
        <v>10105</v>
      </c>
      <c r="B5393" t="s">
        <v>10106</v>
      </c>
      <c r="C5393" s="1">
        <v>44083</v>
      </c>
      <c r="D5393" t="b">
        <v>1</v>
      </c>
      <c r="E5393" t="s">
        <v>10</v>
      </c>
      <c r="F5393">
        <v>4555</v>
      </c>
    </row>
    <row r="5394" spans="1:6" x14ac:dyDescent="0.25">
      <c r="A5394" t="s">
        <v>10107</v>
      </c>
      <c r="B5394" t="s">
        <v>10108</v>
      </c>
      <c r="C5394" s="1">
        <v>44083</v>
      </c>
      <c r="D5394" t="b">
        <v>1</v>
      </c>
      <c r="E5394" t="s">
        <v>10</v>
      </c>
      <c r="F5394">
        <v>14997</v>
      </c>
    </row>
    <row r="5395" spans="1:6" x14ac:dyDescent="0.25">
      <c r="A5395" t="s">
        <v>10109</v>
      </c>
      <c r="B5395" t="s">
        <v>10110</v>
      </c>
      <c r="C5395" s="1">
        <v>44083</v>
      </c>
      <c r="D5395" t="b">
        <v>1</v>
      </c>
      <c r="E5395" t="s">
        <v>10</v>
      </c>
      <c r="F5395">
        <v>4558</v>
      </c>
    </row>
    <row r="5396" spans="1:6" x14ac:dyDescent="0.25">
      <c r="A5396" t="s">
        <v>10111</v>
      </c>
      <c r="B5396" t="s">
        <v>10112</v>
      </c>
      <c r="C5396" s="1">
        <v>44083</v>
      </c>
      <c r="D5396" t="b">
        <v>1</v>
      </c>
      <c r="E5396" t="s">
        <v>10</v>
      </c>
      <c r="F5396">
        <v>4559</v>
      </c>
    </row>
    <row r="5397" spans="1:6" x14ac:dyDescent="0.25">
      <c r="A5397" t="s">
        <v>10113</v>
      </c>
      <c r="B5397" t="s">
        <v>10114</v>
      </c>
      <c r="C5397" s="1">
        <v>44083</v>
      </c>
      <c r="D5397" t="b">
        <v>1</v>
      </c>
      <c r="E5397" t="s">
        <v>10</v>
      </c>
      <c r="F5397">
        <v>4560</v>
      </c>
    </row>
    <row r="5398" spans="1:6" x14ac:dyDescent="0.25">
      <c r="A5398" t="s">
        <v>10115</v>
      </c>
      <c r="B5398" t="s">
        <v>10116</v>
      </c>
      <c r="C5398" s="1">
        <v>44083</v>
      </c>
      <c r="D5398" t="b">
        <v>1</v>
      </c>
      <c r="E5398" t="s">
        <v>10</v>
      </c>
      <c r="F5398">
        <v>4563</v>
      </c>
    </row>
    <row r="5399" spans="1:6" x14ac:dyDescent="0.25">
      <c r="A5399" t="s">
        <v>10117</v>
      </c>
      <c r="B5399" t="s">
        <v>10118</v>
      </c>
      <c r="C5399" s="1">
        <v>44083</v>
      </c>
      <c r="D5399" t="b">
        <v>1</v>
      </c>
      <c r="E5399" t="s">
        <v>10</v>
      </c>
      <c r="F5399">
        <v>16672</v>
      </c>
    </row>
    <row r="5400" spans="1:6" x14ac:dyDescent="0.25">
      <c r="A5400" t="s">
        <v>10119</v>
      </c>
      <c r="B5400" t="s">
        <v>10120</v>
      </c>
      <c r="C5400" s="1">
        <v>44083</v>
      </c>
      <c r="D5400" t="b">
        <v>1</v>
      </c>
      <c r="E5400" t="s">
        <v>10</v>
      </c>
      <c r="F5400">
        <v>4564</v>
      </c>
    </row>
    <row r="5401" spans="1:6" x14ac:dyDescent="0.25">
      <c r="A5401" t="s">
        <v>10121</v>
      </c>
      <c r="B5401" t="s">
        <v>10122</v>
      </c>
      <c r="C5401" s="1">
        <v>44083</v>
      </c>
      <c r="D5401" t="b">
        <v>1</v>
      </c>
      <c r="E5401" t="s">
        <v>10</v>
      </c>
      <c r="F5401">
        <v>10548</v>
      </c>
    </row>
    <row r="5402" spans="1:6" x14ac:dyDescent="0.25">
      <c r="A5402" t="s">
        <v>10123</v>
      </c>
      <c r="B5402" t="s">
        <v>10124</v>
      </c>
      <c r="C5402" s="1">
        <v>44083</v>
      </c>
      <c r="D5402" t="b">
        <v>1</v>
      </c>
      <c r="E5402" t="s">
        <v>10</v>
      </c>
      <c r="F5402">
        <v>4565</v>
      </c>
    </row>
    <row r="5403" spans="1:6" x14ac:dyDescent="0.25">
      <c r="A5403" t="s">
        <v>10125</v>
      </c>
      <c r="B5403" t="s">
        <v>10126</v>
      </c>
      <c r="C5403" s="1">
        <v>44083</v>
      </c>
      <c r="D5403" t="b">
        <v>1</v>
      </c>
      <c r="E5403" t="s">
        <v>10</v>
      </c>
      <c r="F5403">
        <v>4570</v>
      </c>
    </row>
    <row r="5404" spans="1:6" x14ac:dyDescent="0.25">
      <c r="A5404" t="s">
        <v>10127</v>
      </c>
      <c r="B5404" t="s">
        <v>10128</v>
      </c>
      <c r="C5404" s="1">
        <v>44083</v>
      </c>
      <c r="D5404" t="b">
        <v>1</v>
      </c>
      <c r="E5404" t="s">
        <v>10</v>
      </c>
      <c r="F5404">
        <v>4571</v>
      </c>
    </row>
    <row r="5405" spans="1:6" x14ac:dyDescent="0.25">
      <c r="A5405" t="s">
        <v>10129</v>
      </c>
      <c r="B5405" t="s">
        <v>10130</v>
      </c>
      <c r="C5405" s="1">
        <v>44083</v>
      </c>
      <c r="D5405" t="b">
        <v>1</v>
      </c>
      <c r="E5405" t="s">
        <v>10</v>
      </c>
      <c r="F5405">
        <v>16137</v>
      </c>
    </row>
    <row r="5406" spans="1:6" x14ac:dyDescent="0.25">
      <c r="A5406" t="s">
        <v>10131</v>
      </c>
      <c r="B5406" t="s">
        <v>10132</v>
      </c>
      <c r="C5406" s="1">
        <v>44083</v>
      </c>
      <c r="D5406" t="b">
        <v>0</v>
      </c>
      <c r="E5406" t="s">
        <v>10</v>
      </c>
      <c r="F5406">
        <v>17174</v>
      </c>
    </row>
    <row r="5407" spans="1:6" x14ac:dyDescent="0.25">
      <c r="A5407" t="s">
        <v>10133</v>
      </c>
      <c r="B5407" t="s">
        <v>10134</v>
      </c>
      <c r="C5407" s="1">
        <v>44083</v>
      </c>
      <c r="D5407" t="b">
        <v>1</v>
      </c>
      <c r="E5407" t="s">
        <v>10</v>
      </c>
      <c r="F5407">
        <v>4576</v>
      </c>
    </row>
    <row r="5408" spans="1:6" x14ac:dyDescent="0.25">
      <c r="A5408" t="s">
        <v>10135</v>
      </c>
      <c r="B5408" t="s">
        <v>10136</v>
      </c>
      <c r="C5408" s="1">
        <v>44083</v>
      </c>
      <c r="D5408" t="b">
        <v>1</v>
      </c>
      <c r="E5408" t="s">
        <v>10</v>
      </c>
      <c r="F5408">
        <v>14820</v>
      </c>
    </row>
    <row r="5409" spans="1:6" x14ac:dyDescent="0.25">
      <c r="A5409" t="s">
        <v>10137</v>
      </c>
      <c r="B5409" t="s">
        <v>10138</v>
      </c>
      <c r="C5409" s="1">
        <v>44083</v>
      </c>
      <c r="D5409" t="b">
        <v>1</v>
      </c>
      <c r="E5409" t="s">
        <v>10</v>
      </c>
      <c r="F5409">
        <v>16513</v>
      </c>
    </row>
    <row r="5410" spans="1:6" x14ac:dyDescent="0.25">
      <c r="A5410" t="s">
        <v>10139</v>
      </c>
      <c r="B5410" t="s">
        <v>10140</v>
      </c>
      <c r="C5410" s="1">
        <v>44083</v>
      </c>
      <c r="D5410" t="b">
        <v>1</v>
      </c>
      <c r="E5410" t="s">
        <v>10</v>
      </c>
      <c r="F5410">
        <v>4580</v>
      </c>
    </row>
    <row r="5411" spans="1:6" x14ac:dyDescent="0.25">
      <c r="A5411" t="s">
        <v>10141</v>
      </c>
      <c r="B5411" t="s">
        <v>10142</v>
      </c>
      <c r="C5411" s="1">
        <v>44083</v>
      </c>
      <c r="D5411" t="b">
        <v>1</v>
      </c>
      <c r="E5411" t="s">
        <v>10</v>
      </c>
      <c r="F5411">
        <v>16444</v>
      </c>
    </row>
    <row r="5412" spans="1:6" x14ac:dyDescent="0.25">
      <c r="A5412" t="s">
        <v>10143</v>
      </c>
      <c r="B5412" t="s">
        <v>10144</v>
      </c>
      <c r="C5412" s="1">
        <v>44083</v>
      </c>
      <c r="D5412" t="b">
        <v>1</v>
      </c>
      <c r="E5412" t="s">
        <v>10</v>
      </c>
      <c r="F5412">
        <v>4581</v>
      </c>
    </row>
    <row r="5413" spans="1:6" x14ac:dyDescent="0.25">
      <c r="A5413" t="s">
        <v>10145</v>
      </c>
      <c r="B5413" t="s">
        <v>10146</v>
      </c>
      <c r="C5413" s="1">
        <v>44083</v>
      </c>
      <c r="D5413" t="b">
        <v>1</v>
      </c>
      <c r="E5413" t="s">
        <v>10</v>
      </c>
      <c r="F5413">
        <v>8410</v>
      </c>
    </row>
    <row r="5414" spans="1:6" x14ac:dyDescent="0.25">
      <c r="A5414" t="s">
        <v>10147</v>
      </c>
      <c r="C5414" s="1">
        <v>44083</v>
      </c>
      <c r="D5414" t="b">
        <v>1</v>
      </c>
      <c r="E5414" t="s">
        <v>10</v>
      </c>
      <c r="F5414">
        <v>10816</v>
      </c>
    </row>
    <row r="5415" spans="1:6" x14ac:dyDescent="0.25">
      <c r="A5415" t="s">
        <v>10148</v>
      </c>
      <c r="B5415" t="s">
        <v>10149</v>
      </c>
      <c r="C5415" s="1">
        <v>44083</v>
      </c>
      <c r="D5415" t="b">
        <v>1</v>
      </c>
      <c r="E5415" t="s">
        <v>10</v>
      </c>
      <c r="F5415">
        <v>15335</v>
      </c>
    </row>
    <row r="5416" spans="1:6" x14ac:dyDescent="0.25">
      <c r="A5416" t="s">
        <v>10150</v>
      </c>
      <c r="B5416" t="s">
        <v>10151</v>
      </c>
      <c r="C5416" s="1">
        <v>44083</v>
      </c>
      <c r="D5416" t="b">
        <v>1</v>
      </c>
      <c r="E5416" t="s">
        <v>10</v>
      </c>
      <c r="F5416">
        <v>16917</v>
      </c>
    </row>
    <row r="5417" spans="1:6" x14ac:dyDescent="0.25">
      <c r="A5417" t="s">
        <v>10152</v>
      </c>
      <c r="C5417" s="1">
        <v>44083</v>
      </c>
      <c r="D5417" t="b">
        <v>1</v>
      </c>
      <c r="E5417" t="s">
        <v>10</v>
      </c>
      <c r="F5417">
        <v>16758</v>
      </c>
    </row>
    <row r="5418" spans="1:6" x14ac:dyDescent="0.25">
      <c r="A5418" t="s">
        <v>10153</v>
      </c>
      <c r="B5418" t="s">
        <v>10154</v>
      </c>
      <c r="C5418" s="1">
        <v>44083</v>
      </c>
      <c r="D5418" t="b">
        <v>1</v>
      </c>
      <c r="E5418" t="s">
        <v>10</v>
      </c>
      <c r="F5418">
        <v>4585</v>
      </c>
    </row>
    <row r="5419" spans="1:6" x14ac:dyDescent="0.25">
      <c r="A5419" t="s">
        <v>10155</v>
      </c>
      <c r="B5419" t="s">
        <v>10156</v>
      </c>
      <c r="C5419" s="1">
        <v>44083</v>
      </c>
      <c r="D5419" t="b">
        <v>1</v>
      </c>
      <c r="E5419" t="s">
        <v>10</v>
      </c>
      <c r="F5419">
        <v>4586</v>
      </c>
    </row>
    <row r="5420" spans="1:6" x14ac:dyDescent="0.25">
      <c r="A5420" t="s">
        <v>10157</v>
      </c>
      <c r="B5420" t="s">
        <v>10158</v>
      </c>
      <c r="C5420" s="1">
        <v>44083</v>
      </c>
      <c r="D5420" t="b">
        <v>1</v>
      </c>
      <c r="E5420" t="s">
        <v>10</v>
      </c>
      <c r="F5420">
        <v>6782</v>
      </c>
    </row>
    <row r="5421" spans="1:6" x14ac:dyDescent="0.25">
      <c r="A5421" t="s">
        <v>10159</v>
      </c>
      <c r="B5421" t="s">
        <v>10160</v>
      </c>
      <c r="C5421" s="1">
        <v>44083</v>
      </c>
      <c r="D5421" t="b">
        <v>1</v>
      </c>
      <c r="E5421" t="s">
        <v>10</v>
      </c>
      <c r="F5421">
        <v>4587</v>
      </c>
    </row>
    <row r="5422" spans="1:6" x14ac:dyDescent="0.25">
      <c r="A5422" t="s">
        <v>10161</v>
      </c>
      <c r="B5422" t="s">
        <v>10162</v>
      </c>
      <c r="C5422" s="1">
        <v>44083</v>
      </c>
      <c r="D5422" t="b">
        <v>1</v>
      </c>
      <c r="E5422" t="s">
        <v>10</v>
      </c>
      <c r="F5422">
        <v>4588</v>
      </c>
    </row>
    <row r="5423" spans="1:6" x14ac:dyDescent="0.25">
      <c r="A5423" t="s">
        <v>10163</v>
      </c>
      <c r="B5423" t="s">
        <v>10164</v>
      </c>
      <c r="C5423" s="1">
        <v>44083</v>
      </c>
      <c r="D5423" t="b">
        <v>1</v>
      </c>
      <c r="E5423" t="s">
        <v>10</v>
      </c>
      <c r="F5423">
        <v>16290</v>
      </c>
    </row>
    <row r="5424" spans="1:6" x14ac:dyDescent="0.25">
      <c r="A5424" t="s">
        <v>10165</v>
      </c>
      <c r="B5424" t="s">
        <v>10166</v>
      </c>
      <c r="C5424" s="1">
        <v>44083</v>
      </c>
      <c r="D5424" t="b">
        <v>1</v>
      </c>
      <c r="E5424" t="s">
        <v>10</v>
      </c>
      <c r="F5424">
        <v>4590</v>
      </c>
    </row>
    <row r="5425" spans="1:6" x14ac:dyDescent="0.25">
      <c r="A5425" t="s">
        <v>10167</v>
      </c>
      <c r="B5425" t="s">
        <v>10168</v>
      </c>
      <c r="C5425" s="1">
        <v>44083</v>
      </c>
      <c r="D5425" t="b">
        <v>1</v>
      </c>
      <c r="E5425" t="s">
        <v>10</v>
      </c>
      <c r="F5425">
        <v>4592</v>
      </c>
    </row>
    <row r="5426" spans="1:6" x14ac:dyDescent="0.25">
      <c r="A5426" t="s">
        <v>10169</v>
      </c>
      <c r="B5426" t="s">
        <v>10170</v>
      </c>
      <c r="C5426" s="1">
        <v>44083</v>
      </c>
      <c r="D5426" t="b">
        <v>1</v>
      </c>
      <c r="E5426" t="s">
        <v>10</v>
      </c>
      <c r="F5426">
        <v>4593</v>
      </c>
    </row>
    <row r="5427" spans="1:6" x14ac:dyDescent="0.25">
      <c r="A5427" t="s">
        <v>10171</v>
      </c>
      <c r="B5427" t="s">
        <v>10172</v>
      </c>
      <c r="C5427" s="1">
        <v>44083</v>
      </c>
      <c r="D5427" t="b">
        <v>1</v>
      </c>
      <c r="E5427" t="s">
        <v>10</v>
      </c>
      <c r="F5427">
        <v>8573</v>
      </c>
    </row>
    <row r="5428" spans="1:6" x14ac:dyDescent="0.25">
      <c r="A5428" t="s">
        <v>10173</v>
      </c>
      <c r="B5428" t="s">
        <v>10174</v>
      </c>
      <c r="C5428" s="1">
        <v>44083</v>
      </c>
      <c r="D5428" t="b">
        <v>1</v>
      </c>
      <c r="E5428" t="s">
        <v>10</v>
      </c>
      <c r="F5428">
        <v>4594</v>
      </c>
    </row>
    <row r="5429" spans="1:6" x14ac:dyDescent="0.25">
      <c r="A5429" t="s">
        <v>10175</v>
      </c>
      <c r="B5429" t="s">
        <v>10176</v>
      </c>
      <c r="C5429" s="1">
        <v>44083</v>
      </c>
      <c r="D5429" t="b">
        <v>1</v>
      </c>
      <c r="E5429" t="s">
        <v>10</v>
      </c>
      <c r="F5429">
        <v>12430</v>
      </c>
    </row>
    <row r="5430" spans="1:6" x14ac:dyDescent="0.25">
      <c r="A5430" t="s">
        <v>10177</v>
      </c>
      <c r="B5430" t="s">
        <v>10178</v>
      </c>
      <c r="C5430" s="1">
        <v>44083</v>
      </c>
      <c r="D5430" t="b">
        <v>1</v>
      </c>
      <c r="E5430" t="s">
        <v>10</v>
      </c>
      <c r="F5430">
        <v>4595</v>
      </c>
    </row>
    <row r="5431" spans="1:6" x14ac:dyDescent="0.25">
      <c r="A5431" t="s">
        <v>10179</v>
      </c>
      <c r="B5431" t="s">
        <v>10180</v>
      </c>
      <c r="C5431" s="1">
        <v>44083</v>
      </c>
      <c r="D5431" t="b">
        <v>1</v>
      </c>
      <c r="E5431" t="s">
        <v>10</v>
      </c>
      <c r="F5431">
        <v>10907</v>
      </c>
    </row>
    <row r="5432" spans="1:6" x14ac:dyDescent="0.25">
      <c r="A5432" t="s">
        <v>10181</v>
      </c>
      <c r="B5432" t="s">
        <v>10182</v>
      </c>
      <c r="C5432" s="1">
        <v>44083</v>
      </c>
      <c r="D5432" t="b">
        <v>1</v>
      </c>
      <c r="E5432" t="s">
        <v>10</v>
      </c>
      <c r="F5432">
        <v>4596</v>
      </c>
    </row>
    <row r="5433" spans="1:6" x14ac:dyDescent="0.25">
      <c r="A5433" t="s">
        <v>10183</v>
      </c>
      <c r="B5433" t="s">
        <v>10184</v>
      </c>
      <c r="C5433" s="1">
        <v>44083</v>
      </c>
      <c r="D5433" t="b">
        <v>1</v>
      </c>
      <c r="E5433" t="s">
        <v>10</v>
      </c>
      <c r="F5433">
        <v>4597</v>
      </c>
    </row>
    <row r="5434" spans="1:6" x14ac:dyDescent="0.25">
      <c r="A5434" t="s">
        <v>10185</v>
      </c>
      <c r="B5434" t="s">
        <v>10186</v>
      </c>
      <c r="C5434" s="1">
        <v>44083</v>
      </c>
      <c r="D5434" t="b">
        <v>1</v>
      </c>
      <c r="E5434" t="s">
        <v>10</v>
      </c>
      <c r="F5434">
        <v>4598</v>
      </c>
    </row>
    <row r="5435" spans="1:6" x14ac:dyDescent="0.25">
      <c r="A5435" t="s">
        <v>10187</v>
      </c>
      <c r="B5435" t="s">
        <v>10188</v>
      </c>
      <c r="C5435" s="1">
        <v>44083</v>
      </c>
      <c r="D5435" t="b">
        <v>1</v>
      </c>
      <c r="E5435" t="s">
        <v>10</v>
      </c>
      <c r="F5435">
        <v>4600</v>
      </c>
    </row>
    <row r="5436" spans="1:6" x14ac:dyDescent="0.25">
      <c r="A5436" t="s">
        <v>10189</v>
      </c>
      <c r="B5436" t="s">
        <v>10190</v>
      </c>
      <c r="C5436" s="1">
        <v>44083</v>
      </c>
      <c r="D5436" t="b">
        <v>1</v>
      </c>
      <c r="E5436" t="s">
        <v>10</v>
      </c>
      <c r="F5436">
        <v>4601</v>
      </c>
    </row>
    <row r="5437" spans="1:6" x14ac:dyDescent="0.25">
      <c r="A5437" t="s">
        <v>10191</v>
      </c>
      <c r="B5437" t="s">
        <v>10192</v>
      </c>
      <c r="C5437" s="1">
        <v>44083</v>
      </c>
      <c r="D5437" t="b">
        <v>1</v>
      </c>
      <c r="E5437" t="s">
        <v>10</v>
      </c>
      <c r="F5437">
        <v>4602</v>
      </c>
    </row>
    <row r="5438" spans="1:6" x14ac:dyDescent="0.25">
      <c r="A5438" t="s">
        <v>10193</v>
      </c>
      <c r="B5438" t="s">
        <v>10194</v>
      </c>
      <c r="C5438" s="1">
        <v>44083</v>
      </c>
      <c r="D5438" t="b">
        <v>1</v>
      </c>
      <c r="E5438" t="s">
        <v>10</v>
      </c>
      <c r="F5438">
        <v>4604</v>
      </c>
    </row>
    <row r="5439" spans="1:6" x14ac:dyDescent="0.25">
      <c r="A5439" t="s">
        <v>10195</v>
      </c>
      <c r="B5439" t="s">
        <v>10196</v>
      </c>
      <c r="C5439" s="1">
        <v>44083</v>
      </c>
      <c r="D5439" t="b">
        <v>1</v>
      </c>
      <c r="E5439" t="s">
        <v>10</v>
      </c>
      <c r="F5439">
        <v>4606</v>
      </c>
    </row>
    <row r="5440" spans="1:6" x14ac:dyDescent="0.25">
      <c r="A5440" t="s">
        <v>10197</v>
      </c>
      <c r="B5440" t="s">
        <v>10198</v>
      </c>
      <c r="C5440" s="1">
        <v>44083</v>
      </c>
      <c r="D5440" t="b">
        <v>1</v>
      </c>
      <c r="E5440" t="s">
        <v>10</v>
      </c>
      <c r="F5440">
        <v>4607</v>
      </c>
    </row>
    <row r="5441" spans="1:6" x14ac:dyDescent="0.25">
      <c r="A5441" t="s">
        <v>10199</v>
      </c>
      <c r="B5441" t="s">
        <v>10200</v>
      </c>
      <c r="C5441" s="1">
        <v>44083</v>
      </c>
      <c r="D5441" t="b">
        <v>1</v>
      </c>
      <c r="E5441" t="s">
        <v>10</v>
      </c>
      <c r="F5441">
        <v>4608</v>
      </c>
    </row>
    <row r="5442" spans="1:6" x14ac:dyDescent="0.25">
      <c r="A5442" t="s">
        <v>10201</v>
      </c>
      <c r="B5442" t="s">
        <v>10202</v>
      </c>
      <c r="C5442" s="1">
        <v>44083</v>
      </c>
      <c r="D5442" t="b">
        <v>1</v>
      </c>
      <c r="E5442" t="s">
        <v>10</v>
      </c>
      <c r="F5442">
        <v>4610</v>
      </c>
    </row>
    <row r="5443" spans="1:6" x14ac:dyDescent="0.25">
      <c r="A5443" t="s">
        <v>10203</v>
      </c>
      <c r="B5443" t="s">
        <v>10204</v>
      </c>
      <c r="C5443" s="1">
        <v>44083</v>
      </c>
      <c r="D5443" t="b">
        <v>1</v>
      </c>
      <c r="E5443" t="s">
        <v>10</v>
      </c>
      <c r="F5443">
        <v>4611</v>
      </c>
    </row>
    <row r="5444" spans="1:6" x14ac:dyDescent="0.25">
      <c r="A5444" t="s">
        <v>10205</v>
      </c>
      <c r="B5444" t="s">
        <v>10206</v>
      </c>
      <c r="C5444" s="1">
        <v>44083</v>
      </c>
      <c r="D5444" t="b">
        <v>1</v>
      </c>
      <c r="E5444" t="s">
        <v>10</v>
      </c>
      <c r="F5444">
        <v>4612</v>
      </c>
    </row>
    <row r="5445" spans="1:6" x14ac:dyDescent="0.25">
      <c r="A5445" t="s">
        <v>10207</v>
      </c>
      <c r="B5445" t="s">
        <v>10208</v>
      </c>
      <c r="C5445" s="1">
        <v>44083</v>
      </c>
      <c r="D5445" t="b">
        <v>1</v>
      </c>
      <c r="E5445" t="s">
        <v>10</v>
      </c>
      <c r="F5445">
        <v>4619</v>
      </c>
    </row>
    <row r="5446" spans="1:6" x14ac:dyDescent="0.25">
      <c r="A5446" t="s">
        <v>10209</v>
      </c>
      <c r="B5446" t="s">
        <v>10210</v>
      </c>
      <c r="C5446" s="1">
        <v>44083</v>
      </c>
      <c r="D5446" t="b">
        <v>1</v>
      </c>
      <c r="E5446" t="s">
        <v>10</v>
      </c>
      <c r="F5446">
        <v>4620</v>
      </c>
    </row>
    <row r="5447" spans="1:6" x14ac:dyDescent="0.25">
      <c r="A5447" t="s">
        <v>10211</v>
      </c>
      <c r="B5447" t="s">
        <v>10212</v>
      </c>
      <c r="C5447" s="1">
        <v>44083</v>
      </c>
      <c r="D5447" t="b">
        <v>1</v>
      </c>
      <c r="E5447" t="s">
        <v>10</v>
      </c>
      <c r="F5447">
        <v>4621</v>
      </c>
    </row>
    <row r="5448" spans="1:6" x14ac:dyDescent="0.25">
      <c r="A5448" t="s">
        <v>10213</v>
      </c>
      <c r="B5448" t="s">
        <v>10214</v>
      </c>
      <c r="C5448" s="1">
        <v>44083</v>
      </c>
      <c r="D5448" t="b">
        <v>1</v>
      </c>
      <c r="E5448" t="s">
        <v>10</v>
      </c>
      <c r="F5448">
        <v>4605</v>
      </c>
    </row>
    <row r="5449" spans="1:6" x14ac:dyDescent="0.25">
      <c r="A5449" t="s">
        <v>10215</v>
      </c>
      <c r="B5449" t="s">
        <v>10216</v>
      </c>
      <c r="C5449" s="1">
        <v>44083</v>
      </c>
      <c r="D5449" t="b">
        <v>1</v>
      </c>
      <c r="E5449" t="s">
        <v>10</v>
      </c>
      <c r="F5449">
        <v>4622</v>
      </c>
    </row>
    <row r="5450" spans="1:6" x14ac:dyDescent="0.25">
      <c r="A5450" t="s">
        <v>10217</v>
      </c>
      <c r="B5450" t="s">
        <v>10218</v>
      </c>
      <c r="C5450" s="1">
        <v>44083</v>
      </c>
      <c r="D5450" t="b">
        <v>1</v>
      </c>
      <c r="E5450" t="s">
        <v>10</v>
      </c>
      <c r="F5450">
        <v>4623</v>
      </c>
    </row>
    <row r="5451" spans="1:6" x14ac:dyDescent="0.25">
      <c r="A5451" t="s">
        <v>10219</v>
      </c>
      <c r="B5451" t="s">
        <v>10220</v>
      </c>
      <c r="C5451" s="1">
        <v>44083</v>
      </c>
      <c r="D5451" t="b">
        <v>1</v>
      </c>
      <c r="E5451" t="s">
        <v>10</v>
      </c>
      <c r="F5451">
        <v>4624</v>
      </c>
    </row>
    <row r="5452" spans="1:6" x14ac:dyDescent="0.25">
      <c r="A5452" t="s">
        <v>10221</v>
      </c>
      <c r="B5452" t="s">
        <v>10222</v>
      </c>
      <c r="C5452" s="1">
        <v>44083</v>
      </c>
      <c r="D5452" t="b">
        <v>1</v>
      </c>
      <c r="E5452" t="s">
        <v>10</v>
      </c>
      <c r="F5452">
        <v>4626</v>
      </c>
    </row>
    <row r="5453" spans="1:6" x14ac:dyDescent="0.25">
      <c r="A5453" t="s">
        <v>10223</v>
      </c>
      <c r="B5453" t="s">
        <v>10224</v>
      </c>
      <c r="C5453" s="1">
        <v>44083</v>
      </c>
      <c r="D5453" t="b">
        <v>1</v>
      </c>
      <c r="E5453" t="s">
        <v>10</v>
      </c>
      <c r="F5453">
        <v>4627</v>
      </c>
    </row>
    <row r="5454" spans="1:6" x14ac:dyDescent="0.25">
      <c r="A5454" t="s">
        <v>10225</v>
      </c>
      <c r="B5454" t="s">
        <v>9712</v>
      </c>
      <c r="C5454" s="1">
        <v>44083</v>
      </c>
      <c r="D5454" t="b">
        <v>1</v>
      </c>
      <c r="E5454" t="s">
        <v>10</v>
      </c>
      <c r="F5454">
        <v>4628</v>
      </c>
    </row>
    <row r="5455" spans="1:6" x14ac:dyDescent="0.25">
      <c r="A5455" t="s">
        <v>10226</v>
      </c>
      <c r="B5455" t="s">
        <v>10227</v>
      </c>
      <c r="C5455" s="1">
        <v>44083</v>
      </c>
      <c r="D5455" t="b">
        <v>1</v>
      </c>
      <c r="E5455" t="s">
        <v>10</v>
      </c>
      <c r="F5455">
        <v>7735</v>
      </c>
    </row>
    <row r="5456" spans="1:6" x14ac:dyDescent="0.25">
      <c r="A5456" t="s">
        <v>10228</v>
      </c>
      <c r="B5456" t="s">
        <v>10229</v>
      </c>
      <c r="C5456" s="1">
        <v>44083</v>
      </c>
      <c r="D5456" t="b">
        <v>1</v>
      </c>
      <c r="E5456" t="s">
        <v>10</v>
      </c>
      <c r="F5456">
        <v>15128</v>
      </c>
    </row>
    <row r="5457" spans="1:6" x14ac:dyDescent="0.25">
      <c r="A5457" t="s">
        <v>10230</v>
      </c>
      <c r="B5457" t="s">
        <v>10231</v>
      </c>
      <c r="C5457" s="1">
        <v>44083</v>
      </c>
      <c r="D5457" t="b">
        <v>1</v>
      </c>
      <c r="E5457" t="s">
        <v>10</v>
      </c>
      <c r="F5457">
        <v>15377</v>
      </c>
    </row>
    <row r="5458" spans="1:6" x14ac:dyDescent="0.25">
      <c r="A5458" t="s">
        <v>10232</v>
      </c>
      <c r="B5458" t="s">
        <v>10233</v>
      </c>
      <c r="C5458" s="1">
        <v>44083</v>
      </c>
      <c r="D5458" t="b">
        <v>1</v>
      </c>
      <c r="E5458" t="s">
        <v>10</v>
      </c>
      <c r="F5458">
        <v>4629</v>
      </c>
    </row>
    <row r="5459" spans="1:6" x14ac:dyDescent="0.25">
      <c r="A5459" t="s">
        <v>10234</v>
      </c>
      <c r="B5459" t="s">
        <v>10235</v>
      </c>
      <c r="C5459" s="1">
        <v>44083</v>
      </c>
      <c r="D5459" t="b">
        <v>1</v>
      </c>
      <c r="E5459" t="s">
        <v>10</v>
      </c>
      <c r="F5459">
        <v>13883</v>
      </c>
    </row>
    <row r="5460" spans="1:6" x14ac:dyDescent="0.25">
      <c r="A5460" t="s">
        <v>10236</v>
      </c>
      <c r="B5460" t="s">
        <v>10237</v>
      </c>
      <c r="C5460" s="1">
        <v>44083</v>
      </c>
      <c r="D5460" t="b">
        <v>1</v>
      </c>
      <c r="E5460" t="s">
        <v>10</v>
      </c>
      <c r="F5460">
        <v>4630</v>
      </c>
    </row>
    <row r="5461" spans="1:6" x14ac:dyDescent="0.25">
      <c r="A5461" t="s">
        <v>10238</v>
      </c>
      <c r="C5461" s="1">
        <v>44083</v>
      </c>
      <c r="D5461" t="b">
        <v>1</v>
      </c>
      <c r="E5461" t="s">
        <v>10</v>
      </c>
      <c r="F5461">
        <v>13813</v>
      </c>
    </row>
    <row r="5462" spans="1:6" x14ac:dyDescent="0.25">
      <c r="A5462" t="s">
        <v>10239</v>
      </c>
      <c r="B5462" t="s">
        <v>10240</v>
      </c>
      <c r="C5462" s="1">
        <v>44083</v>
      </c>
      <c r="D5462" t="b">
        <v>1</v>
      </c>
      <c r="E5462" t="s">
        <v>10</v>
      </c>
      <c r="F5462">
        <v>4632</v>
      </c>
    </row>
    <row r="5463" spans="1:6" x14ac:dyDescent="0.25">
      <c r="A5463" t="s">
        <v>10241</v>
      </c>
      <c r="B5463" t="s">
        <v>10242</v>
      </c>
      <c r="C5463" s="1">
        <v>44083</v>
      </c>
      <c r="D5463" t="b">
        <v>1</v>
      </c>
      <c r="E5463" t="s">
        <v>10</v>
      </c>
      <c r="F5463">
        <v>12023</v>
      </c>
    </row>
    <row r="5464" spans="1:6" x14ac:dyDescent="0.25">
      <c r="A5464" t="s">
        <v>10243</v>
      </c>
      <c r="B5464" t="s">
        <v>10244</v>
      </c>
      <c r="C5464" s="1">
        <v>44083</v>
      </c>
      <c r="D5464" t="b">
        <v>1</v>
      </c>
      <c r="E5464" t="s">
        <v>10</v>
      </c>
      <c r="F5464">
        <v>4634</v>
      </c>
    </row>
    <row r="5465" spans="1:6" x14ac:dyDescent="0.25">
      <c r="A5465" t="s">
        <v>10245</v>
      </c>
      <c r="B5465" t="s">
        <v>10246</v>
      </c>
      <c r="C5465" s="1">
        <v>44083</v>
      </c>
      <c r="D5465" t="b">
        <v>1</v>
      </c>
      <c r="E5465" t="s">
        <v>10</v>
      </c>
      <c r="F5465">
        <v>4635</v>
      </c>
    </row>
    <row r="5466" spans="1:6" x14ac:dyDescent="0.25">
      <c r="A5466" t="s">
        <v>10247</v>
      </c>
      <c r="B5466" t="s">
        <v>10248</v>
      </c>
      <c r="C5466" s="1">
        <v>44083</v>
      </c>
      <c r="D5466" t="b">
        <v>1</v>
      </c>
      <c r="E5466" t="s">
        <v>10</v>
      </c>
      <c r="F5466">
        <v>16783</v>
      </c>
    </row>
    <row r="5467" spans="1:6" x14ac:dyDescent="0.25">
      <c r="A5467" t="s">
        <v>10249</v>
      </c>
      <c r="B5467" t="s">
        <v>10250</v>
      </c>
      <c r="C5467" s="1">
        <v>44083</v>
      </c>
      <c r="D5467" t="b">
        <v>1</v>
      </c>
      <c r="E5467" t="s">
        <v>10</v>
      </c>
      <c r="F5467">
        <v>4636</v>
      </c>
    </row>
    <row r="5468" spans="1:6" x14ac:dyDescent="0.25">
      <c r="A5468" t="s">
        <v>10251</v>
      </c>
      <c r="B5468" t="s">
        <v>10252</v>
      </c>
      <c r="C5468" s="1">
        <v>44083</v>
      </c>
      <c r="D5468" t="b">
        <v>1</v>
      </c>
      <c r="E5468" t="s">
        <v>10</v>
      </c>
      <c r="F5468">
        <v>4637</v>
      </c>
    </row>
    <row r="5469" spans="1:6" x14ac:dyDescent="0.25">
      <c r="A5469" t="s">
        <v>10253</v>
      </c>
      <c r="B5469" t="s">
        <v>10254</v>
      </c>
      <c r="C5469" s="1">
        <v>44083</v>
      </c>
      <c r="D5469" t="b">
        <v>1</v>
      </c>
      <c r="E5469" t="s">
        <v>10</v>
      </c>
      <c r="F5469">
        <v>4639</v>
      </c>
    </row>
    <row r="5470" spans="1:6" x14ac:dyDescent="0.25">
      <c r="A5470" t="s">
        <v>10255</v>
      </c>
      <c r="B5470" t="s">
        <v>10256</v>
      </c>
      <c r="C5470" s="1">
        <v>44083</v>
      </c>
      <c r="D5470" t="b">
        <v>1</v>
      </c>
      <c r="E5470" t="s">
        <v>10</v>
      </c>
      <c r="F5470">
        <v>15721</v>
      </c>
    </row>
    <row r="5471" spans="1:6" x14ac:dyDescent="0.25">
      <c r="A5471" t="s">
        <v>10257</v>
      </c>
      <c r="B5471" t="s">
        <v>10258</v>
      </c>
      <c r="C5471" s="1">
        <v>44083</v>
      </c>
      <c r="D5471" t="b">
        <v>1</v>
      </c>
      <c r="E5471" t="s">
        <v>10</v>
      </c>
      <c r="F5471">
        <v>4649</v>
      </c>
    </row>
    <row r="5472" spans="1:6" x14ac:dyDescent="0.25">
      <c r="A5472" t="s">
        <v>10259</v>
      </c>
      <c r="B5472" t="s">
        <v>10260</v>
      </c>
      <c r="C5472" s="1">
        <v>44083</v>
      </c>
      <c r="D5472" t="b">
        <v>1</v>
      </c>
      <c r="E5472" t="s">
        <v>10</v>
      </c>
      <c r="F5472">
        <v>4651</v>
      </c>
    </row>
    <row r="5473" spans="1:6" x14ac:dyDescent="0.25">
      <c r="A5473" t="s">
        <v>10261</v>
      </c>
      <c r="B5473" t="s">
        <v>10262</v>
      </c>
      <c r="C5473" s="1">
        <v>44083</v>
      </c>
      <c r="D5473" t="b">
        <v>1</v>
      </c>
      <c r="E5473" t="s">
        <v>10</v>
      </c>
      <c r="F5473">
        <v>13400</v>
      </c>
    </row>
    <row r="5474" spans="1:6" x14ac:dyDescent="0.25">
      <c r="A5474" t="s">
        <v>10263</v>
      </c>
      <c r="B5474" t="s">
        <v>10264</v>
      </c>
      <c r="C5474" s="1">
        <v>44083</v>
      </c>
      <c r="D5474" t="b">
        <v>1</v>
      </c>
      <c r="E5474" t="s">
        <v>10</v>
      </c>
      <c r="F5474">
        <v>4652</v>
      </c>
    </row>
    <row r="5475" spans="1:6" x14ac:dyDescent="0.25">
      <c r="A5475" t="s">
        <v>10265</v>
      </c>
      <c r="B5475" t="s">
        <v>10266</v>
      </c>
      <c r="C5475" s="1">
        <v>44083</v>
      </c>
      <c r="D5475" t="b">
        <v>1</v>
      </c>
      <c r="E5475" t="s">
        <v>10</v>
      </c>
      <c r="F5475">
        <v>4653</v>
      </c>
    </row>
    <row r="5476" spans="1:6" x14ac:dyDescent="0.25">
      <c r="A5476" t="s">
        <v>10267</v>
      </c>
      <c r="B5476" t="s">
        <v>10268</v>
      </c>
      <c r="C5476" s="1">
        <v>44083</v>
      </c>
      <c r="D5476" t="b">
        <v>1</v>
      </c>
      <c r="E5476" t="s">
        <v>10</v>
      </c>
      <c r="F5476">
        <v>4654</v>
      </c>
    </row>
    <row r="5477" spans="1:6" x14ac:dyDescent="0.25">
      <c r="A5477" t="s">
        <v>10269</v>
      </c>
      <c r="B5477" t="s">
        <v>10270</v>
      </c>
      <c r="C5477" s="1">
        <v>44083</v>
      </c>
      <c r="D5477" t="b">
        <v>1</v>
      </c>
      <c r="E5477" t="s">
        <v>10</v>
      </c>
      <c r="F5477">
        <v>4655</v>
      </c>
    </row>
    <row r="5478" spans="1:6" x14ac:dyDescent="0.25">
      <c r="A5478" t="s">
        <v>10271</v>
      </c>
      <c r="B5478" t="s">
        <v>10272</v>
      </c>
      <c r="C5478" s="1">
        <v>44083</v>
      </c>
      <c r="D5478" t="b">
        <v>1</v>
      </c>
      <c r="E5478" t="s">
        <v>10</v>
      </c>
      <c r="F5478">
        <v>4656</v>
      </c>
    </row>
    <row r="5479" spans="1:6" x14ac:dyDescent="0.25">
      <c r="A5479" t="s">
        <v>10273</v>
      </c>
      <c r="B5479" t="s">
        <v>10274</v>
      </c>
      <c r="C5479" s="1">
        <v>44083</v>
      </c>
      <c r="D5479" t="b">
        <v>1</v>
      </c>
      <c r="E5479" t="s">
        <v>10</v>
      </c>
      <c r="F5479">
        <v>4661</v>
      </c>
    </row>
    <row r="5480" spans="1:6" x14ac:dyDescent="0.25">
      <c r="A5480" t="s">
        <v>10275</v>
      </c>
      <c r="B5480" t="s">
        <v>10276</v>
      </c>
      <c r="C5480" s="1">
        <v>44083</v>
      </c>
      <c r="D5480" t="b">
        <v>1</v>
      </c>
      <c r="E5480" t="s">
        <v>10</v>
      </c>
      <c r="F5480">
        <v>4662</v>
      </c>
    </row>
    <row r="5481" spans="1:6" x14ac:dyDescent="0.25">
      <c r="A5481" t="s">
        <v>10277</v>
      </c>
      <c r="B5481" t="s">
        <v>10278</v>
      </c>
      <c r="C5481" s="1">
        <v>44083</v>
      </c>
      <c r="D5481" t="b">
        <v>1</v>
      </c>
      <c r="E5481" t="s">
        <v>10</v>
      </c>
      <c r="F5481">
        <v>4663</v>
      </c>
    </row>
    <row r="5482" spans="1:6" x14ac:dyDescent="0.25">
      <c r="A5482" t="s">
        <v>10279</v>
      </c>
      <c r="B5482" t="s">
        <v>10280</v>
      </c>
      <c r="C5482" s="1">
        <v>44083</v>
      </c>
      <c r="D5482" t="b">
        <v>1</v>
      </c>
      <c r="E5482" t="s">
        <v>10</v>
      </c>
      <c r="F5482">
        <v>4664</v>
      </c>
    </row>
    <row r="5483" spans="1:6" x14ac:dyDescent="0.25">
      <c r="A5483" t="s">
        <v>10281</v>
      </c>
      <c r="B5483" t="s">
        <v>10282</v>
      </c>
      <c r="C5483" s="1">
        <v>44083</v>
      </c>
      <c r="D5483" t="b">
        <v>1</v>
      </c>
      <c r="E5483" t="s">
        <v>10</v>
      </c>
      <c r="F5483">
        <v>14814</v>
      </c>
    </row>
    <row r="5484" spans="1:6" x14ac:dyDescent="0.25">
      <c r="A5484" t="s">
        <v>10283</v>
      </c>
      <c r="B5484" t="s">
        <v>10284</v>
      </c>
      <c r="C5484" s="1">
        <v>44083</v>
      </c>
      <c r="D5484" t="b">
        <v>1</v>
      </c>
      <c r="E5484" t="s">
        <v>10</v>
      </c>
      <c r="F5484">
        <v>4665</v>
      </c>
    </row>
    <row r="5485" spans="1:6" x14ac:dyDescent="0.25">
      <c r="A5485" t="s">
        <v>10285</v>
      </c>
      <c r="B5485" t="s">
        <v>9721</v>
      </c>
      <c r="C5485" s="1">
        <v>44083</v>
      </c>
      <c r="D5485" t="b">
        <v>1</v>
      </c>
      <c r="E5485" t="s">
        <v>10</v>
      </c>
      <c r="F5485">
        <v>4666</v>
      </c>
    </row>
    <row r="5486" spans="1:6" x14ac:dyDescent="0.25">
      <c r="A5486" t="s">
        <v>10286</v>
      </c>
      <c r="B5486" t="s">
        <v>10287</v>
      </c>
      <c r="C5486" s="1">
        <v>44083</v>
      </c>
      <c r="D5486" t="b">
        <v>1</v>
      </c>
      <c r="E5486" t="s">
        <v>10</v>
      </c>
      <c r="F5486">
        <v>4667</v>
      </c>
    </row>
    <row r="5487" spans="1:6" x14ac:dyDescent="0.25">
      <c r="A5487" t="s">
        <v>10288</v>
      </c>
      <c r="B5487" t="s">
        <v>10289</v>
      </c>
      <c r="C5487" s="1">
        <v>44083</v>
      </c>
      <c r="D5487" t="b">
        <v>1</v>
      </c>
      <c r="E5487" t="s">
        <v>10</v>
      </c>
      <c r="F5487">
        <v>4668</v>
      </c>
    </row>
    <row r="5488" spans="1:6" x14ac:dyDescent="0.25">
      <c r="A5488" t="s">
        <v>10290</v>
      </c>
      <c r="B5488" t="s">
        <v>10291</v>
      </c>
      <c r="C5488" s="1">
        <v>44083</v>
      </c>
      <c r="D5488" t="b">
        <v>1</v>
      </c>
      <c r="E5488" t="s">
        <v>10</v>
      </c>
      <c r="F5488">
        <v>4670</v>
      </c>
    </row>
    <row r="5489" spans="1:6" x14ac:dyDescent="0.25">
      <c r="A5489" t="s">
        <v>10292</v>
      </c>
      <c r="B5489" t="s">
        <v>10293</v>
      </c>
      <c r="C5489" s="1">
        <v>44083</v>
      </c>
      <c r="D5489" t="b">
        <v>1</v>
      </c>
      <c r="E5489" t="s">
        <v>10</v>
      </c>
      <c r="F5489">
        <v>13008</v>
      </c>
    </row>
    <row r="5490" spans="1:6" x14ac:dyDescent="0.25">
      <c r="A5490" t="s">
        <v>10294</v>
      </c>
      <c r="B5490" t="s">
        <v>10295</v>
      </c>
      <c r="C5490" s="1">
        <v>44083</v>
      </c>
      <c r="D5490" t="b">
        <v>1</v>
      </c>
      <c r="E5490" t="s">
        <v>10</v>
      </c>
      <c r="F5490">
        <v>10611</v>
      </c>
    </row>
    <row r="5491" spans="1:6" x14ac:dyDescent="0.25">
      <c r="A5491" t="s">
        <v>10296</v>
      </c>
      <c r="B5491" t="s">
        <v>10297</v>
      </c>
      <c r="C5491" s="1">
        <v>44083</v>
      </c>
      <c r="D5491" t="b">
        <v>1</v>
      </c>
      <c r="E5491" t="s">
        <v>10</v>
      </c>
      <c r="F5491">
        <v>8948</v>
      </c>
    </row>
    <row r="5492" spans="1:6" x14ac:dyDescent="0.25">
      <c r="A5492" t="s">
        <v>10298</v>
      </c>
      <c r="B5492" t="s">
        <v>10299</v>
      </c>
      <c r="C5492" s="1">
        <v>44083</v>
      </c>
      <c r="D5492" t="b">
        <v>1</v>
      </c>
      <c r="E5492" t="s">
        <v>10</v>
      </c>
      <c r="F5492">
        <v>11908</v>
      </c>
    </row>
    <row r="5493" spans="1:6" x14ac:dyDescent="0.25">
      <c r="A5493" t="s">
        <v>10300</v>
      </c>
      <c r="B5493" t="s">
        <v>10301</v>
      </c>
      <c r="C5493" s="1">
        <v>44083</v>
      </c>
      <c r="D5493" t="b">
        <v>1</v>
      </c>
      <c r="E5493" t="s">
        <v>10</v>
      </c>
      <c r="F5493">
        <v>4672</v>
      </c>
    </row>
    <row r="5494" spans="1:6" x14ac:dyDescent="0.25">
      <c r="A5494" t="s">
        <v>10302</v>
      </c>
      <c r="B5494" t="s">
        <v>10303</v>
      </c>
      <c r="C5494" s="1">
        <v>44083</v>
      </c>
      <c r="D5494" t="b">
        <v>1</v>
      </c>
      <c r="E5494" t="s">
        <v>10</v>
      </c>
      <c r="F5494">
        <v>11643</v>
      </c>
    </row>
    <row r="5495" spans="1:6" x14ac:dyDescent="0.25">
      <c r="A5495" t="s">
        <v>10304</v>
      </c>
      <c r="B5495" t="s">
        <v>10305</v>
      </c>
      <c r="C5495" s="1">
        <v>44083</v>
      </c>
      <c r="D5495" t="b">
        <v>1</v>
      </c>
      <c r="E5495" t="s">
        <v>10</v>
      </c>
      <c r="F5495">
        <v>10040</v>
      </c>
    </row>
    <row r="5496" spans="1:6" x14ac:dyDescent="0.25">
      <c r="A5496" t="s">
        <v>10306</v>
      </c>
      <c r="B5496" t="s">
        <v>10307</v>
      </c>
      <c r="C5496" s="1">
        <v>44083</v>
      </c>
      <c r="D5496" t="b">
        <v>1</v>
      </c>
      <c r="E5496" t="s">
        <v>10</v>
      </c>
      <c r="F5496">
        <v>4673</v>
      </c>
    </row>
    <row r="5497" spans="1:6" x14ac:dyDescent="0.25">
      <c r="A5497" t="s">
        <v>10308</v>
      </c>
      <c r="B5497" t="s">
        <v>10309</v>
      </c>
      <c r="C5497" s="1">
        <v>44083</v>
      </c>
      <c r="D5497" t="b">
        <v>1</v>
      </c>
      <c r="E5497" t="s">
        <v>10</v>
      </c>
      <c r="F5497">
        <v>4674</v>
      </c>
    </row>
    <row r="5498" spans="1:6" x14ac:dyDescent="0.25">
      <c r="A5498" t="s">
        <v>10310</v>
      </c>
      <c r="B5498" t="s">
        <v>10311</v>
      </c>
      <c r="C5498" s="1">
        <v>44083</v>
      </c>
      <c r="D5498" t="b">
        <v>1</v>
      </c>
      <c r="E5498" t="s">
        <v>10</v>
      </c>
      <c r="F5498">
        <v>4677</v>
      </c>
    </row>
    <row r="5499" spans="1:6" x14ac:dyDescent="0.25">
      <c r="A5499" t="s">
        <v>10312</v>
      </c>
      <c r="B5499" t="s">
        <v>10313</v>
      </c>
      <c r="C5499" s="1">
        <v>44083</v>
      </c>
      <c r="D5499" t="b">
        <v>1</v>
      </c>
      <c r="E5499" t="s">
        <v>10</v>
      </c>
      <c r="F5499">
        <v>4679</v>
      </c>
    </row>
    <row r="5500" spans="1:6" x14ac:dyDescent="0.25">
      <c r="A5500" t="s">
        <v>10314</v>
      </c>
      <c r="B5500" t="s">
        <v>10315</v>
      </c>
      <c r="C5500" s="1">
        <v>44083</v>
      </c>
      <c r="D5500" t="b">
        <v>1</v>
      </c>
      <c r="E5500" t="s">
        <v>10</v>
      </c>
      <c r="F5500">
        <v>14835</v>
      </c>
    </row>
    <row r="5501" spans="1:6" x14ac:dyDescent="0.25">
      <c r="A5501" t="s">
        <v>10316</v>
      </c>
      <c r="B5501" t="s">
        <v>10317</v>
      </c>
      <c r="C5501" s="1">
        <v>44083</v>
      </c>
      <c r="D5501" t="b">
        <v>1</v>
      </c>
      <c r="E5501" t="s">
        <v>10</v>
      </c>
      <c r="F5501">
        <v>4680</v>
      </c>
    </row>
    <row r="5502" spans="1:6" x14ac:dyDescent="0.25">
      <c r="A5502" t="s">
        <v>10318</v>
      </c>
      <c r="B5502" t="s">
        <v>10319</v>
      </c>
      <c r="C5502" s="1">
        <v>44083</v>
      </c>
      <c r="D5502" t="b">
        <v>1</v>
      </c>
      <c r="E5502" t="s">
        <v>10</v>
      </c>
      <c r="F5502">
        <v>4685</v>
      </c>
    </row>
    <row r="5503" spans="1:6" x14ac:dyDescent="0.25">
      <c r="A5503" t="s">
        <v>10320</v>
      </c>
      <c r="B5503" t="s">
        <v>10321</v>
      </c>
      <c r="C5503" s="1">
        <v>44083</v>
      </c>
      <c r="D5503" t="b">
        <v>1</v>
      </c>
      <c r="E5503" t="s">
        <v>10</v>
      </c>
      <c r="F5503">
        <v>10421</v>
      </c>
    </row>
    <row r="5504" spans="1:6" x14ac:dyDescent="0.25">
      <c r="A5504" t="s">
        <v>10322</v>
      </c>
      <c r="B5504" t="s">
        <v>10323</v>
      </c>
      <c r="C5504" s="1">
        <v>44083</v>
      </c>
      <c r="D5504" t="b">
        <v>1</v>
      </c>
      <c r="E5504" t="s">
        <v>10</v>
      </c>
      <c r="F5504">
        <v>4686</v>
      </c>
    </row>
    <row r="5505" spans="1:6" x14ac:dyDescent="0.25">
      <c r="A5505" t="s">
        <v>10324</v>
      </c>
      <c r="B5505" t="s">
        <v>10325</v>
      </c>
      <c r="C5505" s="1">
        <v>44083</v>
      </c>
      <c r="D5505" t="b">
        <v>1</v>
      </c>
      <c r="E5505" t="s">
        <v>10</v>
      </c>
      <c r="F5505">
        <v>14758</v>
      </c>
    </row>
    <row r="5506" spans="1:6" x14ac:dyDescent="0.25">
      <c r="A5506" t="s">
        <v>10326</v>
      </c>
      <c r="B5506" t="s">
        <v>10327</v>
      </c>
      <c r="C5506" s="1">
        <v>44083</v>
      </c>
      <c r="D5506" t="b">
        <v>1</v>
      </c>
      <c r="E5506" t="s">
        <v>10</v>
      </c>
      <c r="F5506">
        <v>4687</v>
      </c>
    </row>
    <row r="5507" spans="1:6" x14ac:dyDescent="0.25">
      <c r="A5507" t="s">
        <v>10328</v>
      </c>
      <c r="B5507" t="s">
        <v>10329</v>
      </c>
      <c r="C5507" s="1">
        <v>44083</v>
      </c>
      <c r="D5507" t="b">
        <v>1</v>
      </c>
      <c r="E5507" t="s">
        <v>10</v>
      </c>
      <c r="F5507">
        <v>10921</v>
      </c>
    </row>
    <row r="5508" spans="1:6" x14ac:dyDescent="0.25">
      <c r="A5508" t="s">
        <v>10330</v>
      </c>
      <c r="B5508" t="s">
        <v>10331</v>
      </c>
      <c r="C5508" s="1">
        <v>44083</v>
      </c>
      <c r="D5508" t="b">
        <v>1</v>
      </c>
      <c r="E5508" t="s">
        <v>10</v>
      </c>
      <c r="F5508">
        <v>13699</v>
      </c>
    </row>
    <row r="5509" spans="1:6" x14ac:dyDescent="0.25">
      <c r="A5509" t="s">
        <v>10332</v>
      </c>
      <c r="B5509" t="s">
        <v>10333</v>
      </c>
      <c r="C5509" s="1">
        <v>44083</v>
      </c>
      <c r="D5509" t="b">
        <v>1</v>
      </c>
      <c r="E5509" t="s">
        <v>10</v>
      </c>
      <c r="F5509">
        <v>16650</v>
      </c>
    </row>
    <row r="5510" spans="1:6" x14ac:dyDescent="0.25">
      <c r="A5510" t="s">
        <v>10334</v>
      </c>
      <c r="B5510" t="s">
        <v>10335</v>
      </c>
      <c r="C5510" s="1">
        <v>44083</v>
      </c>
      <c r="D5510" t="b">
        <v>1</v>
      </c>
      <c r="E5510" t="s">
        <v>10</v>
      </c>
      <c r="F5510">
        <v>16549</v>
      </c>
    </row>
    <row r="5511" spans="1:6" x14ac:dyDescent="0.25">
      <c r="A5511" t="s">
        <v>10336</v>
      </c>
      <c r="B5511" t="s">
        <v>10337</v>
      </c>
      <c r="C5511" s="1">
        <v>44083</v>
      </c>
      <c r="D5511" t="b">
        <v>1</v>
      </c>
      <c r="E5511" t="s">
        <v>10</v>
      </c>
      <c r="F5511">
        <v>4693</v>
      </c>
    </row>
    <row r="5512" spans="1:6" x14ac:dyDescent="0.25">
      <c r="A5512" t="s">
        <v>10338</v>
      </c>
      <c r="B5512" t="s">
        <v>10339</v>
      </c>
      <c r="C5512" s="1">
        <v>44083</v>
      </c>
      <c r="D5512" t="b">
        <v>1</v>
      </c>
      <c r="E5512" t="s">
        <v>10</v>
      </c>
      <c r="F5512">
        <v>4694</v>
      </c>
    </row>
    <row r="5513" spans="1:6" x14ac:dyDescent="0.25">
      <c r="A5513" t="s">
        <v>10340</v>
      </c>
      <c r="B5513" t="s">
        <v>10341</v>
      </c>
      <c r="C5513" s="1">
        <v>44083</v>
      </c>
      <c r="D5513" t="b">
        <v>1</v>
      </c>
      <c r="E5513" t="s">
        <v>10</v>
      </c>
      <c r="F5513">
        <v>4695</v>
      </c>
    </row>
    <row r="5514" spans="1:6" x14ac:dyDescent="0.25">
      <c r="A5514" t="s">
        <v>10342</v>
      </c>
      <c r="B5514" t="s">
        <v>10343</v>
      </c>
      <c r="C5514" s="1">
        <v>44083</v>
      </c>
      <c r="D5514" t="b">
        <v>1</v>
      </c>
      <c r="E5514" t="s">
        <v>10</v>
      </c>
      <c r="F5514">
        <v>4697</v>
      </c>
    </row>
    <row r="5515" spans="1:6" x14ac:dyDescent="0.25">
      <c r="A5515" t="s">
        <v>10344</v>
      </c>
      <c r="B5515" t="s">
        <v>10345</v>
      </c>
      <c r="C5515" s="1">
        <v>44083</v>
      </c>
      <c r="D5515" t="b">
        <v>1</v>
      </c>
      <c r="E5515" t="s">
        <v>10</v>
      </c>
      <c r="F5515">
        <v>4699</v>
      </c>
    </row>
    <row r="5516" spans="1:6" x14ac:dyDescent="0.25">
      <c r="A5516" t="s">
        <v>10346</v>
      </c>
      <c r="C5516" s="1">
        <v>44083</v>
      </c>
      <c r="D5516" t="b">
        <v>1</v>
      </c>
      <c r="E5516" t="s">
        <v>10</v>
      </c>
      <c r="F5516">
        <v>4700</v>
      </c>
    </row>
    <row r="5517" spans="1:6" x14ac:dyDescent="0.25">
      <c r="A5517" t="s">
        <v>10347</v>
      </c>
      <c r="B5517" t="s">
        <v>10348</v>
      </c>
      <c r="C5517" s="1">
        <v>44083</v>
      </c>
      <c r="D5517" t="b">
        <v>1</v>
      </c>
      <c r="E5517" t="s">
        <v>10</v>
      </c>
      <c r="F5517">
        <v>4701</v>
      </c>
    </row>
    <row r="5518" spans="1:6" x14ac:dyDescent="0.25">
      <c r="A5518" t="s">
        <v>10349</v>
      </c>
      <c r="B5518" t="s">
        <v>10350</v>
      </c>
      <c r="C5518" s="1">
        <v>44083</v>
      </c>
      <c r="D5518" t="b">
        <v>1</v>
      </c>
      <c r="E5518" t="s">
        <v>10</v>
      </c>
      <c r="F5518">
        <v>8555</v>
      </c>
    </row>
    <row r="5519" spans="1:6" x14ac:dyDescent="0.25">
      <c r="A5519" t="s">
        <v>10351</v>
      </c>
      <c r="B5519" t="s">
        <v>10352</v>
      </c>
      <c r="C5519" s="1">
        <v>44083</v>
      </c>
      <c r="D5519" t="b">
        <v>1</v>
      </c>
      <c r="E5519" t="s">
        <v>10</v>
      </c>
      <c r="F5519">
        <v>4704</v>
      </c>
    </row>
    <row r="5520" spans="1:6" x14ac:dyDescent="0.25">
      <c r="A5520" t="s">
        <v>10353</v>
      </c>
      <c r="B5520" t="s">
        <v>10354</v>
      </c>
      <c r="C5520" s="1">
        <v>44083</v>
      </c>
      <c r="D5520" t="b">
        <v>1</v>
      </c>
      <c r="E5520" t="s">
        <v>10</v>
      </c>
      <c r="F5520">
        <v>16447</v>
      </c>
    </row>
    <row r="5521" spans="1:6" x14ac:dyDescent="0.25">
      <c r="A5521" t="s">
        <v>10355</v>
      </c>
      <c r="B5521" t="s">
        <v>10356</v>
      </c>
      <c r="C5521" s="1">
        <v>44083</v>
      </c>
      <c r="D5521" t="b">
        <v>1</v>
      </c>
      <c r="E5521" t="s">
        <v>10</v>
      </c>
      <c r="F5521">
        <v>16695</v>
      </c>
    </row>
    <row r="5522" spans="1:6" x14ac:dyDescent="0.25">
      <c r="A5522" t="s">
        <v>10357</v>
      </c>
      <c r="B5522" t="s">
        <v>10354</v>
      </c>
      <c r="C5522" s="1">
        <v>44083</v>
      </c>
      <c r="D5522" t="b">
        <v>1</v>
      </c>
      <c r="E5522" t="s">
        <v>10</v>
      </c>
      <c r="F5522">
        <v>16437</v>
      </c>
    </row>
    <row r="5523" spans="1:6" x14ac:dyDescent="0.25">
      <c r="A5523" t="s">
        <v>10358</v>
      </c>
      <c r="C5523" s="1">
        <v>44083</v>
      </c>
      <c r="D5523" t="b">
        <v>1</v>
      </c>
      <c r="E5523" t="s">
        <v>10</v>
      </c>
      <c r="F5523">
        <v>16702</v>
      </c>
    </row>
    <row r="5524" spans="1:6" x14ac:dyDescent="0.25">
      <c r="A5524" t="s">
        <v>10359</v>
      </c>
      <c r="B5524" t="s">
        <v>10360</v>
      </c>
      <c r="C5524" s="1">
        <v>44083</v>
      </c>
      <c r="D5524" t="b">
        <v>1</v>
      </c>
      <c r="E5524" t="s">
        <v>10</v>
      </c>
      <c r="F5524">
        <v>4707</v>
      </c>
    </row>
    <row r="5525" spans="1:6" x14ac:dyDescent="0.25">
      <c r="A5525" t="s">
        <v>10361</v>
      </c>
      <c r="B5525" t="s">
        <v>10362</v>
      </c>
      <c r="C5525" s="1">
        <v>44083</v>
      </c>
      <c r="D5525" t="b">
        <v>1</v>
      </c>
      <c r="E5525" t="s">
        <v>10</v>
      </c>
      <c r="F5525">
        <v>12391</v>
      </c>
    </row>
    <row r="5526" spans="1:6" x14ac:dyDescent="0.25">
      <c r="A5526" t="s">
        <v>10363</v>
      </c>
      <c r="B5526" t="s">
        <v>10364</v>
      </c>
      <c r="C5526" s="1">
        <v>44083</v>
      </c>
      <c r="D5526" t="b">
        <v>1</v>
      </c>
      <c r="E5526" t="s">
        <v>10</v>
      </c>
      <c r="F5526">
        <v>4712</v>
      </c>
    </row>
    <row r="5527" spans="1:6" x14ac:dyDescent="0.25">
      <c r="A5527" t="s">
        <v>10365</v>
      </c>
      <c r="B5527" t="s">
        <v>10366</v>
      </c>
      <c r="C5527" s="1">
        <v>44083</v>
      </c>
      <c r="D5527" t="b">
        <v>1</v>
      </c>
      <c r="E5527" t="s">
        <v>10</v>
      </c>
      <c r="F5527">
        <v>4713</v>
      </c>
    </row>
    <row r="5528" spans="1:6" x14ac:dyDescent="0.25">
      <c r="A5528" t="s">
        <v>10367</v>
      </c>
      <c r="B5528" t="s">
        <v>10368</v>
      </c>
      <c r="C5528" s="1">
        <v>44083</v>
      </c>
      <c r="D5528" t="b">
        <v>1</v>
      </c>
      <c r="E5528" t="s">
        <v>10</v>
      </c>
      <c r="F5528">
        <v>4714</v>
      </c>
    </row>
    <row r="5529" spans="1:6" x14ac:dyDescent="0.25">
      <c r="A5529" t="s">
        <v>10369</v>
      </c>
      <c r="B5529" t="s">
        <v>10370</v>
      </c>
      <c r="C5529" s="1">
        <v>44083</v>
      </c>
      <c r="D5529" t="b">
        <v>1</v>
      </c>
      <c r="E5529" t="s">
        <v>10</v>
      </c>
      <c r="F5529">
        <v>4715</v>
      </c>
    </row>
    <row r="5530" spans="1:6" x14ac:dyDescent="0.25">
      <c r="A5530" t="s">
        <v>10371</v>
      </c>
      <c r="B5530" t="s">
        <v>10372</v>
      </c>
      <c r="C5530" s="1">
        <v>44083</v>
      </c>
      <c r="D5530" t="b">
        <v>1</v>
      </c>
      <c r="E5530" t="s">
        <v>10</v>
      </c>
      <c r="F5530">
        <v>10734</v>
      </c>
    </row>
    <row r="5531" spans="1:6" x14ac:dyDescent="0.25">
      <c r="A5531" t="s">
        <v>10373</v>
      </c>
      <c r="B5531" t="s">
        <v>10374</v>
      </c>
      <c r="C5531" s="1">
        <v>44083</v>
      </c>
      <c r="D5531" t="b">
        <v>1</v>
      </c>
      <c r="E5531" t="s">
        <v>10</v>
      </c>
      <c r="F5531">
        <v>15737</v>
      </c>
    </row>
    <row r="5532" spans="1:6" x14ac:dyDescent="0.25">
      <c r="A5532" t="s">
        <v>10375</v>
      </c>
      <c r="B5532" t="s">
        <v>10376</v>
      </c>
      <c r="C5532" s="1">
        <v>44083</v>
      </c>
      <c r="D5532" t="b">
        <v>1</v>
      </c>
      <c r="E5532" t="s">
        <v>10</v>
      </c>
      <c r="F5532">
        <v>4717</v>
      </c>
    </row>
    <row r="5533" spans="1:6" x14ac:dyDescent="0.25">
      <c r="A5533" t="s">
        <v>10377</v>
      </c>
      <c r="B5533" t="s">
        <v>10378</v>
      </c>
      <c r="C5533" s="1">
        <v>44083</v>
      </c>
      <c r="D5533" t="b">
        <v>1</v>
      </c>
      <c r="E5533" t="s">
        <v>10</v>
      </c>
      <c r="F5533">
        <v>4718</v>
      </c>
    </row>
    <row r="5534" spans="1:6" x14ac:dyDescent="0.25">
      <c r="A5534" t="s">
        <v>10379</v>
      </c>
      <c r="C5534" s="1">
        <v>44083</v>
      </c>
      <c r="D5534" t="b">
        <v>1</v>
      </c>
      <c r="E5534" t="s">
        <v>10</v>
      </c>
      <c r="F5534">
        <v>14609</v>
      </c>
    </row>
    <row r="5535" spans="1:6" x14ac:dyDescent="0.25">
      <c r="A5535" t="s">
        <v>10380</v>
      </c>
      <c r="B5535" t="s">
        <v>10381</v>
      </c>
      <c r="C5535" s="1">
        <v>44083</v>
      </c>
      <c r="D5535" t="b">
        <v>1</v>
      </c>
      <c r="E5535" t="s">
        <v>10</v>
      </c>
      <c r="F5535">
        <v>13069</v>
      </c>
    </row>
    <row r="5536" spans="1:6" x14ac:dyDescent="0.25">
      <c r="A5536" t="s">
        <v>10382</v>
      </c>
      <c r="B5536" t="s">
        <v>10383</v>
      </c>
      <c r="C5536" s="1">
        <v>44083</v>
      </c>
      <c r="D5536" t="b">
        <v>1</v>
      </c>
      <c r="E5536" t="s">
        <v>10</v>
      </c>
      <c r="F5536">
        <v>5118</v>
      </c>
    </row>
    <row r="5537" spans="1:6" x14ac:dyDescent="0.25">
      <c r="A5537" t="s">
        <v>10384</v>
      </c>
      <c r="B5537" t="s">
        <v>10385</v>
      </c>
      <c r="C5537" s="1">
        <v>44083</v>
      </c>
      <c r="D5537" t="b">
        <v>1</v>
      </c>
      <c r="E5537" t="s">
        <v>10</v>
      </c>
      <c r="F5537">
        <v>4720</v>
      </c>
    </row>
    <row r="5538" spans="1:6" x14ac:dyDescent="0.25">
      <c r="A5538" t="s">
        <v>10386</v>
      </c>
      <c r="B5538" t="s">
        <v>10387</v>
      </c>
      <c r="C5538" s="1">
        <v>44083</v>
      </c>
      <c r="D5538" t="b">
        <v>1</v>
      </c>
      <c r="E5538" t="s">
        <v>10</v>
      </c>
      <c r="F5538">
        <v>4722</v>
      </c>
    </row>
    <row r="5539" spans="1:6" x14ac:dyDescent="0.25">
      <c r="A5539" t="s">
        <v>10388</v>
      </c>
      <c r="B5539" t="s">
        <v>10389</v>
      </c>
      <c r="C5539" s="1">
        <v>44083</v>
      </c>
      <c r="D5539" t="b">
        <v>1</v>
      </c>
      <c r="E5539" t="s">
        <v>10</v>
      </c>
      <c r="F5539">
        <v>4723</v>
      </c>
    </row>
    <row r="5540" spans="1:6" x14ac:dyDescent="0.25">
      <c r="A5540" t="s">
        <v>10390</v>
      </c>
      <c r="B5540" t="s">
        <v>10391</v>
      </c>
      <c r="C5540" s="1">
        <v>44083</v>
      </c>
      <c r="D5540" t="b">
        <v>1</v>
      </c>
      <c r="E5540" t="s">
        <v>10</v>
      </c>
      <c r="F5540">
        <v>4724</v>
      </c>
    </row>
    <row r="5541" spans="1:6" x14ac:dyDescent="0.25">
      <c r="A5541" t="s">
        <v>10392</v>
      </c>
      <c r="B5541" t="s">
        <v>10393</v>
      </c>
      <c r="C5541" s="1">
        <v>44083</v>
      </c>
      <c r="D5541" t="b">
        <v>1</v>
      </c>
      <c r="E5541" t="s">
        <v>10</v>
      </c>
      <c r="F5541">
        <v>4725</v>
      </c>
    </row>
    <row r="5542" spans="1:6" x14ac:dyDescent="0.25">
      <c r="A5542" t="s">
        <v>10394</v>
      </c>
      <c r="B5542" t="s">
        <v>10395</v>
      </c>
      <c r="C5542" s="1">
        <v>44083</v>
      </c>
      <c r="D5542" t="b">
        <v>1</v>
      </c>
      <c r="E5542" t="s">
        <v>10</v>
      </c>
      <c r="F5542">
        <v>4726</v>
      </c>
    </row>
    <row r="5543" spans="1:6" x14ac:dyDescent="0.25">
      <c r="A5543" t="s">
        <v>10396</v>
      </c>
      <c r="B5543" t="s">
        <v>10397</v>
      </c>
      <c r="C5543" s="1">
        <v>44083</v>
      </c>
      <c r="D5543" t="b">
        <v>1</v>
      </c>
      <c r="E5543" t="s">
        <v>10</v>
      </c>
      <c r="F5543">
        <v>11102</v>
      </c>
    </row>
    <row r="5544" spans="1:6" x14ac:dyDescent="0.25">
      <c r="A5544" t="s">
        <v>10398</v>
      </c>
      <c r="B5544" t="s">
        <v>10399</v>
      </c>
      <c r="C5544" s="1">
        <v>44083</v>
      </c>
      <c r="D5544" t="b">
        <v>1</v>
      </c>
      <c r="E5544" t="s">
        <v>10</v>
      </c>
      <c r="F5544">
        <v>4730</v>
      </c>
    </row>
    <row r="5545" spans="1:6" x14ac:dyDescent="0.25">
      <c r="A5545" t="s">
        <v>10400</v>
      </c>
      <c r="B5545" t="s">
        <v>10401</v>
      </c>
      <c r="C5545" s="1">
        <v>44083</v>
      </c>
      <c r="D5545" t="b">
        <v>1</v>
      </c>
      <c r="E5545" t="s">
        <v>10</v>
      </c>
      <c r="F5545">
        <v>4731</v>
      </c>
    </row>
    <row r="5546" spans="1:6" x14ac:dyDescent="0.25">
      <c r="A5546" t="s">
        <v>10402</v>
      </c>
      <c r="B5546" t="s">
        <v>10403</v>
      </c>
      <c r="C5546" s="1">
        <v>44083</v>
      </c>
      <c r="D5546" t="b">
        <v>1</v>
      </c>
      <c r="E5546" t="s">
        <v>10</v>
      </c>
      <c r="F5546">
        <v>13345</v>
      </c>
    </row>
    <row r="5547" spans="1:6" x14ac:dyDescent="0.25">
      <c r="A5547" t="s">
        <v>10404</v>
      </c>
      <c r="B5547" t="s">
        <v>10405</v>
      </c>
      <c r="C5547" s="1">
        <v>44083</v>
      </c>
      <c r="D5547" t="b">
        <v>1</v>
      </c>
      <c r="E5547" t="s">
        <v>10</v>
      </c>
      <c r="F5547">
        <v>16947</v>
      </c>
    </row>
    <row r="5548" spans="1:6" x14ac:dyDescent="0.25">
      <c r="A5548" t="s">
        <v>10406</v>
      </c>
      <c r="B5548" t="s">
        <v>10407</v>
      </c>
      <c r="C5548" s="1">
        <v>44083</v>
      </c>
      <c r="D5548" t="b">
        <v>1</v>
      </c>
      <c r="E5548" t="s">
        <v>10</v>
      </c>
      <c r="F5548">
        <v>4735</v>
      </c>
    </row>
    <row r="5549" spans="1:6" x14ac:dyDescent="0.25">
      <c r="A5549" t="s">
        <v>10408</v>
      </c>
      <c r="B5549" t="s">
        <v>10409</v>
      </c>
      <c r="C5549" s="1">
        <v>44083</v>
      </c>
      <c r="D5549" t="b">
        <v>1</v>
      </c>
      <c r="E5549" t="s">
        <v>10</v>
      </c>
      <c r="F5549">
        <v>12825</v>
      </c>
    </row>
    <row r="5550" spans="1:6" x14ac:dyDescent="0.25">
      <c r="A5550" t="s">
        <v>10410</v>
      </c>
      <c r="B5550" t="s">
        <v>10411</v>
      </c>
      <c r="C5550" s="1">
        <v>44083</v>
      </c>
      <c r="D5550" t="b">
        <v>1</v>
      </c>
      <c r="E5550" t="s">
        <v>10</v>
      </c>
      <c r="F5550">
        <v>4741</v>
      </c>
    </row>
    <row r="5551" spans="1:6" x14ac:dyDescent="0.25">
      <c r="A5551" t="s">
        <v>10412</v>
      </c>
      <c r="B5551" t="s">
        <v>2407</v>
      </c>
      <c r="C5551" s="1">
        <v>44083</v>
      </c>
      <c r="D5551" t="b">
        <v>1</v>
      </c>
      <c r="E5551" t="s">
        <v>10</v>
      </c>
      <c r="F5551">
        <v>4744</v>
      </c>
    </row>
    <row r="5552" spans="1:6" x14ac:dyDescent="0.25">
      <c r="A5552" t="s">
        <v>10413</v>
      </c>
      <c r="C5552" s="1">
        <v>44083</v>
      </c>
      <c r="D5552" t="b">
        <v>1</v>
      </c>
      <c r="E5552" t="s">
        <v>10</v>
      </c>
      <c r="F5552">
        <v>15053</v>
      </c>
    </row>
    <row r="5553" spans="1:6" x14ac:dyDescent="0.25">
      <c r="A5553" t="s">
        <v>10414</v>
      </c>
      <c r="B5553" t="s">
        <v>10415</v>
      </c>
      <c r="C5553" s="1">
        <v>44083</v>
      </c>
      <c r="D5553" t="b">
        <v>1</v>
      </c>
      <c r="E5553" t="s">
        <v>10</v>
      </c>
      <c r="F5553">
        <v>4745</v>
      </c>
    </row>
    <row r="5554" spans="1:6" x14ac:dyDescent="0.25">
      <c r="A5554" t="s">
        <v>10416</v>
      </c>
      <c r="C5554" s="1">
        <v>44083</v>
      </c>
      <c r="D5554" t="b">
        <v>1</v>
      </c>
      <c r="E5554" t="s">
        <v>10</v>
      </c>
      <c r="F5554">
        <v>15022</v>
      </c>
    </row>
    <row r="5555" spans="1:6" x14ac:dyDescent="0.25">
      <c r="A5555" t="s">
        <v>10417</v>
      </c>
      <c r="B5555" t="s">
        <v>10418</v>
      </c>
      <c r="C5555" s="1">
        <v>44083</v>
      </c>
      <c r="D5555" t="b">
        <v>1</v>
      </c>
      <c r="E5555" t="s">
        <v>10</v>
      </c>
      <c r="F5555">
        <v>4746</v>
      </c>
    </row>
    <row r="5556" spans="1:6" x14ac:dyDescent="0.25">
      <c r="A5556" t="s">
        <v>10419</v>
      </c>
      <c r="B5556" t="s">
        <v>10420</v>
      </c>
      <c r="C5556" s="1">
        <v>44083</v>
      </c>
      <c r="D5556" t="b">
        <v>1</v>
      </c>
      <c r="E5556" t="s">
        <v>10</v>
      </c>
      <c r="F5556">
        <v>4747</v>
      </c>
    </row>
    <row r="5557" spans="1:6" x14ac:dyDescent="0.25">
      <c r="A5557" t="s">
        <v>10421</v>
      </c>
      <c r="B5557" t="s">
        <v>10422</v>
      </c>
      <c r="C5557" s="1">
        <v>44083</v>
      </c>
      <c r="D5557" t="b">
        <v>1</v>
      </c>
      <c r="E5557" t="s">
        <v>10</v>
      </c>
      <c r="F5557">
        <v>16868</v>
      </c>
    </row>
    <row r="5558" spans="1:6" x14ac:dyDescent="0.25">
      <c r="A5558" t="s">
        <v>10423</v>
      </c>
      <c r="B5558" t="s">
        <v>10424</v>
      </c>
      <c r="C5558" s="1">
        <v>44083</v>
      </c>
      <c r="D5558" t="b">
        <v>1</v>
      </c>
      <c r="E5558" t="s">
        <v>10</v>
      </c>
      <c r="F5558">
        <v>4748</v>
      </c>
    </row>
    <row r="5559" spans="1:6" x14ac:dyDescent="0.25">
      <c r="A5559" t="s">
        <v>10425</v>
      </c>
      <c r="B5559" t="s">
        <v>10426</v>
      </c>
      <c r="C5559" s="1">
        <v>44083</v>
      </c>
      <c r="D5559" t="b">
        <v>1</v>
      </c>
      <c r="E5559" t="s">
        <v>10</v>
      </c>
      <c r="F5559">
        <v>12795</v>
      </c>
    </row>
    <row r="5560" spans="1:6" x14ac:dyDescent="0.25">
      <c r="A5560" t="s">
        <v>10427</v>
      </c>
      <c r="C5560" s="1">
        <v>44083</v>
      </c>
      <c r="D5560" t="b">
        <v>1</v>
      </c>
      <c r="E5560" t="s">
        <v>10</v>
      </c>
      <c r="F5560">
        <v>12804</v>
      </c>
    </row>
    <row r="5561" spans="1:6" x14ac:dyDescent="0.25">
      <c r="A5561" t="s">
        <v>10428</v>
      </c>
      <c r="B5561" t="s">
        <v>10429</v>
      </c>
      <c r="C5561" s="1">
        <v>44083</v>
      </c>
      <c r="D5561" t="b">
        <v>1</v>
      </c>
      <c r="E5561" t="s">
        <v>10</v>
      </c>
      <c r="F5561">
        <v>4750</v>
      </c>
    </row>
    <row r="5562" spans="1:6" x14ac:dyDescent="0.25">
      <c r="A5562" t="s">
        <v>10430</v>
      </c>
      <c r="B5562" t="s">
        <v>10431</v>
      </c>
      <c r="C5562" s="1">
        <v>44083</v>
      </c>
      <c r="D5562" t="b">
        <v>1</v>
      </c>
      <c r="E5562" t="s">
        <v>10</v>
      </c>
      <c r="F5562">
        <v>4753</v>
      </c>
    </row>
    <row r="5563" spans="1:6" x14ac:dyDescent="0.25">
      <c r="A5563" t="s">
        <v>10432</v>
      </c>
      <c r="B5563" t="s">
        <v>10433</v>
      </c>
      <c r="C5563" s="1">
        <v>44083</v>
      </c>
      <c r="D5563" t="b">
        <v>1</v>
      </c>
      <c r="E5563" t="s">
        <v>10</v>
      </c>
      <c r="F5563">
        <v>7800</v>
      </c>
    </row>
    <row r="5564" spans="1:6" x14ac:dyDescent="0.25">
      <c r="A5564" t="s">
        <v>10434</v>
      </c>
      <c r="B5564" t="s">
        <v>10435</v>
      </c>
      <c r="C5564" s="1">
        <v>44083</v>
      </c>
      <c r="D5564" t="b">
        <v>1</v>
      </c>
      <c r="E5564" t="s">
        <v>10</v>
      </c>
      <c r="F5564">
        <v>4757</v>
      </c>
    </row>
    <row r="5565" spans="1:6" x14ac:dyDescent="0.25">
      <c r="A5565" t="s">
        <v>10436</v>
      </c>
      <c r="C5565" s="1">
        <v>44083</v>
      </c>
      <c r="D5565" t="b">
        <v>1</v>
      </c>
      <c r="E5565" t="s">
        <v>10</v>
      </c>
      <c r="F5565">
        <v>4762</v>
      </c>
    </row>
    <row r="5566" spans="1:6" x14ac:dyDescent="0.25">
      <c r="A5566" t="s">
        <v>10437</v>
      </c>
      <c r="C5566" s="1">
        <v>44083</v>
      </c>
      <c r="D5566" t="b">
        <v>1</v>
      </c>
      <c r="E5566" t="s">
        <v>10</v>
      </c>
      <c r="F5566">
        <v>4763</v>
      </c>
    </row>
    <row r="5567" spans="1:6" x14ac:dyDescent="0.25">
      <c r="A5567" t="s">
        <v>10438</v>
      </c>
      <c r="C5567" s="1">
        <v>44083</v>
      </c>
      <c r="D5567" t="b">
        <v>1</v>
      </c>
      <c r="E5567" t="s">
        <v>10</v>
      </c>
      <c r="F5567">
        <v>11460</v>
      </c>
    </row>
    <row r="5568" spans="1:6" x14ac:dyDescent="0.25">
      <c r="A5568" t="s">
        <v>10439</v>
      </c>
      <c r="C5568" s="1">
        <v>44083</v>
      </c>
      <c r="D5568" t="b">
        <v>1</v>
      </c>
      <c r="E5568" t="s">
        <v>10</v>
      </c>
      <c r="F5568">
        <v>15530</v>
      </c>
    </row>
    <row r="5569" spans="1:6" x14ac:dyDescent="0.25">
      <c r="A5569" t="s">
        <v>10440</v>
      </c>
      <c r="C5569" s="1">
        <v>44083</v>
      </c>
      <c r="D5569" t="b">
        <v>1</v>
      </c>
      <c r="E5569" t="s">
        <v>10</v>
      </c>
      <c r="F5569">
        <v>16063</v>
      </c>
    </row>
    <row r="5570" spans="1:6" x14ac:dyDescent="0.25">
      <c r="A5570" t="s">
        <v>10441</v>
      </c>
      <c r="C5570" s="1">
        <v>44083</v>
      </c>
      <c r="D5570" t="b">
        <v>1</v>
      </c>
      <c r="E5570" t="s">
        <v>10</v>
      </c>
      <c r="F5570">
        <v>16596</v>
      </c>
    </row>
    <row r="5571" spans="1:6" x14ac:dyDescent="0.25">
      <c r="A5571" t="s">
        <v>10442</v>
      </c>
      <c r="B5571" t="s">
        <v>10443</v>
      </c>
      <c r="C5571" s="1">
        <v>44083</v>
      </c>
      <c r="D5571" t="b">
        <v>1</v>
      </c>
      <c r="E5571" t="s">
        <v>10</v>
      </c>
      <c r="F5571">
        <v>15265</v>
      </c>
    </row>
    <row r="5572" spans="1:6" x14ac:dyDescent="0.25">
      <c r="A5572" t="s">
        <v>10444</v>
      </c>
      <c r="B5572" t="s">
        <v>10445</v>
      </c>
      <c r="C5572" s="1">
        <v>44083</v>
      </c>
      <c r="D5572" t="b">
        <v>1</v>
      </c>
      <c r="E5572" t="s">
        <v>10</v>
      </c>
      <c r="F5572">
        <v>4765</v>
      </c>
    </row>
    <row r="5573" spans="1:6" x14ac:dyDescent="0.25">
      <c r="A5573" t="s">
        <v>10446</v>
      </c>
      <c r="B5573" t="s">
        <v>10447</v>
      </c>
      <c r="C5573" s="1">
        <v>44083</v>
      </c>
      <c r="D5573" t="b">
        <v>1</v>
      </c>
      <c r="E5573" t="s">
        <v>10</v>
      </c>
      <c r="F5573">
        <v>4766</v>
      </c>
    </row>
    <row r="5574" spans="1:6" x14ac:dyDescent="0.25">
      <c r="A5574" t="s">
        <v>10448</v>
      </c>
      <c r="B5574" t="s">
        <v>10449</v>
      </c>
      <c r="C5574" s="1">
        <v>44083</v>
      </c>
      <c r="D5574" t="b">
        <v>1</v>
      </c>
      <c r="E5574" t="s">
        <v>10</v>
      </c>
      <c r="F5574">
        <v>4767</v>
      </c>
    </row>
    <row r="5575" spans="1:6" x14ac:dyDescent="0.25">
      <c r="A5575" t="s">
        <v>10450</v>
      </c>
      <c r="B5575" t="s">
        <v>10451</v>
      </c>
      <c r="C5575" s="1">
        <v>44083</v>
      </c>
      <c r="D5575" t="b">
        <v>1</v>
      </c>
      <c r="E5575" t="s">
        <v>10</v>
      </c>
      <c r="F5575">
        <v>4768</v>
      </c>
    </row>
    <row r="5576" spans="1:6" x14ac:dyDescent="0.25">
      <c r="A5576" t="s">
        <v>10452</v>
      </c>
      <c r="B5576" t="s">
        <v>10453</v>
      </c>
      <c r="C5576" s="1">
        <v>44083</v>
      </c>
      <c r="D5576" t="b">
        <v>1</v>
      </c>
      <c r="E5576" t="s">
        <v>10</v>
      </c>
      <c r="F5576">
        <v>4769</v>
      </c>
    </row>
    <row r="5577" spans="1:6" x14ac:dyDescent="0.25">
      <c r="A5577" t="s">
        <v>10454</v>
      </c>
      <c r="B5577" t="s">
        <v>10455</v>
      </c>
      <c r="C5577" s="1">
        <v>44083</v>
      </c>
      <c r="D5577" t="b">
        <v>1</v>
      </c>
      <c r="E5577" t="s">
        <v>10</v>
      </c>
      <c r="F5577">
        <v>10221</v>
      </c>
    </row>
    <row r="5578" spans="1:6" x14ac:dyDescent="0.25">
      <c r="A5578" t="s">
        <v>10456</v>
      </c>
      <c r="B5578" t="s">
        <v>10457</v>
      </c>
      <c r="C5578" s="1">
        <v>44083</v>
      </c>
      <c r="D5578" t="b">
        <v>1</v>
      </c>
      <c r="E5578" t="s">
        <v>10</v>
      </c>
      <c r="F5578">
        <v>8661</v>
      </c>
    </row>
    <row r="5579" spans="1:6" x14ac:dyDescent="0.25">
      <c r="A5579" t="s">
        <v>10458</v>
      </c>
      <c r="B5579" t="s">
        <v>10459</v>
      </c>
      <c r="C5579" s="1">
        <v>44083</v>
      </c>
      <c r="D5579" t="b">
        <v>1</v>
      </c>
      <c r="E5579" t="s">
        <v>10</v>
      </c>
      <c r="F5579">
        <v>16000</v>
      </c>
    </row>
    <row r="5580" spans="1:6" x14ac:dyDescent="0.25">
      <c r="A5580" t="s">
        <v>10460</v>
      </c>
      <c r="B5580" t="s">
        <v>10461</v>
      </c>
      <c r="C5580" s="1">
        <v>44083</v>
      </c>
      <c r="D5580" t="b">
        <v>1</v>
      </c>
      <c r="E5580" t="s">
        <v>10</v>
      </c>
      <c r="F5580">
        <v>4770</v>
      </c>
    </row>
    <row r="5581" spans="1:6" x14ac:dyDescent="0.25">
      <c r="A5581" t="s">
        <v>10462</v>
      </c>
      <c r="B5581" t="s">
        <v>10463</v>
      </c>
      <c r="C5581" s="1">
        <v>44083</v>
      </c>
      <c r="D5581" t="b">
        <v>1</v>
      </c>
      <c r="E5581" t="s">
        <v>10</v>
      </c>
      <c r="F5581">
        <v>15809</v>
      </c>
    </row>
    <row r="5582" spans="1:6" x14ac:dyDescent="0.25">
      <c r="A5582" t="s">
        <v>10464</v>
      </c>
      <c r="B5582" t="s">
        <v>10465</v>
      </c>
      <c r="C5582" s="1">
        <v>44083</v>
      </c>
      <c r="D5582" t="b">
        <v>1</v>
      </c>
      <c r="E5582" t="s">
        <v>10</v>
      </c>
      <c r="F5582">
        <v>8714</v>
      </c>
    </row>
    <row r="5583" spans="1:6" x14ac:dyDescent="0.25">
      <c r="A5583" t="s">
        <v>10466</v>
      </c>
      <c r="B5583" t="s">
        <v>10467</v>
      </c>
      <c r="C5583" s="1">
        <v>44083</v>
      </c>
      <c r="D5583" t="b">
        <v>1</v>
      </c>
      <c r="E5583" t="s">
        <v>10</v>
      </c>
      <c r="F5583">
        <v>13526</v>
      </c>
    </row>
    <row r="5584" spans="1:6" x14ac:dyDescent="0.25">
      <c r="A5584" t="s">
        <v>10468</v>
      </c>
      <c r="B5584" t="s">
        <v>10469</v>
      </c>
      <c r="C5584" s="1">
        <v>44083</v>
      </c>
      <c r="D5584" t="b">
        <v>1</v>
      </c>
      <c r="E5584" t="s">
        <v>10</v>
      </c>
      <c r="F5584">
        <v>12979</v>
      </c>
    </row>
    <row r="5585" spans="1:6" x14ac:dyDescent="0.25">
      <c r="A5585" t="s">
        <v>10470</v>
      </c>
      <c r="C5585" s="1">
        <v>44083</v>
      </c>
      <c r="D5585" t="b">
        <v>1</v>
      </c>
      <c r="E5585" t="s">
        <v>10</v>
      </c>
      <c r="F5585">
        <v>12996</v>
      </c>
    </row>
    <row r="5586" spans="1:6" x14ac:dyDescent="0.25">
      <c r="A5586" t="s">
        <v>10471</v>
      </c>
      <c r="B5586" t="s">
        <v>10472</v>
      </c>
      <c r="C5586" s="1">
        <v>44083</v>
      </c>
      <c r="D5586" t="b">
        <v>1</v>
      </c>
      <c r="E5586" t="s">
        <v>10</v>
      </c>
      <c r="F5586">
        <v>16007</v>
      </c>
    </row>
    <row r="5587" spans="1:6" x14ac:dyDescent="0.25">
      <c r="A5587" t="s">
        <v>10473</v>
      </c>
      <c r="B5587" t="s">
        <v>10474</v>
      </c>
      <c r="C5587" s="1">
        <v>44083</v>
      </c>
      <c r="D5587" t="b">
        <v>1</v>
      </c>
      <c r="E5587" t="s">
        <v>10</v>
      </c>
      <c r="F5587">
        <v>4773</v>
      </c>
    </row>
    <row r="5588" spans="1:6" x14ac:dyDescent="0.25">
      <c r="A5588" t="s">
        <v>10475</v>
      </c>
      <c r="B5588" t="s">
        <v>10476</v>
      </c>
      <c r="C5588" s="1">
        <v>44083</v>
      </c>
      <c r="D5588" t="b">
        <v>1</v>
      </c>
      <c r="E5588" t="s">
        <v>10</v>
      </c>
      <c r="F5588">
        <v>15547</v>
      </c>
    </row>
    <row r="5589" spans="1:6" x14ac:dyDescent="0.25">
      <c r="A5589" t="s">
        <v>10477</v>
      </c>
      <c r="B5589" t="s">
        <v>10478</v>
      </c>
      <c r="C5589" s="1">
        <v>44083</v>
      </c>
      <c r="D5589" t="b">
        <v>1</v>
      </c>
      <c r="E5589" t="s">
        <v>10</v>
      </c>
      <c r="F5589">
        <v>4774</v>
      </c>
    </row>
    <row r="5590" spans="1:6" x14ac:dyDescent="0.25">
      <c r="A5590" t="s">
        <v>10479</v>
      </c>
      <c r="B5590" t="s">
        <v>10480</v>
      </c>
      <c r="C5590" s="1">
        <v>44083</v>
      </c>
      <c r="D5590" t="b">
        <v>1</v>
      </c>
      <c r="E5590" t="s">
        <v>10</v>
      </c>
      <c r="F5590">
        <v>4775</v>
      </c>
    </row>
    <row r="5591" spans="1:6" x14ac:dyDescent="0.25">
      <c r="A5591" t="s">
        <v>10481</v>
      </c>
      <c r="B5591" t="s">
        <v>10482</v>
      </c>
      <c r="C5591" s="1">
        <v>44083</v>
      </c>
      <c r="D5591" t="b">
        <v>1</v>
      </c>
      <c r="E5591" t="s">
        <v>10</v>
      </c>
      <c r="F5591">
        <v>14648</v>
      </c>
    </row>
    <row r="5592" spans="1:6" x14ac:dyDescent="0.25">
      <c r="A5592" t="s">
        <v>10483</v>
      </c>
      <c r="B5592" t="s">
        <v>10484</v>
      </c>
      <c r="C5592" s="1">
        <v>44083</v>
      </c>
      <c r="D5592" t="b">
        <v>1</v>
      </c>
      <c r="E5592" t="s">
        <v>10</v>
      </c>
      <c r="F5592">
        <v>13182</v>
      </c>
    </row>
    <row r="5593" spans="1:6" x14ac:dyDescent="0.25">
      <c r="A5593" t="s">
        <v>10485</v>
      </c>
      <c r="B5593" t="s">
        <v>10486</v>
      </c>
      <c r="C5593" s="1">
        <v>44083</v>
      </c>
      <c r="D5593" t="b">
        <v>1</v>
      </c>
      <c r="E5593" t="s">
        <v>10</v>
      </c>
      <c r="F5593">
        <v>9542</v>
      </c>
    </row>
    <row r="5594" spans="1:6" x14ac:dyDescent="0.25">
      <c r="A5594" t="s">
        <v>10487</v>
      </c>
      <c r="B5594" t="s">
        <v>10488</v>
      </c>
      <c r="C5594" s="1">
        <v>44083</v>
      </c>
      <c r="D5594" t="b">
        <v>1</v>
      </c>
      <c r="E5594" t="s">
        <v>10</v>
      </c>
      <c r="F5594">
        <v>4779</v>
      </c>
    </row>
    <row r="5595" spans="1:6" x14ac:dyDescent="0.25">
      <c r="A5595" t="s">
        <v>10489</v>
      </c>
      <c r="C5595" s="1">
        <v>44083</v>
      </c>
      <c r="D5595" t="b">
        <v>1</v>
      </c>
      <c r="E5595" t="s">
        <v>10</v>
      </c>
      <c r="F5595">
        <v>14180</v>
      </c>
    </row>
    <row r="5596" spans="1:6" x14ac:dyDescent="0.25">
      <c r="A5596" t="s">
        <v>10490</v>
      </c>
      <c r="C5596" s="1">
        <v>44083</v>
      </c>
      <c r="D5596" t="b">
        <v>1</v>
      </c>
      <c r="E5596" t="s">
        <v>10</v>
      </c>
      <c r="F5596">
        <v>15984</v>
      </c>
    </row>
    <row r="5597" spans="1:6" x14ac:dyDescent="0.25">
      <c r="A5597" t="s">
        <v>10491</v>
      </c>
      <c r="B5597" t="s">
        <v>10492</v>
      </c>
      <c r="C5597" s="1">
        <v>44083</v>
      </c>
      <c r="D5597" t="b">
        <v>1</v>
      </c>
      <c r="E5597" t="s">
        <v>10</v>
      </c>
      <c r="F5597">
        <v>12198</v>
      </c>
    </row>
    <row r="5598" spans="1:6" x14ac:dyDescent="0.25">
      <c r="A5598" t="s">
        <v>10493</v>
      </c>
      <c r="B5598" t="s">
        <v>10494</v>
      </c>
      <c r="C5598" s="1">
        <v>44083</v>
      </c>
      <c r="D5598" t="b">
        <v>1</v>
      </c>
      <c r="E5598" t="s">
        <v>10</v>
      </c>
      <c r="F5598">
        <v>13643</v>
      </c>
    </row>
    <row r="5599" spans="1:6" x14ac:dyDescent="0.25">
      <c r="A5599" t="s">
        <v>10495</v>
      </c>
      <c r="B5599" t="s">
        <v>10496</v>
      </c>
      <c r="C5599" s="1">
        <v>44083</v>
      </c>
      <c r="D5599" t="b">
        <v>1</v>
      </c>
      <c r="E5599" t="s">
        <v>10</v>
      </c>
      <c r="F5599">
        <v>9903</v>
      </c>
    </row>
    <row r="5600" spans="1:6" x14ac:dyDescent="0.25">
      <c r="A5600" t="s">
        <v>10497</v>
      </c>
      <c r="B5600" t="s">
        <v>10498</v>
      </c>
      <c r="C5600" s="1">
        <v>44083</v>
      </c>
      <c r="D5600" t="b">
        <v>1</v>
      </c>
      <c r="E5600" t="s">
        <v>10</v>
      </c>
      <c r="F5600">
        <v>4780</v>
      </c>
    </row>
    <row r="5601" spans="1:6" x14ac:dyDescent="0.25">
      <c r="A5601" t="s">
        <v>10499</v>
      </c>
      <c r="B5601" t="s">
        <v>10500</v>
      </c>
      <c r="C5601" s="1">
        <v>44083</v>
      </c>
      <c r="D5601" t="b">
        <v>1</v>
      </c>
      <c r="E5601" t="s">
        <v>10</v>
      </c>
      <c r="F5601">
        <v>15224</v>
      </c>
    </row>
    <row r="5602" spans="1:6" x14ac:dyDescent="0.25">
      <c r="A5602" t="s">
        <v>10501</v>
      </c>
      <c r="B5602" t="s">
        <v>10502</v>
      </c>
      <c r="C5602" s="1">
        <v>44083</v>
      </c>
      <c r="D5602" t="b">
        <v>1</v>
      </c>
      <c r="E5602" t="s">
        <v>10</v>
      </c>
      <c r="F5602">
        <v>4782</v>
      </c>
    </row>
    <row r="5603" spans="1:6" x14ac:dyDescent="0.25">
      <c r="A5603" t="s">
        <v>10503</v>
      </c>
      <c r="B5603" t="s">
        <v>10504</v>
      </c>
      <c r="C5603" s="1">
        <v>44083</v>
      </c>
      <c r="D5603" t="b">
        <v>1</v>
      </c>
      <c r="E5603" t="s">
        <v>10</v>
      </c>
      <c r="F5603">
        <v>14864</v>
      </c>
    </row>
    <row r="5604" spans="1:6" x14ac:dyDescent="0.25">
      <c r="A5604" t="s">
        <v>10505</v>
      </c>
      <c r="C5604" s="1">
        <v>44083</v>
      </c>
      <c r="D5604" t="b">
        <v>1</v>
      </c>
      <c r="E5604" t="s">
        <v>10</v>
      </c>
      <c r="F5604">
        <v>14869</v>
      </c>
    </row>
    <row r="5605" spans="1:6" x14ac:dyDescent="0.25">
      <c r="A5605" t="s">
        <v>10506</v>
      </c>
      <c r="B5605" t="s">
        <v>10507</v>
      </c>
      <c r="C5605" s="1">
        <v>44083</v>
      </c>
      <c r="D5605" t="b">
        <v>1</v>
      </c>
      <c r="E5605" t="s">
        <v>10</v>
      </c>
      <c r="F5605">
        <v>15998</v>
      </c>
    </row>
    <row r="5606" spans="1:6" x14ac:dyDescent="0.25">
      <c r="A5606" t="s">
        <v>10508</v>
      </c>
      <c r="B5606" t="s">
        <v>10509</v>
      </c>
      <c r="C5606" s="1">
        <v>44083</v>
      </c>
      <c r="D5606" t="b">
        <v>1</v>
      </c>
      <c r="E5606" t="s">
        <v>10</v>
      </c>
      <c r="F5606">
        <v>15922</v>
      </c>
    </row>
    <row r="5607" spans="1:6" x14ac:dyDescent="0.25">
      <c r="A5607" t="s">
        <v>10510</v>
      </c>
      <c r="C5607" s="1">
        <v>44083</v>
      </c>
      <c r="D5607" t="b">
        <v>1</v>
      </c>
      <c r="E5607" t="s">
        <v>10</v>
      </c>
      <c r="F5607">
        <v>16001</v>
      </c>
    </row>
    <row r="5608" spans="1:6" x14ac:dyDescent="0.25">
      <c r="A5608" t="s">
        <v>10511</v>
      </c>
      <c r="B5608" t="s">
        <v>10512</v>
      </c>
      <c r="C5608" s="1">
        <v>44083</v>
      </c>
      <c r="D5608" t="b">
        <v>1</v>
      </c>
      <c r="E5608" t="s">
        <v>10</v>
      </c>
      <c r="F5608">
        <v>4783</v>
      </c>
    </row>
    <row r="5609" spans="1:6" x14ac:dyDescent="0.25">
      <c r="A5609" t="s">
        <v>10513</v>
      </c>
      <c r="B5609" t="s">
        <v>10514</v>
      </c>
      <c r="C5609" s="1">
        <v>44083</v>
      </c>
      <c r="D5609" t="b">
        <v>1</v>
      </c>
      <c r="E5609" t="s">
        <v>10</v>
      </c>
      <c r="F5609">
        <v>10383</v>
      </c>
    </row>
    <row r="5610" spans="1:6" x14ac:dyDescent="0.25">
      <c r="A5610" t="s">
        <v>10515</v>
      </c>
      <c r="B5610" t="s">
        <v>10516</v>
      </c>
      <c r="C5610" s="1">
        <v>44083</v>
      </c>
      <c r="D5610" t="b">
        <v>1</v>
      </c>
      <c r="E5610" t="s">
        <v>10</v>
      </c>
      <c r="F5610">
        <v>4784</v>
      </c>
    </row>
    <row r="5611" spans="1:6" x14ac:dyDescent="0.25">
      <c r="A5611" t="s">
        <v>10517</v>
      </c>
      <c r="B5611" t="s">
        <v>10518</v>
      </c>
      <c r="C5611" s="1">
        <v>44083</v>
      </c>
      <c r="D5611" t="b">
        <v>1</v>
      </c>
      <c r="E5611" t="s">
        <v>10</v>
      </c>
      <c r="F5611">
        <v>8001</v>
      </c>
    </row>
    <row r="5612" spans="1:6" x14ac:dyDescent="0.25">
      <c r="A5612" t="s">
        <v>10519</v>
      </c>
      <c r="B5612" t="s">
        <v>10520</v>
      </c>
      <c r="C5612" s="1">
        <v>44083</v>
      </c>
      <c r="D5612" t="b">
        <v>1</v>
      </c>
      <c r="E5612" t="s">
        <v>10</v>
      </c>
      <c r="F5612">
        <v>2682</v>
      </c>
    </row>
    <row r="5613" spans="1:6" x14ac:dyDescent="0.25">
      <c r="A5613" t="s">
        <v>10521</v>
      </c>
      <c r="B5613" t="s">
        <v>10522</v>
      </c>
      <c r="C5613" s="1">
        <v>44083</v>
      </c>
      <c r="D5613" t="b">
        <v>1</v>
      </c>
      <c r="E5613" t="s">
        <v>10</v>
      </c>
      <c r="F5613">
        <v>4788</v>
      </c>
    </row>
    <row r="5614" spans="1:6" x14ac:dyDescent="0.25">
      <c r="A5614" t="s">
        <v>10523</v>
      </c>
      <c r="B5614" t="s">
        <v>10524</v>
      </c>
      <c r="C5614" s="1">
        <v>44083</v>
      </c>
      <c r="D5614" t="b">
        <v>1</v>
      </c>
      <c r="E5614" t="s">
        <v>10</v>
      </c>
      <c r="F5614">
        <v>17018</v>
      </c>
    </row>
    <row r="5615" spans="1:6" x14ac:dyDescent="0.25">
      <c r="A5615" t="s">
        <v>10525</v>
      </c>
      <c r="B5615" t="s">
        <v>10526</v>
      </c>
      <c r="C5615" s="1">
        <v>44083</v>
      </c>
      <c r="D5615" t="b">
        <v>1</v>
      </c>
      <c r="E5615" t="s">
        <v>10</v>
      </c>
      <c r="F5615">
        <v>4789</v>
      </c>
    </row>
    <row r="5616" spans="1:6" x14ac:dyDescent="0.25">
      <c r="A5616" t="s">
        <v>10527</v>
      </c>
      <c r="B5616" t="s">
        <v>10528</v>
      </c>
      <c r="C5616" s="1">
        <v>44083</v>
      </c>
      <c r="D5616" t="b">
        <v>1</v>
      </c>
      <c r="E5616" t="s">
        <v>10</v>
      </c>
      <c r="F5616">
        <v>4790</v>
      </c>
    </row>
    <row r="5617" spans="1:6" x14ac:dyDescent="0.25">
      <c r="A5617" t="s">
        <v>10529</v>
      </c>
      <c r="B5617" t="s">
        <v>10530</v>
      </c>
      <c r="C5617" s="1">
        <v>44083</v>
      </c>
      <c r="D5617" t="b">
        <v>1</v>
      </c>
      <c r="E5617" t="s">
        <v>10</v>
      </c>
      <c r="F5617">
        <v>4791</v>
      </c>
    </row>
    <row r="5618" spans="1:6" x14ac:dyDescent="0.25">
      <c r="A5618" t="s">
        <v>10531</v>
      </c>
      <c r="B5618" t="s">
        <v>10532</v>
      </c>
      <c r="C5618" s="1">
        <v>44083</v>
      </c>
      <c r="D5618" t="b">
        <v>1</v>
      </c>
      <c r="E5618" t="s">
        <v>10</v>
      </c>
      <c r="F5618">
        <v>8299</v>
      </c>
    </row>
    <row r="5619" spans="1:6" x14ac:dyDescent="0.25">
      <c r="A5619" t="s">
        <v>10533</v>
      </c>
      <c r="C5619" s="1">
        <v>44083</v>
      </c>
      <c r="D5619" t="b">
        <v>1</v>
      </c>
      <c r="E5619" t="s">
        <v>10</v>
      </c>
      <c r="F5619">
        <v>11590</v>
      </c>
    </row>
    <row r="5620" spans="1:6" x14ac:dyDescent="0.25">
      <c r="A5620" t="s">
        <v>10534</v>
      </c>
      <c r="C5620" s="1">
        <v>44083</v>
      </c>
      <c r="D5620" t="b">
        <v>1</v>
      </c>
      <c r="E5620" t="s">
        <v>10</v>
      </c>
      <c r="F5620">
        <v>9872</v>
      </c>
    </row>
    <row r="5621" spans="1:6" x14ac:dyDescent="0.25">
      <c r="A5621" t="s">
        <v>10535</v>
      </c>
      <c r="C5621" s="1">
        <v>44083</v>
      </c>
      <c r="D5621" t="b">
        <v>1</v>
      </c>
      <c r="E5621" t="s">
        <v>10</v>
      </c>
      <c r="F5621">
        <v>8888</v>
      </c>
    </row>
    <row r="5622" spans="1:6" x14ac:dyDescent="0.25">
      <c r="A5622" t="s">
        <v>10536</v>
      </c>
      <c r="C5622" s="1">
        <v>44083</v>
      </c>
      <c r="D5622" t="b">
        <v>1</v>
      </c>
      <c r="E5622" t="s">
        <v>10</v>
      </c>
      <c r="F5622">
        <v>10426</v>
      </c>
    </row>
    <row r="5623" spans="1:6" x14ac:dyDescent="0.25">
      <c r="A5623" t="s">
        <v>10537</v>
      </c>
      <c r="B5623" t="s">
        <v>10538</v>
      </c>
      <c r="C5623" s="1">
        <v>44083</v>
      </c>
      <c r="D5623" t="b">
        <v>1</v>
      </c>
      <c r="E5623" t="s">
        <v>10</v>
      </c>
      <c r="F5623">
        <v>4792</v>
      </c>
    </row>
    <row r="5624" spans="1:6" x14ac:dyDescent="0.25">
      <c r="A5624" t="s">
        <v>10539</v>
      </c>
      <c r="C5624" s="1">
        <v>44083</v>
      </c>
      <c r="D5624" t="b">
        <v>1</v>
      </c>
      <c r="E5624" t="s">
        <v>10</v>
      </c>
      <c r="F5624">
        <v>13044</v>
      </c>
    </row>
    <row r="5625" spans="1:6" x14ac:dyDescent="0.25">
      <c r="A5625" t="s">
        <v>10540</v>
      </c>
      <c r="C5625" s="1">
        <v>44083</v>
      </c>
      <c r="D5625" t="b">
        <v>1</v>
      </c>
      <c r="E5625" t="s">
        <v>10</v>
      </c>
      <c r="F5625">
        <v>15589</v>
      </c>
    </row>
    <row r="5626" spans="1:6" x14ac:dyDescent="0.25">
      <c r="A5626" t="s">
        <v>10541</v>
      </c>
      <c r="C5626" s="1">
        <v>44083</v>
      </c>
      <c r="D5626" t="b">
        <v>1</v>
      </c>
      <c r="E5626" t="s">
        <v>10</v>
      </c>
      <c r="F5626">
        <v>10729</v>
      </c>
    </row>
    <row r="5627" spans="1:6" x14ac:dyDescent="0.25">
      <c r="A5627" t="s">
        <v>10542</v>
      </c>
      <c r="B5627" t="s">
        <v>10543</v>
      </c>
      <c r="C5627" s="1">
        <v>44083</v>
      </c>
      <c r="D5627" t="b">
        <v>1</v>
      </c>
      <c r="E5627" t="s">
        <v>10</v>
      </c>
      <c r="F5627">
        <v>15091</v>
      </c>
    </row>
    <row r="5628" spans="1:6" x14ac:dyDescent="0.25">
      <c r="A5628" t="s">
        <v>10544</v>
      </c>
      <c r="B5628" t="s">
        <v>10545</v>
      </c>
      <c r="C5628" s="1">
        <v>44083</v>
      </c>
      <c r="D5628" t="b">
        <v>1</v>
      </c>
      <c r="E5628" t="s">
        <v>10</v>
      </c>
      <c r="F5628">
        <v>4795</v>
      </c>
    </row>
    <row r="5629" spans="1:6" x14ac:dyDescent="0.25">
      <c r="A5629" t="s">
        <v>10546</v>
      </c>
      <c r="B5629" t="s">
        <v>10547</v>
      </c>
      <c r="C5629" s="1">
        <v>44083</v>
      </c>
      <c r="D5629" t="b">
        <v>1</v>
      </c>
      <c r="E5629" t="s">
        <v>10</v>
      </c>
      <c r="F5629">
        <v>4796</v>
      </c>
    </row>
    <row r="5630" spans="1:6" x14ac:dyDescent="0.25">
      <c r="A5630" t="s">
        <v>10548</v>
      </c>
      <c r="B5630" t="s">
        <v>10549</v>
      </c>
      <c r="C5630" s="1">
        <v>44083</v>
      </c>
      <c r="D5630" t="b">
        <v>1</v>
      </c>
      <c r="E5630" t="s">
        <v>10</v>
      </c>
      <c r="F5630">
        <v>11318</v>
      </c>
    </row>
    <row r="5631" spans="1:6" x14ac:dyDescent="0.25">
      <c r="A5631" t="s">
        <v>10550</v>
      </c>
      <c r="B5631" t="s">
        <v>10551</v>
      </c>
      <c r="C5631" s="1">
        <v>44083</v>
      </c>
      <c r="D5631" t="b">
        <v>1</v>
      </c>
      <c r="E5631" t="s">
        <v>10</v>
      </c>
      <c r="F5631">
        <v>11333</v>
      </c>
    </row>
    <row r="5632" spans="1:6" x14ac:dyDescent="0.25">
      <c r="A5632" t="s">
        <v>10552</v>
      </c>
      <c r="B5632" t="s">
        <v>10553</v>
      </c>
      <c r="C5632" s="1">
        <v>44083</v>
      </c>
      <c r="D5632" t="b">
        <v>1</v>
      </c>
      <c r="E5632" t="s">
        <v>10</v>
      </c>
      <c r="F5632">
        <v>10723</v>
      </c>
    </row>
    <row r="5633" spans="1:6" x14ac:dyDescent="0.25">
      <c r="A5633" t="s">
        <v>10554</v>
      </c>
      <c r="B5633" t="s">
        <v>10555</v>
      </c>
      <c r="C5633" s="1">
        <v>44083</v>
      </c>
      <c r="D5633" t="b">
        <v>1</v>
      </c>
      <c r="E5633" t="s">
        <v>10</v>
      </c>
      <c r="F5633">
        <v>4800</v>
      </c>
    </row>
    <row r="5634" spans="1:6" x14ac:dyDescent="0.25">
      <c r="A5634" t="s">
        <v>10556</v>
      </c>
      <c r="B5634" t="s">
        <v>10557</v>
      </c>
      <c r="C5634" s="1">
        <v>44083</v>
      </c>
      <c r="D5634" t="b">
        <v>1</v>
      </c>
      <c r="E5634" t="s">
        <v>10</v>
      </c>
      <c r="F5634">
        <v>4802</v>
      </c>
    </row>
    <row r="5635" spans="1:6" x14ac:dyDescent="0.25">
      <c r="A5635" t="s">
        <v>10558</v>
      </c>
      <c r="B5635" t="s">
        <v>10559</v>
      </c>
      <c r="C5635" s="1">
        <v>44083</v>
      </c>
      <c r="D5635" t="b">
        <v>1</v>
      </c>
      <c r="E5635" t="s">
        <v>10</v>
      </c>
      <c r="F5635">
        <v>4803</v>
      </c>
    </row>
    <row r="5636" spans="1:6" x14ac:dyDescent="0.25">
      <c r="A5636" t="s">
        <v>10560</v>
      </c>
      <c r="B5636" t="s">
        <v>10561</v>
      </c>
      <c r="C5636" s="1">
        <v>44083</v>
      </c>
      <c r="D5636" t="b">
        <v>1</v>
      </c>
      <c r="E5636" t="s">
        <v>10</v>
      </c>
      <c r="F5636">
        <v>16970</v>
      </c>
    </row>
    <row r="5637" spans="1:6" x14ac:dyDescent="0.25">
      <c r="A5637" t="s">
        <v>10562</v>
      </c>
      <c r="B5637" t="s">
        <v>10563</v>
      </c>
      <c r="C5637" s="1">
        <v>44083</v>
      </c>
      <c r="D5637" t="b">
        <v>1</v>
      </c>
      <c r="E5637" t="s">
        <v>10</v>
      </c>
      <c r="F5637">
        <v>9788</v>
      </c>
    </row>
    <row r="5638" spans="1:6" x14ac:dyDescent="0.25">
      <c r="A5638" t="s">
        <v>10564</v>
      </c>
      <c r="C5638" s="1">
        <v>44083</v>
      </c>
      <c r="D5638" t="b">
        <v>1</v>
      </c>
      <c r="E5638" t="s">
        <v>10</v>
      </c>
      <c r="F5638">
        <v>12312</v>
      </c>
    </row>
    <row r="5639" spans="1:6" x14ac:dyDescent="0.25">
      <c r="A5639" t="s">
        <v>10565</v>
      </c>
      <c r="B5639" t="s">
        <v>10566</v>
      </c>
      <c r="C5639" s="1">
        <v>44083</v>
      </c>
      <c r="D5639" t="b">
        <v>1</v>
      </c>
      <c r="E5639" t="s">
        <v>10</v>
      </c>
      <c r="F5639">
        <v>4804</v>
      </c>
    </row>
    <row r="5640" spans="1:6" x14ac:dyDescent="0.25">
      <c r="A5640" t="s">
        <v>10567</v>
      </c>
      <c r="B5640" t="s">
        <v>10568</v>
      </c>
      <c r="C5640" s="1">
        <v>44083</v>
      </c>
      <c r="D5640" t="b">
        <v>1</v>
      </c>
      <c r="E5640" t="s">
        <v>10</v>
      </c>
      <c r="F5640">
        <v>9752</v>
      </c>
    </row>
    <row r="5641" spans="1:6" x14ac:dyDescent="0.25">
      <c r="A5641" t="s">
        <v>10569</v>
      </c>
      <c r="B5641" t="s">
        <v>10570</v>
      </c>
      <c r="C5641" s="1">
        <v>44083</v>
      </c>
      <c r="D5641" t="b">
        <v>1</v>
      </c>
      <c r="E5641" t="s">
        <v>10</v>
      </c>
      <c r="F5641">
        <v>4806</v>
      </c>
    </row>
    <row r="5642" spans="1:6" x14ac:dyDescent="0.25">
      <c r="A5642" t="s">
        <v>10571</v>
      </c>
      <c r="C5642" s="1">
        <v>44083</v>
      </c>
      <c r="D5642" t="b">
        <v>1</v>
      </c>
      <c r="E5642" t="s">
        <v>10</v>
      </c>
      <c r="F5642">
        <v>15359</v>
      </c>
    </row>
    <row r="5643" spans="1:6" x14ac:dyDescent="0.25">
      <c r="A5643" t="s">
        <v>10572</v>
      </c>
      <c r="B5643" t="s">
        <v>10573</v>
      </c>
      <c r="C5643" s="1">
        <v>44083</v>
      </c>
      <c r="D5643" t="b">
        <v>1</v>
      </c>
      <c r="E5643" t="s">
        <v>10</v>
      </c>
      <c r="F5643">
        <v>4807</v>
      </c>
    </row>
    <row r="5644" spans="1:6" x14ac:dyDescent="0.25">
      <c r="A5644" t="s">
        <v>10574</v>
      </c>
      <c r="B5644" t="s">
        <v>10575</v>
      </c>
      <c r="C5644" s="1">
        <v>44083</v>
      </c>
      <c r="D5644" t="b">
        <v>1</v>
      </c>
      <c r="E5644" t="s">
        <v>10</v>
      </c>
      <c r="F5644">
        <v>4808</v>
      </c>
    </row>
    <row r="5645" spans="1:6" x14ac:dyDescent="0.25">
      <c r="A5645" t="s">
        <v>10576</v>
      </c>
      <c r="B5645" t="s">
        <v>10577</v>
      </c>
      <c r="C5645" s="1">
        <v>44083</v>
      </c>
      <c r="D5645" t="b">
        <v>1</v>
      </c>
      <c r="E5645" t="s">
        <v>10</v>
      </c>
      <c r="F5645">
        <v>4809</v>
      </c>
    </row>
    <row r="5646" spans="1:6" x14ac:dyDescent="0.25">
      <c r="A5646" t="s">
        <v>10578</v>
      </c>
      <c r="B5646" t="s">
        <v>10579</v>
      </c>
      <c r="C5646" s="1">
        <v>44083</v>
      </c>
      <c r="D5646" t="b">
        <v>1</v>
      </c>
      <c r="E5646" t="s">
        <v>10</v>
      </c>
      <c r="F5646">
        <v>4810</v>
      </c>
    </row>
    <row r="5647" spans="1:6" x14ac:dyDescent="0.25">
      <c r="A5647" t="s">
        <v>10580</v>
      </c>
      <c r="B5647" t="s">
        <v>10581</v>
      </c>
      <c r="C5647" s="1">
        <v>44083</v>
      </c>
      <c r="D5647" t="b">
        <v>1</v>
      </c>
      <c r="E5647" t="s">
        <v>10</v>
      </c>
      <c r="F5647">
        <v>4811</v>
      </c>
    </row>
    <row r="5648" spans="1:6" x14ac:dyDescent="0.25">
      <c r="A5648" t="s">
        <v>10582</v>
      </c>
      <c r="B5648" t="s">
        <v>10583</v>
      </c>
      <c r="C5648" s="1">
        <v>44083</v>
      </c>
      <c r="D5648" t="b">
        <v>1</v>
      </c>
      <c r="E5648" t="s">
        <v>10</v>
      </c>
      <c r="F5648">
        <v>16811</v>
      </c>
    </row>
    <row r="5649" spans="1:6" x14ac:dyDescent="0.25">
      <c r="A5649" t="s">
        <v>10584</v>
      </c>
      <c r="B5649" t="s">
        <v>10585</v>
      </c>
      <c r="C5649" s="1">
        <v>44083</v>
      </c>
      <c r="D5649" t="b">
        <v>1</v>
      </c>
      <c r="E5649" t="s">
        <v>10</v>
      </c>
      <c r="F5649">
        <v>4814</v>
      </c>
    </row>
    <row r="5650" spans="1:6" x14ac:dyDescent="0.25">
      <c r="A5650" t="s">
        <v>10586</v>
      </c>
      <c r="B5650" t="s">
        <v>10587</v>
      </c>
      <c r="C5650" s="1">
        <v>44083</v>
      </c>
      <c r="D5650" t="b">
        <v>1</v>
      </c>
      <c r="E5650" t="s">
        <v>10</v>
      </c>
      <c r="F5650">
        <v>13785</v>
      </c>
    </row>
    <row r="5651" spans="1:6" x14ac:dyDescent="0.25">
      <c r="A5651" t="s">
        <v>10588</v>
      </c>
      <c r="B5651" t="s">
        <v>10589</v>
      </c>
      <c r="C5651" s="1">
        <v>44083</v>
      </c>
      <c r="D5651" t="b">
        <v>1</v>
      </c>
      <c r="E5651" t="s">
        <v>10</v>
      </c>
      <c r="F5651">
        <v>14930</v>
      </c>
    </row>
    <row r="5652" spans="1:6" x14ac:dyDescent="0.25">
      <c r="A5652" t="s">
        <v>10590</v>
      </c>
      <c r="B5652" t="s">
        <v>10591</v>
      </c>
      <c r="C5652" s="1">
        <v>44083</v>
      </c>
      <c r="D5652" t="b">
        <v>1</v>
      </c>
      <c r="E5652" t="s">
        <v>10</v>
      </c>
      <c r="F5652">
        <v>4818</v>
      </c>
    </row>
    <row r="5653" spans="1:6" x14ac:dyDescent="0.25">
      <c r="A5653" t="s">
        <v>10592</v>
      </c>
      <c r="B5653" t="s">
        <v>10593</v>
      </c>
      <c r="C5653" s="1">
        <v>44083</v>
      </c>
      <c r="D5653" t="b">
        <v>1</v>
      </c>
      <c r="E5653" t="s">
        <v>10</v>
      </c>
      <c r="F5653">
        <v>15071</v>
      </c>
    </row>
    <row r="5654" spans="1:6" x14ac:dyDescent="0.25">
      <c r="A5654" t="s">
        <v>10594</v>
      </c>
      <c r="B5654" t="s">
        <v>10595</v>
      </c>
      <c r="C5654" s="1">
        <v>44083</v>
      </c>
      <c r="D5654" t="b">
        <v>1</v>
      </c>
      <c r="E5654" t="s">
        <v>10</v>
      </c>
      <c r="F5654">
        <v>16432</v>
      </c>
    </row>
    <row r="5655" spans="1:6" x14ac:dyDescent="0.25">
      <c r="A5655" t="s">
        <v>10596</v>
      </c>
      <c r="B5655" t="s">
        <v>10597</v>
      </c>
      <c r="C5655" s="1">
        <v>44083</v>
      </c>
      <c r="D5655" t="b">
        <v>1</v>
      </c>
      <c r="E5655" t="s">
        <v>10</v>
      </c>
      <c r="F5655">
        <v>4820</v>
      </c>
    </row>
    <row r="5656" spans="1:6" x14ac:dyDescent="0.25">
      <c r="A5656" t="s">
        <v>10598</v>
      </c>
      <c r="B5656" t="s">
        <v>10333</v>
      </c>
      <c r="C5656" s="1">
        <v>44083</v>
      </c>
      <c r="D5656" t="b">
        <v>0</v>
      </c>
      <c r="E5656" t="s">
        <v>10</v>
      </c>
      <c r="F5656">
        <v>16903</v>
      </c>
    </row>
    <row r="5657" spans="1:6" x14ac:dyDescent="0.25">
      <c r="A5657" t="s">
        <v>10599</v>
      </c>
      <c r="B5657" t="s">
        <v>10600</v>
      </c>
      <c r="C5657" s="1">
        <v>44083</v>
      </c>
      <c r="D5657" t="b">
        <v>1</v>
      </c>
      <c r="E5657" t="s">
        <v>10</v>
      </c>
      <c r="F5657">
        <v>4821</v>
      </c>
    </row>
    <row r="5658" spans="1:6" x14ac:dyDescent="0.25">
      <c r="A5658" t="s">
        <v>10601</v>
      </c>
      <c r="B5658" t="s">
        <v>10602</v>
      </c>
      <c r="C5658" s="1">
        <v>44083</v>
      </c>
      <c r="D5658" t="b">
        <v>1</v>
      </c>
      <c r="E5658" t="s">
        <v>10</v>
      </c>
      <c r="F5658">
        <v>10261</v>
      </c>
    </row>
    <row r="5659" spans="1:6" x14ac:dyDescent="0.25">
      <c r="A5659" t="s">
        <v>10603</v>
      </c>
      <c r="B5659" t="s">
        <v>10604</v>
      </c>
      <c r="C5659" s="1">
        <v>44083</v>
      </c>
      <c r="D5659" t="b">
        <v>1</v>
      </c>
      <c r="E5659" t="s">
        <v>10</v>
      </c>
      <c r="F5659">
        <v>4823</v>
      </c>
    </row>
    <row r="5660" spans="1:6" x14ac:dyDescent="0.25">
      <c r="A5660" t="s">
        <v>10605</v>
      </c>
      <c r="B5660" t="s">
        <v>10606</v>
      </c>
      <c r="C5660" s="1">
        <v>44083</v>
      </c>
      <c r="D5660" t="b">
        <v>1</v>
      </c>
      <c r="E5660" t="s">
        <v>10</v>
      </c>
      <c r="F5660">
        <v>4824</v>
      </c>
    </row>
    <row r="5661" spans="1:6" x14ac:dyDescent="0.25">
      <c r="A5661" t="s">
        <v>10607</v>
      </c>
      <c r="B5661" t="s">
        <v>10608</v>
      </c>
      <c r="C5661" s="1">
        <v>44083</v>
      </c>
      <c r="D5661" t="b">
        <v>1</v>
      </c>
      <c r="E5661" t="s">
        <v>10</v>
      </c>
      <c r="F5661">
        <v>14723</v>
      </c>
    </row>
    <row r="5662" spans="1:6" x14ac:dyDescent="0.25">
      <c r="A5662" t="s">
        <v>10609</v>
      </c>
      <c r="B5662" t="s">
        <v>10610</v>
      </c>
      <c r="C5662" s="1">
        <v>44083</v>
      </c>
      <c r="D5662" t="b">
        <v>1</v>
      </c>
      <c r="E5662" t="s">
        <v>10</v>
      </c>
      <c r="F5662">
        <v>4828</v>
      </c>
    </row>
    <row r="5663" spans="1:6" x14ac:dyDescent="0.25">
      <c r="A5663" t="s">
        <v>10611</v>
      </c>
      <c r="B5663" t="s">
        <v>10612</v>
      </c>
      <c r="C5663" s="1">
        <v>44083</v>
      </c>
      <c r="D5663" t="b">
        <v>1</v>
      </c>
      <c r="E5663" t="s">
        <v>10</v>
      </c>
      <c r="F5663">
        <v>4829</v>
      </c>
    </row>
    <row r="5664" spans="1:6" x14ac:dyDescent="0.25">
      <c r="A5664" t="s">
        <v>10613</v>
      </c>
      <c r="B5664" t="s">
        <v>10614</v>
      </c>
      <c r="C5664" s="1">
        <v>44083</v>
      </c>
      <c r="D5664" t="b">
        <v>1</v>
      </c>
      <c r="E5664" t="s">
        <v>10</v>
      </c>
      <c r="F5664">
        <v>16943</v>
      </c>
    </row>
    <row r="5665" spans="1:6" x14ac:dyDescent="0.25">
      <c r="A5665" t="s">
        <v>10615</v>
      </c>
      <c r="B5665" t="s">
        <v>10616</v>
      </c>
      <c r="C5665" s="1">
        <v>44083</v>
      </c>
      <c r="D5665" t="b">
        <v>1</v>
      </c>
      <c r="E5665" t="s">
        <v>10</v>
      </c>
      <c r="F5665">
        <v>4830</v>
      </c>
    </row>
    <row r="5666" spans="1:6" x14ac:dyDescent="0.25">
      <c r="A5666" t="s">
        <v>10617</v>
      </c>
      <c r="B5666" t="s">
        <v>10618</v>
      </c>
      <c r="C5666" s="1">
        <v>44083</v>
      </c>
      <c r="D5666" t="b">
        <v>1</v>
      </c>
      <c r="E5666" t="s">
        <v>10</v>
      </c>
      <c r="F5666">
        <v>4832</v>
      </c>
    </row>
    <row r="5667" spans="1:6" x14ac:dyDescent="0.25">
      <c r="A5667" t="s">
        <v>10619</v>
      </c>
      <c r="B5667" t="s">
        <v>10620</v>
      </c>
      <c r="C5667" s="1">
        <v>44083</v>
      </c>
      <c r="D5667" t="b">
        <v>1</v>
      </c>
      <c r="E5667" t="s">
        <v>10</v>
      </c>
      <c r="F5667">
        <v>6630</v>
      </c>
    </row>
    <row r="5668" spans="1:6" x14ac:dyDescent="0.25">
      <c r="A5668" t="s">
        <v>10621</v>
      </c>
      <c r="B5668" t="s">
        <v>10622</v>
      </c>
      <c r="C5668" s="1">
        <v>44083</v>
      </c>
      <c r="D5668" t="b">
        <v>1</v>
      </c>
      <c r="E5668" t="s">
        <v>10</v>
      </c>
      <c r="F5668">
        <v>4835</v>
      </c>
    </row>
    <row r="5669" spans="1:6" x14ac:dyDescent="0.25">
      <c r="A5669" t="s">
        <v>10623</v>
      </c>
      <c r="B5669" t="s">
        <v>10624</v>
      </c>
      <c r="C5669" s="1">
        <v>44083</v>
      </c>
      <c r="D5669" t="b">
        <v>1</v>
      </c>
      <c r="E5669" t="s">
        <v>10</v>
      </c>
      <c r="F5669">
        <v>4836</v>
      </c>
    </row>
    <row r="5670" spans="1:6" x14ac:dyDescent="0.25">
      <c r="A5670" t="s">
        <v>10625</v>
      </c>
      <c r="B5670" t="s">
        <v>10626</v>
      </c>
      <c r="C5670" s="1">
        <v>44083</v>
      </c>
      <c r="D5670" t="b">
        <v>1</v>
      </c>
      <c r="E5670" t="s">
        <v>10</v>
      </c>
      <c r="F5670">
        <v>10466</v>
      </c>
    </row>
    <row r="5671" spans="1:6" x14ac:dyDescent="0.25">
      <c r="A5671" t="s">
        <v>10627</v>
      </c>
      <c r="B5671" t="s">
        <v>10628</v>
      </c>
      <c r="C5671" s="1">
        <v>44083</v>
      </c>
      <c r="D5671" t="b">
        <v>1</v>
      </c>
      <c r="E5671" t="s">
        <v>10</v>
      </c>
      <c r="F5671">
        <v>8312</v>
      </c>
    </row>
    <row r="5672" spans="1:6" x14ac:dyDescent="0.25">
      <c r="A5672" t="s">
        <v>10629</v>
      </c>
      <c r="B5672" t="s">
        <v>10630</v>
      </c>
      <c r="C5672" s="1">
        <v>44083</v>
      </c>
      <c r="D5672" t="b">
        <v>1</v>
      </c>
      <c r="E5672" t="s">
        <v>10</v>
      </c>
      <c r="F5672">
        <v>4839</v>
      </c>
    </row>
    <row r="5673" spans="1:6" x14ac:dyDescent="0.25">
      <c r="A5673" t="s">
        <v>10631</v>
      </c>
      <c r="C5673" s="1">
        <v>44083</v>
      </c>
      <c r="D5673" t="b">
        <v>1</v>
      </c>
      <c r="E5673" t="s">
        <v>10</v>
      </c>
      <c r="F5673">
        <v>4842</v>
      </c>
    </row>
    <row r="5674" spans="1:6" x14ac:dyDescent="0.25">
      <c r="A5674" t="s">
        <v>10632</v>
      </c>
      <c r="C5674" s="1">
        <v>44083</v>
      </c>
      <c r="D5674" t="b">
        <v>1</v>
      </c>
      <c r="E5674" t="s">
        <v>10</v>
      </c>
      <c r="F5674">
        <v>13207</v>
      </c>
    </row>
    <row r="5675" spans="1:6" x14ac:dyDescent="0.25">
      <c r="A5675" t="s">
        <v>10633</v>
      </c>
      <c r="C5675" s="1">
        <v>44083</v>
      </c>
      <c r="D5675" t="b">
        <v>1</v>
      </c>
      <c r="E5675" t="s">
        <v>10</v>
      </c>
      <c r="F5675">
        <v>14058</v>
      </c>
    </row>
    <row r="5676" spans="1:6" x14ac:dyDescent="0.25">
      <c r="A5676" t="s">
        <v>10634</v>
      </c>
      <c r="C5676" s="1">
        <v>44083</v>
      </c>
      <c r="D5676" t="b">
        <v>1</v>
      </c>
      <c r="E5676" t="s">
        <v>10</v>
      </c>
      <c r="F5676">
        <v>15897</v>
      </c>
    </row>
    <row r="5677" spans="1:6" x14ac:dyDescent="0.25">
      <c r="A5677" t="s">
        <v>10635</v>
      </c>
      <c r="B5677" t="s">
        <v>10636</v>
      </c>
      <c r="C5677" s="1">
        <v>44083</v>
      </c>
      <c r="D5677" t="b">
        <v>1</v>
      </c>
      <c r="E5677" t="s">
        <v>10</v>
      </c>
      <c r="F5677">
        <v>4843</v>
      </c>
    </row>
    <row r="5678" spans="1:6" x14ac:dyDescent="0.25">
      <c r="A5678" t="s">
        <v>10637</v>
      </c>
      <c r="C5678" s="1">
        <v>44083</v>
      </c>
      <c r="D5678" t="b">
        <v>1</v>
      </c>
      <c r="E5678" t="s">
        <v>10</v>
      </c>
      <c r="F5678">
        <v>14610</v>
      </c>
    </row>
    <row r="5679" spans="1:6" x14ac:dyDescent="0.25">
      <c r="A5679" t="s">
        <v>10638</v>
      </c>
      <c r="C5679" s="1">
        <v>44083</v>
      </c>
      <c r="D5679" t="b">
        <v>1</v>
      </c>
      <c r="E5679" t="s">
        <v>10</v>
      </c>
      <c r="F5679">
        <v>14611</v>
      </c>
    </row>
    <row r="5680" spans="1:6" x14ac:dyDescent="0.25">
      <c r="A5680" t="s">
        <v>10639</v>
      </c>
      <c r="B5680" t="s">
        <v>10640</v>
      </c>
      <c r="C5680" s="1">
        <v>44083</v>
      </c>
      <c r="D5680" t="b">
        <v>1</v>
      </c>
      <c r="E5680" t="s">
        <v>10</v>
      </c>
      <c r="F5680">
        <v>14805</v>
      </c>
    </row>
    <row r="5681" spans="1:6" x14ac:dyDescent="0.25">
      <c r="A5681" t="s">
        <v>10641</v>
      </c>
      <c r="B5681" t="s">
        <v>10642</v>
      </c>
      <c r="C5681" s="1">
        <v>44083</v>
      </c>
      <c r="D5681" t="b">
        <v>1</v>
      </c>
      <c r="E5681" t="s">
        <v>10</v>
      </c>
      <c r="F5681">
        <v>15670</v>
      </c>
    </row>
    <row r="5682" spans="1:6" x14ac:dyDescent="0.25">
      <c r="A5682" t="s">
        <v>10643</v>
      </c>
      <c r="B5682" t="s">
        <v>10644</v>
      </c>
      <c r="C5682" s="1">
        <v>44083</v>
      </c>
      <c r="D5682" t="b">
        <v>1</v>
      </c>
      <c r="E5682" t="s">
        <v>10</v>
      </c>
      <c r="F5682">
        <v>4847</v>
      </c>
    </row>
    <row r="5683" spans="1:6" x14ac:dyDescent="0.25">
      <c r="A5683" t="s">
        <v>10645</v>
      </c>
      <c r="C5683" s="1">
        <v>44083</v>
      </c>
      <c r="D5683" t="b">
        <v>1</v>
      </c>
      <c r="E5683" t="s">
        <v>10</v>
      </c>
      <c r="F5683">
        <v>15092</v>
      </c>
    </row>
    <row r="5684" spans="1:6" x14ac:dyDescent="0.25">
      <c r="A5684" t="s">
        <v>10646</v>
      </c>
      <c r="B5684" t="s">
        <v>10647</v>
      </c>
      <c r="C5684" s="1">
        <v>44083</v>
      </c>
      <c r="D5684" t="b">
        <v>1</v>
      </c>
      <c r="E5684" t="s">
        <v>10</v>
      </c>
      <c r="F5684">
        <v>4848</v>
      </c>
    </row>
    <row r="5685" spans="1:6" x14ac:dyDescent="0.25">
      <c r="A5685" t="s">
        <v>10648</v>
      </c>
      <c r="B5685" t="s">
        <v>10649</v>
      </c>
      <c r="C5685" s="1">
        <v>44083</v>
      </c>
      <c r="D5685" t="b">
        <v>1</v>
      </c>
      <c r="E5685" t="s">
        <v>10</v>
      </c>
      <c r="F5685">
        <v>8092</v>
      </c>
    </row>
    <row r="5686" spans="1:6" x14ac:dyDescent="0.25">
      <c r="A5686" t="s">
        <v>10650</v>
      </c>
      <c r="C5686" s="1">
        <v>44083</v>
      </c>
      <c r="D5686" t="b">
        <v>1</v>
      </c>
      <c r="E5686" t="s">
        <v>10</v>
      </c>
      <c r="F5686">
        <v>4849</v>
      </c>
    </row>
    <row r="5687" spans="1:6" x14ac:dyDescent="0.25">
      <c r="A5687" t="s">
        <v>10651</v>
      </c>
      <c r="C5687" s="1">
        <v>44083</v>
      </c>
      <c r="D5687" t="b">
        <v>1</v>
      </c>
      <c r="E5687" t="s">
        <v>10</v>
      </c>
      <c r="F5687">
        <v>4850</v>
      </c>
    </row>
    <row r="5688" spans="1:6" x14ac:dyDescent="0.25">
      <c r="A5688" t="s">
        <v>10652</v>
      </c>
      <c r="B5688" t="s">
        <v>10653</v>
      </c>
      <c r="C5688" s="1">
        <v>44083</v>
      </c>
      <c r="D5688" t="b">
        <v>1</v>
      </c>
      <c r="E5688" t="s">
        <v>10</v>
      </c>
      <c r="F5688">
        <v>4851</v>
      </c>
    </row>
    <row r="5689" spans="1:6" x14ac:dyDescent="0.25">
      <c r="A5689" t="s">
        <v>10654</v>
      </c>
      <c r="B5689" t="s">
        <v>10655</v>
      </c>
      <c r="C5689" s="1">
        <v>44083</v>
      </c>
      <c r="D5689" t="b">
        <v>1</v>
      </c>
      <c r="E5689" t="s">
        <v>10</v>
      </c>
      <c r="F5689">
        <v>4852</v>
      </c>
    </row>
    <row r="5690" spans="1:6" x14ac:dyDescent="0.25">
      <c r="A5690" t="s">
        <v>10656</v>
      </c>
      <c r="B5690" t="s">
        <v>10657</v>
      </c>
      <c r="C5690" s="1">
        <v>44083</v>
      </c>
      <c r="D5690" t="b">
        <v>1</v>
      </c>
      <c r="E5690" t="s">
        <v>10</v>
      </c>
      <c r="F5690">
        <v>4854</v>
      </c>
    </row>
    <row r="5691" spans="1:6" x14ac:dyDescent="0.25">
      <c r="A5691" t="s">
        <v>10658</v>
      </c>
      <c r="B5691" t="s">
        <v>10659</v>
      </c>
      <c r="C5691" s="1">
        <v>44083</v>
      </c>
      <c r="D5691" t="b">
        <v>1</v>
      </c>
      <c r="E5691" t="s">
        <v>10</v>
      </c>
      <c r="F5691">
        <v>14084</v>
      </c>
    </row>
    <row r="5692" spans="1:6" x14ac:dyDescent="0.25">
      <c r="A5692" t="s">
        <v>10660</v>
      </c>
      <c r="B5692" t="s">
        <v>10661</v>
      </c>
      <c r="C5692" s="1">
        <v>44083</v>
      </c>
      <c r="D5692" t="b">
        <v>1</v>
      </c>
      <c r="E5692" t="s">
        <v>10</v>
      </c>
      <c r="F5692">
        <v>13634</v>
      </c>
    </row>
    <row r="5693" spans="1:6" x14ac:dyDescent="0.25">
      <c r="A5693" t="s">
        <v>10662</v>
      </c>
      <c r="B5693" t="s">
        <v>10663</v>
      </c>
      <c r="C5693" s="1">
        <v>44083</v>
      </c>
      <c r="D5693" t="b">
        <v>1</v>
      </c>
      <c r="E5693" t="s">
        <v>10</v>
      </c>
      <c r="F5693">
        <v>9319</v>
      </c>
    </row>
    <row r="5694" spans="1:6" x14ac:dyDescent="0.25">
      <c r="A5694" t="s">
        <v>10664</v>
      </c>
      <c r="B5694" t="s">
        <v>10665</v>
      </c>
      <c r="C5694" s="1">
        <v>44083</v>
      </c>
      <c r="D5694" t="b">
        <v>1</v>
      </c>
      <c r="E5694" t="s">
        <v>10</v>
      </c>
      <c r="F5694">
        <v>4856</v>
      </c>
    </row>
    <row r="5695" spans="1:6" x14ac:dyDescent="0.25">
      <c r="A5695" t="s">
        <v>10666</v>
      </c>
      <c r="B5695" t="s">
        <v>10667</v>
      </c>
      <c r="C5695" s="1">
        <v>44083</v>
      </c>
      <c r="D5695" t="b">
        <v>1</v>
      </c>
      <c r="E5695" t="s">
        <v>10</v>
      </c>
      <c r="F5695">
        <v>11546</v>
      </c>
    </row>
    <row r="5696" spans="1:6" x14ac:dyDescent="0.25">
      <c r="A5696" t="s">
        <v>10668</v>
      </c>
      <c r="B5696" t="s">
        <v>10669</v>
      </c>
      <c r="C5696" s="1">
        <v>44083</v>
      </c>
      <c r="D5696" t="b">
        <v>1</v>
      </c>
      <c r="E5696" t="s">
        <v>10</v>
      </c>
      <c r="F5696">
        <v>4859</v>
      </c>
    </row>
    <row r="5697" spans="1:6" x14ac:dyDescent="0.25">
      <c r="A5697" t="s">
        <v>10670</v>
      </c>
      <c r="B5697" t="s">
        <v>10671</v>
      </c>
      <c r="C5697" s="1">
        <v>44083</v>
      </c>
      <c r="D5697" t="b">
        <v>1</v>
      </c>
      <c r="E5697" t="s">
        <v>10</v>
      </c>
      <c r="F5697">
        <v>4866</v>
      </c>
    </row>
    <row r="5698" spans="1:6" x14ac:dyDescent="0.25">
      <c r="A5698" t="s">
        <v>10672</v>
      </c>
      <c r="B5698" t="s">
        <v>10673</v>
      </c>
      <c r="C5698" s="1">
        <v>44083</v>
      </c>
      <c r="D5698" t="b">
        <v>1</v>
      </c>
      <c r="E5698" t="s">
        <v>10</v>
      </c>
      <c r="F5698">
        <v>4867</v>
      </c>
    </row>
    <row r="5699" spans="1:6" x14ac:dyDescent="0.25">
      <c r="A5699" t="s">
        <v>10674</v>
      </c>
      <c r="B5699" t="s">
        <v>10675</v>
      </c>
      <c r="C5699" s="1">
        <v>44083</v>
      </c>
      <c r="D5699" t="b">
        <v>1</v>
      </c>
      <c r="E5699" t="s">
        <v>10</v>
      </c>
      <c r="F5699">
        <v>4868</v>
      </c>
    </row>
    <row r="5700" spans="1:6" x14ac:dyDescent="0.25">
      <c r="A5700" t="s">
        <v>10676</v>
      </c>
      <c r="B5700" t="s">
        <v>10677</v>
      </c>
      <c r="C5700" s="1">
        <v>44083</v>
      </c>
      <c r="D5700" t="b">
        <v>1</v>
      </c>
      <c r="E5700" t="s">
        <v>10</v>
      </c>
      <c r="F5700">
        <v>11132</v>
      </c>
    </row>
    <row r="5701" spans="1:6" x14ac:dyDescent="0.25">
      <c r="A5701" t="s">
        <v>10678</v>
      </c>
      <c r="B5701" t="s">
        <v>10679</v>
      </c>
      <c r="C5701" s="1">
        <v>44083</v>
      </c>
      <c r="D5701" t="b">
        <v>1</v>
      </c>
      <c r="E5701" t="s">
        <v>10</v>
      </c>
      <c r="F5701">
        <v>4875</v>
      </c>
    </row>
    <row r="5702" spans="1:6" x14ac:dyDescent="0.25">
      <c r="A5702" t="s">
        <v>10680</v>
      </c>
      <c r="B5702" t="s">
        <v>10681</v>
      </c>
      <c r="C5702" s="1">
        <v>44083</v>
      </c>
      <c r="D5702" t="b">
        <v>1</v>
      </c>
      <c r="E5702" t="s">
        <v>10</v>
      </c>
      <c r="F5702">
        <v>4877</v>
      </c>
    </row>
    <row r="5703" spans="1:6" x14ac:dyDescent="0.25">
      <c r="A5703" t="s">
        <v>10682</v>
      </c>
      <c r="C5703" s="1">
        <v>44083</v>
      </c>
      <c r="D5703" t="b">
        <v>1</v>
      </c>
      <c r="E5703" t="s">
        <v>10</v>
      </c>
      <c r="F5703">
        <v>11971</v>
      </c>
    </row>
    <row r="5704" spans="1:6" x14ac:dyDescent="0.25">
      <c r="A5704" t="s">
        <v>10683</v>
      </c>
      <c r="B5704" t="s">
        <v>10684</v>
      </c>
      <c r="C5704" s="1">
        <v>44083</v>
      </c>
      <c r="D5704" t="b">
        <v>1</v>
      </c>
      <c r="E5704" t="s">
        <v>10</v>
      </c>
      <c r="F5704">
        <v>17096</v>
      </c>
    </row>
    <row r="5705" spans="1:6" x14ac:dyDescent="0.25">
      <c r="A5705" t="s">
        <v>10685</v>
      </c>
      <c r="B5705" t="s">
        <v>10686</v>
      </c>
      <c r="C5705" s="1">
        <v>44083</v>
      </c>
      <c r="D5705" t="b">
        <v>1</v>
      </c>
      <c r="E5705" t="s">
        <v>10</v>
      </c>
      <c r="F5705">
        <v>7789</v>
      </c>
    </row>
    <row r="5706" spans="1:6" x14ac:dyDescent="0.25">
      <c r="A5706" t="s">
        <v>10687</v>
      </c>
      <c r="B5706" t="s">
        <v>10688</v>
      </c>
      <c r="C5706" s="1">
        <v>44083</v>
      </c>
      <c r="D5706" t="b">
        <v>1</v>
      </c>
      <c r="E5706" t="s">
        <v>10</v>
      </c>
      <c r="F5706">
        <v>4881</v>
      </c>
    </row>
    <row r="5707" spans="1:6" x14ac:dyDescent="0.25">
      <c r="A5707" t="s">
        <v>10689</v>
      </c>
      <c r="B5707" t="s">
        <v>10690</v>
      </c>
      <c r="C5707" s="1">
        <v>44083</v>
      </c>
      <c r="D5707" t="b">
        <v>1</v>
      </c>
      <c r="E5707" t="s">
        <v>10</v>
      </c>
      <c r="F5707">
        <v>4882</v>
      </c>
    </row>
    <row r="5708" spans="1:6" x14ac:dyDescent="0.25">
      <c r="A5708" t="s">
        <v>10691</v>
      </c>
      <c r="B5708" t="s">
        <v>10692</v>
      </c>
      <c r="C5708" s="1">
        <v>44083</v>
      </c>
      <c r="D5708" t="b">
        <v>1</v>
      </c>
      <c r="E5708" t="s">
        <v>10</v>
      </c>
      <c r="F5708">
        <v>4883</v>
      </c>
    </row>
    <row r="5709" spans="1:6" x14ac:dyDescent="0.25">
      <c r="A5709" t="s">
        <v>10693</v>
      </c>
      <c r="B5709" t="s">
        <v>10694</v>
      </c>
      <c r="C5709" s="1">
        <v>44083</v>
      </c>
      <c r="D5709" t="b">
        <v>1</v>
      </c>
      <c r="E5709" t="s">
        <v>10</v>
      </c>
      <c r="F5709">
        <v>8006</v>
      </c>
    </row>
    <row r="5710" spans="1:6" x14ac:dyDescent="0.25">
      <c r="A5710" t="s">
        <v>10695</v>
      </c>
      <c r="B5710" t="s">
        <v>10696</v>
      </c>
      <c r="C5710" s="1">
        <v>44083</v>
      </c>
      <c r="D5710" t="b">
        <v>1</v>
      </c>
      <c r="E5710" t="s">
        <v>10</v>
      </c>
      <c r="F5710">
        <v>4884</v>
      </c>
    </row>
    <row r="5711" spans="1:6" x14ac:dyDescent="0.25">
      <c r="A5711" t="s">
        <v>10697</v>
      </c>
      <c r="B5711" t="s">
        <v>10698</v>
      </c>
      <c r="C5711" s="1">
        <v>44083</v>
      </c>
      <c r="D5711" t="b">
        <v>1</v>
      </c>
      <c r="E5711" t="s">
        <v>10</v>
      </c>
      <c r="F5711">
        <v>16129</v>
      </c>
    </row>
    <row r="5712" spans="1:6" x14ac:dyDescent="0.25">
      <c r="A5712" t="s">
        <v>10699</v>
      </c>
      <c r="B5712" t="s">
        <v>10700</v>
      </c>
      <c r="C5712" s="1">
        <v>44083</v>
      </c>
      <c r="D5712" t="b">
        <v>1</v>
      </c>
      <c r="E5712" t="s">
        <v>10</v>
      </c>
      <c r="F5712">
        <v>11949</v>
      </c>
    </row>
    <row r="5713" spans="1:6" x14ac:dyDescent="0.25">
      <c r="A5713" t="s">
        <v>10701</v>
      </c>
      <c r="B5713" t="s">
        <v>10702</v>
      </c>
      <c r="C5713" s="1">
        <v>44083</v>
      </c>
      <c r="D5713" t="b">
        <v>1</v>
      </c>
      <c r="E5713" t="s">
        <v>10</v>
      </c>
      <c r="F5713">
        <v>4885</v>
      </c>
    </row>
    <row r="5714" spans="1:6" x14ac:dyDescent="0.25">
      <c r="A5714" t="s">
        <v>10703</v>
      </c>
      <c r="B5714" t="s">
        <v>10704</v>
      </c>
      <c r="C5714" s="1">
        <v>44083</v>
      </c>
      <c r="D5714" t="b">
        <v>1</v>
      </c>
      <c r="E5714" t="s">
        <v>10</v>
      </c>
      <c r="F5714">
        <v>4886</v>
      </c>
    </row>
    <row r="5715" spans="1:6" x14ac:dyDescent="0.25">
      <c r="A5715" t="s">
        <v>10705</v>
      </c>
      <c r="B5715" t="s">
        <v>10706</v>
      </c>
      <c r="C5715" s="1">
        <v>44083</v>
      </c>
      <c r="D5715" t="b">
        <v>1</v>
      </c>
      <c r="E5715" t="s">
        <v>10</v>
      </c>
      <c r="F5715">
        <v>4887</v>
      </c>
    </row>
    <row r="5716" spans="1:6" x14ac:dyDescent="0.25">
      <c r="A5716" t="s">
        <v>10707</v>
      </c>
      <c r="B5716" t="s">
        <v>10708</v>
      </c>
      <c r="C5716" s="1">
        <v>44083</v>
      </c>
      <c r="D5716" t="b">
        <v>1</v>
      </c>
      <c r="E5716" t="s">
        <v>10</v>
      </c>
      <c r="F5716">
        <v>11006</v>
      </c>
    </row>
    <row r="5717" spans="1:6" x14ac:dyDescent="0.25">
      <c r="A5717" t="s">
        <v>10709</v>
      </c>
      <c r="B5717" t="s">
        <v>10710</v>
      </c>
      <c r="C5717" s="1">
        <v>44083</v>
      </c>
      <c r="D5717" t="b">
        <v>1</v>
      </c>
      <c r="E5717" t="s">
        <v>10</v>
      </c>
      <c r="F5717">
        <v>4890</v>
      </c>
    </row>
    <row r="5718" spans="1:6" x14ac:dyDescent="0.25">
      <c r="A5718" t="s">
        <v>10711</v>
      </c>
      <c r="B5718" t="s">
        <v>10712</v>
      </c>
      <c r="C5718" s="1">
        <v>44083</v>
      </c>
      <c r="D5718" t="b">
        <v>1</v>
      </c>
      <c r="E5718" t="s">
        <v>10</v>
      </c>
      <c r="F5718">
        <v>4891</v>
      </c>
    </row>
    <row r="5719" spans="1:6" x14ac:dyDescent="0.25">
      <c r="A5719" t="s">
        <v>10713</v>
      </c>
      <c r="B5719" t="s">
        <v>10714</v>
      </c>
      <c r="C5719" s="1">
        <v>44083</v>
      </c>
      <c r="D5719" t="b">
        <v>1</v>
      </c>
      <c r="E5719" t="s">
        <v>10</v>
      </c>
      <c r="F5719">
        <v>15883</v>
      </c>
    </row>
    <row r="5720" spans="1:6" x14ac:dyDescent="0.25">
      <c r="A5720" t="s">
        <v>10715</v>
      </c>
      <c r="B5720" t="s">
        <v>10716</v>
      </c>
      <c r="C5720" s="1">
        <v>44083</v>
      </c>
      <c r="D5720" t="b">
        <v>1</v>
      </c>
      <c r="E5720" t="s">
        <v>10</v>
      </c>
      <c r="F5720">
        <v>11766</v>
      </c>
    </row>
    <row r="5721" spans="1:6" x14ac:dyDescent="0.25">
      <c r="A5721" t="s">
        <v>10717</v>
      </c>
      <c r="B5721" t="s">
        <v>10718</v>
      </c>
      <c r="C5721" s="1">
        <v>44083</v>
      </c>
      <c r="D5721" t="b">
        <v>1</v>
      </c>
      <c r="E5721" t="s">
        <v>10</v>
      </c>
      <c r="F5721">
        <v>16812</v>
      </c>
    </row>
    <row r="5722" spans="1:6" x14ac:dyDescent="0.25">
      <c r="A5722" t="s">
        <v>10719</v>
      </c>
      <c r="B5722" t="s">
        <v>10718</v>
      </c>
      <c r="C5722" s="1">
        <v>44083</v>
      </c>
      <c r="D5722" t="b">
        <v>1</v>
      </c>
      <c r="E5722" t="s">
        <v>10</v>
      </c>
      <c r="F5722">
        <v>16699</v>
      </c>
    </row>
    <row r="5723" spans="1:6" x14ac:dyDescent="0.25">
      <c r="A5723" t="s">
        <v>10720</v>
      </c>
      <c r="C5723" s="1">
        <v>44083</v>
      </c>
      <c r="D5723" t="b">
        <v>1</v>
      </c>
      <c r="E5723" t="s">
        <v>10</v>
      </c>
      <c r="F5723">
        <v>16820</v>
      </c>
    </row>
    <row r="5724" spans="1:6" x14ac:dyDescent="0.25">
      <c r="A5724" t="s">
        <v>10721</v>
      </c>
      <c r="B5724" t="s">
        <v>10722</v>
      </c>
      <c r="C5724" s="1">
        <v>44083</v>
      </c>
      <c r="D5724" t="b">
        <v>1</v>
      </c>
      <c r="E5724" t="s">
        <v>10</v>
      </c>
      <c r="F5724">
        <v>3021</v>
      </c>
    </row>
    <row r="5725" spans="1:6" x14ac:dyDescent="0.25">
      <c r="A5725" t="s">
        <v>10723</v>
      </c>
      <c r="B5725" t="s">
        <v>10724</v>
      </c>
      <c r="C5725" s="1">
        <v>44083</v>
      </c>
      <c r="D5725" t="b">
        <v>1</v>
      </c>
      <c r="E5725" t="s">
        <v>10</v>
      </c>
      <c r="F5725">
        <v>4893</v>
      </c>
    </row>
    <row r="5726" spans="1:6" x14ac:dyDescent="0.25">
      <c r="A5726" t="s">
        <v>10725</v>
      </c>
      <c r="B5726" t="s">
        <v>10726</v>
      </c>
      <c r="C5726" s="1">
        <v>44083</v>
      </c>
      <c r="D5726" t="b">
        <v>1</v>
      </c>
      <c r="E5726" t="s">
        <v>10</v>
      </c>
      <c r="F5726">
        <v>4894</v>
      </c>
    </row>
    <row r="5727" spans="1:6" x14ac:dyDescent="0.25">
      <c r="A5727" t="s">
        <v>10727</v>
      </c>
      <c r="B5727" t="s">
        <v>10728</v>
      </c>
      <c r="C5727" s="1">
        <v>44083</v>
      </c>
      <c r="D5727" t="b">
        <v>1</v>
      </c>
      <c r="E5727" t="s">
        <v>10</v>
      </c>
      <c r="F5727">
        <v>16249</v>
      </c>
    </row>
    <row r="5728" spans="1:6" x14ac:dyDescent="0.25">
      <c r="A5728" t="s">
        <v>10729</v>
      </c>
      <c r="B5728" t="s">
        <v>10730</v>
      </c>
      <c r="C5728" s="1">
        <v>44083</v>
      </c>
      <c r="D5728" t="b">
        <v>1</v>
      </c>
      <c r="E5728" t="s">
        <v>10</v>
      </c>
      <c r="F5728">
        <v>16026</v>
      </c>
    </row>
    <row r="5729" spans="1:6" x14ac:dyDescent="0.25">
      <c r="A5729" t="s">
        <v>10731</v>
      </c>
      <c r="C5729" s="1">
        <v>44083</v>
      </c>
      <c r="D5729" t="b">
        <v>1</v>
      </c>
      <c r="E5729" t="s">
        <v>10</v>
      </c>
      <c r="F5729">
        <v>16254</v>
      </c>
    </row>
    <row r="5730" spans="1:6" x14ac:dyDescent="0.25">
      <c r="A5730" t="s">
        <v>10732</v>
      </c>
      <c r="B5730" t="s">
        <v>10733</v>
      </c>
      <c r="C5730" s="1">
        <v>44083</v>
      </c>
      <c r="D5730" t="b">
        <v>1</v>
      </c>
      <c r="E5730" t="s">
        <v>10</v>
      </c>
      <c r="F5730">
        <v>4899</v>
      </c>
    </row>
    <row r="5731" spans="1:6" x14ac:dyDescent="0.25">
      <c r="A5731" t="s">
        <v>10734</v>
      </c>
      <c r="B5731" t="s">
        <v>10735</v>
      </c>
      <c r="C5731" s="1">
        <v>44083</v>
      </c>
      <c r="D5731" t="b">
        <v>1</v>
      </c>
      <c r="E5731" t="s">
        <v>10</v>
      </c>
      <c r="F5731">
        <v>4901</v>
      </c>
    </row>
    <row r="5732" spans="1:6" x14ac:dyDescent="0.25">
      <c r="A5732" t="s">
        <v>10736</v>
      </c>
      <c r="B5732" t="s">
        <v>10737</v>
      </c>
      <c r="C5732" s="1">
        <v>44083</v>
      </c>
      <c r="D5732" t="b">
        <v>1</v>
      </c>
      <c r="E5732" t="s">
        <v>10</v>
      </c>
      <c r="F5732">
        <v>4902</v>
      </c>
    </row>
    <row r="5733" spans="1:6" x14ac:dyDescent="0.25">
      <c r="A5733" t="s">
        <v>10738</v>
      </c>
      <c r="B5733" t="s">
        <v>10739</v>
      </c>
      <c r="C5733" s="1">
        <v>44083</v>
      </c>
      <c r="D5733" t="b">
        <v>1</v>
      </c>
      <c r="E5733" t="s">
        <v>10</v>
      </c>
      <c r="F5733">
        <v>4906</v>
      </c>
    </row>
    <row r="5734" spans="1:6" x14ac:dyDescent="0.25">
      <c r="A5734" t="s">
        <v>10740</v>
      </c>
      <c r="B5734" t="s">
        <v>10741</v>
      </c>
      <c r="C5734" s="1">
        <v>44083</v>
      </c>
      <c r="D5734" t="b">
        <v>1</v>
      </c>
      <c r="E5734" t="s">
        <v>10</v>
      </c>
      <c r="F5734">
        <v>4907</v>
      </c>
    </row>
    <row r="5735" spans="1:6" x14ac:dyDescent="0.25">
      <c r="A5735" t="s">
        <v>10742</v>
      </c>
      <c r="B5735" t="s">
        <v>10743</v>
      </c>
      <c r="C5735" s="1">
        <v>44083</v>
      </c>
      <c r="D5735" t="b">
        <v>1</v>
      </c>
      <c r="E5735" t="s">
        <v>10</v>
      </c>
      <c r="F5735">
        <v>4918</v>
      </c>
    </row>
    <row r="5736" spans="1:6" x14ac:dyDescent="0.25">
      <c r="A5736" t="s">
        <v>10744</v>
      </c>
      <c r="B5736" t="s">
        <v>10745</v>
      </c>
      <c r="C5736" s="1">
        <v>44083</v>
      </c>
      <c r="D5736" t="b">
        <v>1</v>
      </c>
      <c r="E5736" t="s">
        <v>10</v>
      </c>
      <c r="F5736">
        <v>4921</v>
      </c>
    </row>
    <row r="5737" spans="1:6" x14ac:dyDescent="0.25">
      <c r="A5737" t="s">
        <v>10746</v>
      </c>
      <c r="B5737" t="s">
        <v>10747</v>
      </c>
      <c r="C5737" s="1">
        <v>44083</v>
      </c>
      <c r="D5737" t="b">
        <v>1</v>
      </c>
      <c r="E5737" t="s">
        <v>10</v>
      </c>
      <c r="F5737">
        <v>11261</v>
      </c>
    </row>
    <row r="5738" spans="1:6" x14ac:dyDescent="0.25">
      <c r="A5738" t="s">
        <v>10748</v>
      </c>
      <c r="B5738" t="s">
        <v>10749</v>
      </c>
      <c r="C5738" s="1">
        <v>44083</v>
      </c>
      <c r="D5738" t="b">
        <v>1</v>
      </c>
      <c r="E5738" t="s">
        <v>10</v>
      </c>
      <c r="F5738">
        <v>4922</v>
      </c>
    </row>
    <row r="5739" spans="1:6" x14ac:dyDescent="0.25">
      <c r="A5739" t="s">
        <v>10750</v>
      </c>
      <c r="B5739" t="s">
        <v>10751</v>
      </c>
      <c r="C5739" s="1">
        <v>44083</v>
      </c>
      <c r="D5739" t="b">
        <v>1</v>
      </c>
      <c r="E5739" t="s">
        <v>10</v>
      </c>
      <c r="F5739">
        <v>16487</v>
      </c>
    </row>
    <row r="5740" spans="1:6" x14ac:dyDescent="0.25">
      <c r="A5740" t="s">
        <v>10752</v>
      </c>
      <c r="C5740" s="1">
        <v>44083</v>
      </c>
      <c r="D5740" t="b">
        <v>1</v>
      </c>
      <c r="E5740" t="s">
        <v>10</v>
      </c>
      <c r="F5740">
        <v>17015</v>
      </c>
    </row>
    <row r="5741" spans="1:6" x14ac:dyDescent="0.25">
      <c r="A5741" t="s">
        <v>10753</v>
      </c>
      <c r="B5741" t="s">
        <v>10754</v>
      </c>
      <c r="C5741" s="1">
        <v>44083</v>
      </c>
      <c r="D5741" t="b">
        <v>1</v>
      </c>
      <c r="E5741" t="s">
        <v>10</v>
      </c>
      <c r="F5741">
        <v>4929</v>
      </c>
    </row>
    <row r="5742" spans="1:6" x14ac:dyDescent="0.25">
      <c r="A5742" t="s">
        <v>10755</v>
      </c>
      <c r="B5742" t="s">
        <v>10756</v>
      </c>
      <c r="C5742" s="1">
        <v>44083</v>
      </c>
      <c r="D5742" t="b">
        <v>1</v>
      </c>
      <c r="E5742" t="s">
        <v>10</v>
      </c>
      <c r="F5742">
        <v>15606</v>
      </c>
    </row>
    <row r="5743" spans="1:6" x14ac:dyDescent="0.25">
      <c r="A5743" t="s">
        <v>10757</v>
      </c>
      <c r="B5743" t="s">
        <v>10758</v>
      </c>
      <c r="C5743" s="1">
        <v>44083</v>
      </c>
      <c r="D5743" t="b">
        <v>1</v>
      </c>
      <c r="E5743" t="s">
        <v>10</v>
      </c>
      <c r="F5743">
        <v>15607</v>
      </c>
    </row>
    <row r="5744" spans="1:6" x14ac:dyDescent="0.25">
      <c r="A5744" t="s">
        <v>10759</v>
      </c>
      <c r="B5744" t="s">
        <v>10760</v>
      </c>
      <c r="C5744" s="1">
        <v>44083</v>
      </c>
      <c r="D5744" t="b">
        <v>1</v>
      </c>
      <c r="E5744" t="s">
        <v>10</v>
      </c>
      <c r="F5744">
        <v>15608</v>
      </c>
    </row>
    <row r="5745" spans="1:6" x14ac:dyDescent="0.25">
      <c r="A5745" t="s">
        <v>10761</v>
      </c>
      <c r="B5745" t="s">
        <v>10762</v>
      </c>
      <c r="C5745" s="1">
        <v>44083</v>
      </c>
      <c r="D5745" t="b">
        <v>1</v>
      </c>
      <c r="E5745" t="s">
        <v>10</v>
      </c>
      <c r="F5745">
        <v>15317</v>
      </c>
    </row>
    <row r="5746" spans="1:6" x14ac:dyDescent="0.25">
      <c r="A5746" t="s">
        <v>10763</v>
      </c>
      <c r="B5746" t="s">
        <v>10764</v>
      </c>
      <c r="C5746" s="1">
        <v>44083</v>
      </c>
      <c r="D5746" t="b">
        <v>1</v>
      </c>
      <c r="E5746" t="s">
        <v>10</v>
      </c>
      <c r="F5746">
        <v>15609</v>
      </c>
    </row>
    <row r="5747" spans="1:6" x14ac:dyDescent="0.25">
      <c r="A5747" t="s">
        <v>10765</v>
      </c>
      <c r="B5747" t="s">
        <v>10766</v>
      </c>
      <c r="C5747" s="1">
        <v>44083</v>
      </c>
      <c r="D5747" t="b">
        <v>1</v>
      </c>
      <c r="E5747" t="s">
        <v>10</v>
      </c>
      <c r="F5747">
        <v>4932</v>
      </c>
    </row>
    <row r="5748" spans="1:6" x14ac:dyDescent="0.25">
      <c r="A5748" t="s">
        <v>10767</v>
      </c>
      <c r="B5748" t="s">
        <v>10768</v>
      </c>
      <c r="C5748" s="1">
        <v>44083</v>
      </c>
      <c r="D5748" t="b">
        <v>1</v>
      </c>
      <c r="E5748" t="s">
        <v>10</v>
      </c>
      <c r="F5748">
        <v>16932</v>
      </c>
    </row>
    <row r="5749" spans="1:6" x14ac:dyDescent="0.25">
      <c r="A5749" t="s">
        <v>10769</v>
      </c>
      <c r="B5749" t="s">
        <v>10770</v>
      </c>
      <c r="C5749" s="1">
        <v>44083</v>
      </c>
      <c r="D5749" t="b">
        <v>1</v>
      </c>
      <c r="E5749" t="s">
        <v>10</v>
      </c>
      <c r="F5749">
        <v>4933</v>
      </c>
    </row>
    <row r="5750" spans="1:6" x14ac:dyDescent="0.25">
      <c r="A5750" t="s">
        <v>10771</v>
      </c>
      <c r="B5750" t="s">
        <v>10772</v>
      </c>
      <c r="C5750" s="1">
        <v>44083</v>
      </c>
      <c r="D5750" t="b">
        <v>1</v>
      </c>
      <c r="E5750" t="s">
        <v>10</v>
      </c>
      <c r="F5750">
        <v>4935</v>
      </c>
    </row>
    <row r="5751" spans="1:6" x14ac:dyDescent="0.25">
      <c r="A5751" t="s">
        <v>10773</v>
      </c>
      <c r="B5751" t="s">
        <v>10774</v>
      </c>
      <c r="C5751" s="1">
        <v>44083</v>
      </c>
      <c r="D5751" t="b">
        <v>1</v>
      </c>
      <c r="E5751" t="s">
        <v>10</v>
      </c>
      <c r="F5751">
        <v>4936</v>
      </c>
    </row>
    <row r="5752" spans="1:6" x14ac:dyDescent="0.25">
      <c r="A5752" t="s">
        <v>10775</v>
      </c>
      <c r="B5752" t="s">
        <v>10776</v>
      </c>
      <c r="C5752" s="1">
        <v>44083</v>
      </c>
      <c r="D5752" t="b">
        <v>1</v>
      </c>
      <c r="E5752" t="s">
        <v>10</v>
      </c>
      <c r="F5752">
        <v>4937</v>
      </c>
    </row>
    <row r="5753" spans="1:6" x14ac:dyDescent="0.25">
      <c r="A5753" t="s">
        <v>10777</v>
      </c>
      <c r="C5753" s="1">
        <v>44083</v>
      </c>
      <c r="D5753" t="b">
        <v>1</v>
      </c>
      <c r="E5753" t="s">
        <v>10</v>
      </c>
      <c r="F5753">
        <v>15713</v>
      </c>
    </row>
    <row r="5754" spans="1:6" x14ac:dyDescent="0.25">
      <c r="A5754" t="s">
        <v>10778</v>
      </c>
      <c r="B5754" t="s">
        <v>10779</v>
      </c>
      <c r="C5754" s="1">
        <v>44083</v>
      </c>
      <c r="D5754" t="b">
        <v>1</v>
      </c>
      <c r="E5754" t="s">
        <v>10</v>
      </c>
      <c r="F5754">
        <v>4938</v>
      </c>
    </row>
    <row r="5755" spans="1:6" x14ac:dyDescent="0.25">
      <c r="A5755" t="s">
        <v>10780</v>
      </c>
      <c r="C5755" s="1">
        <v>44083</v>
      </c>
      <c r="D5755" t="b">
        <v>1</v>
      </c>
      <c r="E5755" t="s">
        <v>10</v>
      </c>
      <c r="F5755">
        <v>15908</v>
      </c>
    </row>
    <row r="5756" spans="1:6" x14ac:dyDescent="0.25">
      <c r="A5756" t="s">
        <v>10781</v>
      </c>
      <c r="C5756" s="1">
        <v>44083</v>
      </c>
      <c r="D5756" t="b">
        <v>1</v>
      </c>
      <c r="E5756" t="s">
        <v>10</v>
      </c>
      <c r="F5756">
        <v>16012</v>
      </c>
    </row>
    <row r="5757" spans="1:6" x14ac:dyDescent="0.25">
      <c r="A5757" t="s">
        <v>10782</v>
      </c>
      <c r="C5757" s="1">
        <v>44083</v>
      </c>
      <c r="D5757" t="b">
        <v>1</v>
      </c>
      <c r="E5757" t="s">
        <v>10</v>
      </c>
      <c r="F5757">
        <v>16540</v>
      </c>
    </row>
    <row r="5758" spans="1:6" x14ac:dyDescent="0.25">
      <c r="A5758" t="s">
        <v>10783</v>
      </c>
      <c r="B5758" t="s">
        <v>10784</v>
      </c>
      <c r="C5758" s="1">
        <v>44083</v>
      </c>
      <c r="D5758" t="b">
        <v>1</v>
      </c>
      <c r="E5758" t="s">
        <v>10</v>
      </c>
      <c r="F5758">
        <v>4939</v>
      </c>
    </row>
    <row r="5759" spans="1:6" x14ac:dyDescent="0.25">
      <c r="A5759" t="s">
        <v>10785</v>
      </c>
      <c r="C5759" s="1">
        <v>44083</v>
      </c>
      <c r="D5759" t="b">
        <v>1</v>
      </c>
      <c r="E5759" t="s">
        <v>10</v>
      </c>
      <c r="F5759">
        <v>12140</v>
      </c>
    </row>
    <row r="5760" spans="1:6" x14ac:dyDescent="0.25">
      <c r="A5760" t="s">
        <v>10786</v>
      </c>
      <c r="C5760" s="1">
        <v>44083</v>
      </c>
      <c r="D5760" t="b">
        <v>1</v>
      </c>
      <c r="E5760" t="s">
        <v>10</v>
      </c>
      <c r="F5760">
        <v>12880</v>
      </c>
    </row>
    <row r="5761" spans="1:6" x14ac:dyDescent="0.25">
      <c r="A5761" t="s">
        <v>10787</v>
      </c>
      <c r="C5761" s="1">
        <v>44083</v>
      </c>
      <c r="D5761" t="b">
        <v>1</v>
      </c>
      <c r="E5761" t="s">
        <v>10</v>
      </c>
      <c r="F5761">
        <v>13873</v>
      </c>
    </row>
    <row r="5762" spans="1:6" x14ac:dyDescent="0.25">
      <c r="A5762" t="s">
        <v>10788</v>
      </c>
      <c r="B5762" t="s">
        <v>10789</v>
      </c>
      <c r="C5762" s="1">
        <v>44083</v>
      </c>
      <c r="D5762" t="b">
        <v>1</v>
      </c>
      <c r="E5762" t="s">
        <v>10</v>
      </c>
      <c r="F5762">
        <v>9750</v>
      </c>
    </row>
    <row r="5763" spans="1:6" x14ac:dyDescent="0.25">
      <c r="A5763" t="s">
        <v>10790</v>
      </c>
      <c r="C5763" s="1">
        <v>44083</v>
      </c>
      <c r="D5763" t="b">
        <v>1</v>
      </c>
      <c r="E5763" t="s">
        <v>10</v>
      </c>
      <c r="F5763">
        <v>13562</v>
      </c>
    </row>
    <row r="5764" spans="1:6" x14ac:dyDescent="0.25">
      <c r="A5764" t="s">
        <v>10791</v>
      </c>
      <c r="B5764" t="s">
        <v>10792</v>
      </c>
      <c r="C5764" s="1">
        <v>44083</v>
      </c>
      <c r="D5764" t="b">
        <v>1</v>
      </c>
      <c r="E5764" t="s">
        <v>10</v>
      </c>
      <c r="F5764">
        <v>4940</v>
      </c>
    </row>
    <row r="5765" spans="1:6" x14ac:dyDescent="0.25">
      <c r="A5765" t="s">
        <v>10793</v>
      </c>
      <c r="B5765" t="s">
        <v>10794</v>
      </c>
      <c r="C5765" s="1">
        <v>44083</v>
      </c>
      <c r="D5765" t="b">
        <v>1</v>
      </c>
      <c r="E5765" t="s">
        <v>10</v>
      </c>
      <c r="F5765">
        <v>13485</v>
      </c>
    </row>
    <row r="5766" spans="1:6" x14ac:dyDescent="0.25">
      <c r="A5766" t="s">
        <v>10795</v>
      </c>
      <c r="C5766" s="1">
        <v>44083</v>
      </c>
      <c r="D5766" t="b">
        <v>1</v>
      </c>
      <c r="E5766" t="s">
        <v>10</v>
      </c>
      <c r="F5766">
        <v>13510</v>
      </c>
    </row>
    <row r="5767" spans="1:6" x14ac:dyDescent="0.25">
      <c r="A5767" t="s">
        <v>10796</v>
      </c>
      <c r="B5767" t="s">
        <v>10797</v>
      </c>
      <c r="C5767" s="1">
        <v>44083</v>
      </c>
      <c r="D5767" t="b">
        <v>1</v>
      </c>
      <c r="E5767" t="s">
        <v>10</v>
      </c>
      <c r="F5767">
        <v>4941</v>
      </c>
    </row>
    <row r="5768" spans="1:6" x14ac:dyDescent="0.25">
      <c r="A5768" t="s">
        <v>10798</v>
      </c>
      <c r="C5768" s="1">
        <v>44083</v>
      </c>
      <c r="D5768" t="b">
        <v>1</v>
      </c>
      <c r="E5768" t="s">
        <v>10</v>
      </c>
      <c r="F5768">
        <v>17019</v>
      </c>
    </row>
    <row r="5769" spans="1:6" x14ac:dyDescent="0.25">
      <c r="A5769" t="s">
        <v>10799</v>
      </c>
      <c r="B5769" t="s">
        <v>10800</v>
      </c>
      <c r="C5769" s="1">
        <v>44083</v>
      </c>
      <c r="D5769" t="b">
        <v>1</v>
      </c>
      <c r="E5769" t="s">
        <v>10</v>
      </c>
      <c r="F5769">
        <v>4943</v>
      </c>
    </row>
    <row r="5770" spans="1:6" x14ac:dyDescent="0.25">
      <c r="A5770" t="s">
        <v>10801</v>
      </c>
      <c r="B5770" t="s">
        <v>10802</v>
      </c>
      <c r="C5770" s="1">
        <v>44083</v>
      </c>
      <c r="D5770" t="b">
        <v>1</v>
      </c>
      <c r="E5770" t="s">
        <v>10</v>
      </c>
      <c r="F5770">
        <v>4944</v>
      </c>
    </row>
    <row r="5771" spans="1:6" x14ac:dyDescent="0.25">
      <c r="A5771" t="s">
        <v>10803</v>
      </c>
      <c r="B5771" t="s">
        <v>10804</v>
      </c>
      <c r="C5771" s="1">
        <v>44083</v>
      </c>
      <c r="D5771" t="b">
        <v>1</v>
      </c>
      <c r="E5771" t="s">
        <v>10</v>
      </c>
      <c r="F5771">
        <v>4947</v>
      </c>
    </row>
    <row r="5772" spans="1:6" x14ac:dyDescent="0.25">
      <c r="A5772" t="s">
        <v>10805</v>
      </c>
      <c r="B5772" t="s">
        <v>10806</v>
      </c>
      <c r="C5772" s="1">
        <v>44083</v>
      </c>
      <c r="D5772" t="b">
        <v>1</v>
      </c>
      <c r="E5772" t="s">
        <v>10</v>
      </c>
      <c r="F5772">
        <v>4949</v>
      </c>
    </row>
    <row r="5773" spans="1:6" x14ac:dyDescent="0.25">
      <c r="A5773" t="s">
        <v>10807</v>
      </c>
      <c r="C5773" s="1">
        <v>44083</v>
      </c>
      <c r="D5773" t="b">
        <v>1</v>
      </c>
      <c r="E5773" t="s">
        <v>10</v>
      </c>
      <c r="F5773">
        <v>11686</v>
      </c>
    </row>
    <row r="5774" spans="1:6" x14ac:dyDescent="0.25">
      <c r="A5774" t="s">
        <v>10808</v>
      </c>
      <c r="C5774" s="1">
        <v>44083</v>
      </c>
      <c r="D5774" t="b">
        <v>1</v>
      </c>
      <c r="E5774" t="s">
        <v>10</v>
      </c>
      <c r="F5774">
        <v>12779</v>
      </c>
    </row>
    <row r="5775" spans="1:6" x14ac:dyDescent="0.25">
      <c r="A5775" t="s">
        <v>10809</v>
      </c>
      <c r="C5775" s="1">
        <v>44083</v>
      </c>
      <c r="D5775" t="b">
        <v>1</v>
      </c>
      <c r="E5775" t="s">
        <v>10</v>
      </c>
      <c r="F5775">
        <v>4951</v>
      </c>
    </row>
    <row r="5776" spans="1:6" x14ac:dyDescent="0.25">
      <c r="A5776" t="s">
        <v>10810</v>
      </c>
      <c r="B5776" t="s">
        <v>10811</v>
      </c>
      <c r="C5776" s="1">
        <v>44083</v>
      </c>
      <c r="D5776" t="b">
        <v>1</v>
      </c>
      <c r="E5776" t="s">
        <v>10</v>
      </c>
      <c r="F5776">
        <v>4952</v>
      </c>
    </row>
    <row r="5777" spans="1:6" x14ac:dyDescent="0.25">
      <c r="A5777" t="s">
        <v>10812</v>
      </c>
      <c r="B5777" t="s">
        <v>10813</v>
      </c>
      <c r="C5777" s="1">
        <v>44083</v>
      </c>
      <c r="D5777" t="b">
        <v>1</v>
      </c>
      <c r="E5777" t="s">
        <v>10</v>
      </c>
      <c r="F5777">
        <v>4953</v>
      </c>
    </row>
    <row r="5778" spans="1:6" x14ac:dyDescent="0.25">
      <c r="A5778" t="s">
        <v>10814</v>
      </c>
      <c r="B5778" t="s">
        <v>10815</v>
      </c>
      <c r="C5778" s="1">
        <v>44083</v>
      </c>
      <c r="D5778" t="b">
        <v>1</v>
      </c>
      <c r="E5778" t="s">
        <v>10</v>
      </c>
      <c r="F5778">
        <v>4955</v>
      </c>
    </row>
    <row r="5779" spans="1:6" x14ac:dyDescent="0.25">
      <c r="A5779" t="s">
        <v>10816</v>
      </c>
      <c r="B5779" t="s">
        <v>10817</v>
      </c>
      <c r="C5779" s="1">
        <v>44083</v>
      </c>
      <c r="D5779" t="b">
        <v>1</v>
      </c>
      <c r="E5779" t="s">
        <v>10</v>
      </c>
      <c r="F5779">
        <v>4956</v>
      </c>
    </row>
    <row r="5780" spans="1:6" x14ac:dyDescent="0.25">
      <c r="A5780" t="s">
        <v>10818</v>
      </c>
      <c r="B5780" t="s">
        <v>10819</v>
      </c>
      <c r="C5780" s="1">
        <v>44083</v>
      </c>
      <c r="D5780" t="b">
        <v>1</v>
      </c>
      <c r="E5780" t="s">
        <v>10</v>
      </c>
      <c r="F5780">
        <v>11832</v>
      </c>
    </row>
    <row r="5781" spans="1:6" x14ac:dyDescent="0.25">
      <c r="A5781" t="s">
        <v>10820</v>
      </c>
      <c r="B5781" t="s">
        <v>10821</v>
      </c>
      <c r="C5781" s="1">
        <v>44083</v>
      </c>
      <c r="D5781" t="b">
        <v>1</v>
      </c>
      <c r="E5781" t="s">
        <v>10</v>
      </c>
      <c r="F5781">
        <v>16440</v>
      </c>
    </row>
    <row r="5782" spans="1:6" x14ac:dyDescent="0.25">
      <c r="A5782" t="s">
        <v>10822</v>
      </c>
      <c r="B5782" t="s">
        <v>10823</v>
      </c>
      <c r="C5782" s="1">
        <v>44083</v>
      </c>
      <c r="D5782" t="b">
        <v>1</v>
      </c>
      <c r="E5782" t="s">
        <v>10</v>
      </c>
      <c r="F5782">
        <v>4963</v>
      </c>
    </row>
    <row r="5783" spans="1:6" x14ac:dyDescent="0.25">
      <c r="A5783" t="s">
        <v>10824</v>
      </c>
      <c r="B5783" t="s">
        <v>10825</v>
      </c>
      <c r="C5783" s="1">
        <v>44083</v>
      </c>
      <c r="D5783" t="b">
        <v>1</v>
      </c>
      <c r="E5783" t="s">
        <v>10</v>
      </c>
      <c r="F5783">
        <v>10353</v>
      </c>
    </row>
    <row r="5784" spans="1:6" x14ac:dyDescent="0.25">
      <c r="A5784" t="s">
        <v>10826</v>
      </c>
      <c r="B5784" t="s">
        <v>10827</v>
      </c>
      <c r="C5784" s="1">
        <v>44083</v>
      </c>
      <c r="D5784" t="b">
        <v>1</v>
      </c>
      <c r="E5784" t="s">
        <v>10</v>
      </c>
      <c r="F5784">
        <v>4965</v>
      </c>
    </row>
    <row r="5785" spans="1:6" x14ac:dyDescent="0.25">
      <c r="A5785" t="s">
        <v>10828</v>
      </c>
      <c r="C5785" s="1">
        <v>44083</v>
      </c>
      <c r="D5785" t="b">
        <v>1</v>
      </c>
      <c r="E5785" t="s">
        <v>10</v>
      </c>
      <c r="F5785">
        <v>11845</v>
      </c>
    </row>
    <row r="5786" spans="1:6" x14ac:dyDescent="0.25">
      <c r="A5786" t="s">
        <v>10829</v>
      </c>
      <c r="C5786" s="1">
        <v>44083</v>
      </c>
      <c r="D5786" t="b">
        <v>1</v>
      </c>
      <c r="E5786" t="s">
        <v>10</v>
      </c>
      <c r="F5786">
        <v>11846</v>
      </c>
    </row>
    <row r="5787" spans="1:6" x14ac:dyDescent="0.25">
      <c r="A5787" t="s">
        <v>10830</v>
      </c>
      <c r="C5787" s="1">
        <v>44083</v>
      </c>
      <c r="D5787" t="b">
        <v>1</v>
      </c>
      <c r="E5787" t="s">
        <v>10</v>
      </c>
      <c r="F5787">
        <v>11847</v>
      </c>
    </row>
    <row r="5788" spans="1:6" x14ac:dyDescent="0.25">
      <c r="A5788" t="s">
        <v>10831</v>
      </c>
      <c r="C5788" s="1">
        <v>44083</v>
      </c>
      <c r="D5788" t="b">
        <v>1</v>
      </c>
      <c r="E5788" t="s">
        <v>10</v>
      </c>
      <c r="F5788">
        <v>11848</v>
      </c>
    </row>
    <row r="5789" spans="1:6" x14ac:dyDescent="0.25">
      <c r="A5789" t="s">
        <v>10832</v>
      </c>
      <c r="B5789" t="s">
        <v>10833</v>
      </c>
      <c r="C5789" s="1">
        <v>44083</v>
      </c>
      <c r="D5789" t="b">
        <v>1</v>
      </c>
      <c r="E5789" t="s">
        <v>10</v>
      </c>
      <c r="F5789">
        <v>4966</v>
      </c>
    </row>
    <row r="5790" spans="1:6" x14ac:dyDescent="0.25">
      <c r="A5790" t="s">
        <v>10834</v>
      </c>
      <c r="B5790" t="s">
        <v>10835</v>
      </c>
      <c r="C5790" s="1">
        <v>44083</v>
      </c>
      <c r="D5790" t="b">
        <v>1</v>
      </c>
      <c r="E5790" t="s">
        <v>10</v>
      </c>
      <c r="F5790">
        <v>4967</v>
      </c>
    </row>
    <row r="5791" spans="1:6" x14ac:dyDescent="0.25">
      <c r="A5791" t="s">
        <v>10836</v>
      </c>
      <c r="B5791" t="s">
        <v>10837</v>
      </c>
      <c r="C5791" s="1">
        <v>44083</v>
      </c>
      <c r="D5791" t="b">
        <v>1</v>
      </c>
      <c r="E5791" t="s">
        <v>10</v>
      </c>
      <c r="F5791">
        <v>4969</v>
      </c>
    </row>
    <row r="5792" spans="1:6" x14ac:dyDescent="0.25">
      <c r="A5792" t="s">
        <v>10838</v>
      </c>
      <c r="B5792" t="s">
        <v>10839</v>
      </c>
      <c r="C5792" s="1">
        <v>44083</v>
      </c>
      <c r="D5792" t="b">
        <v>1</v>
      </c>
      <c r="E5792" t="s">
        <v>10</v>
      </c>
      <c r="F5792">
        <v>9522</v>
      </c>
    </row>
    <row r="5793" spans="1:6" x14ac:dyDescent="0.25">
      <c r="A5793" t="s">
        <v>10840</v>
      </c>
      <c r="B5793" t="s">
        <v>10841</v>
      </c>
      <c r="C5793" s="1">
        <v>44083</v>
      </c>
      <c r="D5793" t="b">
        <v>1</v>
      </c>
      <c r="E5793" t="s">
        <v>10</v>
      </c>
      <c r="F5793">
        <v>11323</v>
      </c>
    </row>
    <row r="5794" spans="1:6" x14ac:dyDescent="0.25">
      <c r="A5794" t="s">
        <v>10842</v>
      </c>
      <c r="B5794" t="s">
        <v>10843</v>
      </c>
      <c r="C5794" s="1">
        <v>44083</v>
      </c>
      <c r="D5794" t="b">
        <v>1</v>
      </c>
      <c r="E5794" t="s">
        <v>10</v>
      </c>
      <c r="F5794">
        <v>4973</v>
      </c>
    </row>
    <row r="5795" spans="1:6" x14ac:dyDescent="0.25">
      <c r="A5795" t="s">
        <v>10844</v>
      </c>
      <c r="B5795" t="s">
        <v>10845</v>
      </c>
      <c r="C5795" s="1">
        <v>44083</v>
      </c>
      <c r="D5795" t="b">
        <v>1</v>
      </c>
      <c r="E5795" t="s">
        <v>10</v>
      </c>
      <c r="F5795">
        <v>11742</v>
      </c>
    </row>
    <row r="5796" spans="1:6" x14ac:dyDescent="0.25">
      <c r="A5796" t="s">
        <v>10846</v>
      </c>
      <c r="B5796" t="s">
        <v>10847</v>
      </c>
      <c r="C5796" s="1">
        <v>44083</v>
      </c>
      <c r="D5796" t="b">
        <v>1</v>
      </c>
      <c r="E5796" t="s">
        <v>10</v>
      </c>
      <c r="F5796">
        <v>4964</v>
      </c>
    </row>
    <row r="5797" spans="1:6" x14ac:dyDescent="0.25">
      <c r="A5797" t="s">
        <v>10848</v>
      </c>
      <c r="B5797" t="s">
        <v>10849</v>
      </c>
      <c r="C5797" s="1">
        <v>44083</v>
      </c>
      <c r="D5797" t="b">
        <v>1</v>
      </c>
      <c r="E5797" t="s">
        <v>10</v>
      </c>
      <c r="F5797">
        <v>13968</v>
      </c>
    </row>
    <row r="5798" spans="1:6" x14ac:dyDescent="0.25">
      <c r="A5798" t="s">
        <v>10850</v>
      </c>
      <c r="B5798" t="s">
        <v>10851</v>
      </c>
      <c r="C5798" s="1">
        <v>44083</v>
      </c>
      <c r="D5798" t="b">
        <v>1</v>
      </c>
      <c r="E5798" t="s">
        <v>10</v>
      </c>
      <c r="F5798">
        <v>10068</v>
      </c>
    </row>
    <row r="5799" spans="1:6" x14ac:dyDescent="0.25">
      <c r="A5799" t="s">
        <v>10852</v>
      </c>
      <c r="B5799" t="s">
        <v>10853</v>
      </c>
      <c r="C5799" s="1">
        <v>44083</v>
      </c>
      <c r="D5799" t="b">
        <v>1</v>
      </c>
      <c r="E5799" t="s">
        <v>10</v>
      </c>
      <c r="F5799">
        <v>12748</v>
      </c>
    </row>
    <row r="5800" spans="1:6" x14ac:dyDescent="0.25">
      <c r="A5800" t="s">
        <v>10854</v>
      </c>
      <c r="B5800" t="s">
        <v>10855</v>
      </c>
      <c r="C5800" s="1">
        <v>44083</v>
      </c>
      <c r="D5800" t="b">
        <v>1</v>
      </c>
      <c r="E5800" t="s">
        <v>10</v>
      </c>
      <c r="F5800">
        <v>4975</v>
      </c>
    </row>
    <row r="5801" spans="1:6" x14ac:dyDescent="0.25">
      <c r="A5801" t="s">
        <v>10856</v>
      </c>
      <c r="C5801" s="1">
        <v>44083</v>
      </c>
      <c r="D5801" t="b">
        <v>1</v>
      </c>
      <c r="E5801" t="s">
        <v>10</v>
      </c>
      <c r="F5801">
        <v>16331</v>
      </c>
    </row>
    <row r="5802" spans="1:6" x14ac:dyDescent="0.25">
      <c r="A5802" t="s">
        <v>10857</v>
      </c>
      <c r="B5802" t="s">
        <v>10858</v>
      </c>
      <c r="C5802" s="1">
        <v>44083</v>
      </c>
      <c r="D5802" t="b">
        <v>1</v>
      </c>
      <c r="E5802" t="s">
        <v>10</v>
      </c>
      <c r="F5802">
        <v>17081</v>
      </c>
    </row>
    <row r="5803" spans="1:6" x14ac:dyDescent="0.25">
      <c r="A5803" t="s">
        <v>10859</v>
      </c>
      <c r="B5803" t="s">
        <v>10860</v>
      </c>
      <c r="C5803" s="1">
        <v>44083</v>
      </c>
      <c r="D5803" t="b">
        <v>1</v>
      </c>
      <c r="E5803" t="s">
        <v>10</v>
      </c>
      <c r="F5803">
        <v>14880</v>
      </c>
    </row>
    <row r="5804" spans="1:6" x14ac:dyDescent="0.25">
      <c r="A5804" t="s">
        <v>10861</v>
      </c>
      <c r="B5804" t="s">
        <v>10862</v>
      </c>
      <c r="C5804" s="1">
        <v>44083</v>
      </c>
      <c r="D5804" t="b">
        <v>1</v>
      </c>
      <c r="E5804" t="s">
        <v>10</v>
      </c>
      <c r="F5804">
        <v>589</v>
      </c>
    </row>
    <row r="5805" spans="1:6" x14ac:dyDescent="0.25">
      <c r="A5805" t="s">
        <v>10863</v>
      </c>
      <c r="B5805" t="s">
        <v>10864</v>
      </c>
      <c r="C5805" s="1">
        <v>44083</v>
      </c>
      <c r="D5805" t="b">
        <v>1</v>
      </c>
      <c r="E5805" t="s">
        <v>10</v>
      </c>
      <c r="F5805">
        <v>4979</v>
      </c>
    </row>
    <row r="5806" spans="1:6" x14ac:dyDescent="0.25">
      <c r="A5806" t="s">
        <v>10865</v>
      </c>
      <c r="B5806" t="s">
        <v>10866</v>
      </c>
      <c r="C5806" s="1">
        <v>44083</v>
      </c>
      <c r="D5806" t="b">
        <v>1</v>
      </c>
      <c r="E5806" t="s">
        <v>10</v>
      </c>
      <c r="F5806">
        <v>4982</v>
      </c>
    </row>
    <row r="5807" spans="1:6" x14ac:dyDescent="0.25">
      <c r="A5807" t="s">
        <v>10867</v>
      </c>
      <c r="B5807" t="s">
        <v>10868</v>
      </c>
      <c r="C5807" s="1">
        <v>44083</v>
      </c>
      <c r="D5807" t="b">
        <v>1</v>
      </c>
      <c r="E5807" t="s">
        <v>10</v>
      </c>
      <c r="F5807">
        <v>11826</v>
      </c>
    </row>
    <row r="5808" spans="1:6" x14ac:dyDescent="0.25">
      <c r="A5808" t="s">
        <v>10869</v>
      </c>
      <c r="B5808" t="s">
        <v>10870</v>
      </c>
      <c r="C5808" s="1">
        <v>44083</v>
      </c>
      <c r="D5808" t="b">
        <v>1</v>
      </c>
      <c r="E5808" t="s">
        <v>10</v>
      </c>
      <c r="F5808">
        <v>4984</v>
      </c>
    </row>
    <row r="5809" spans="1:6" x14ac:dyDescent="0.25">
      <c r="A5809" t="s">
        <v>10871</v>
      </c>
      <c r="B5809" t="s">
        <v>10872</v>
      </c>
      <c r="C5809" s="1">
        <v>44083</v>
      </c>
      <c r="D5809" t="b">
        <v>1</v>
      </c>
      <c r="E5809" t="s">
        <v>10</v>
      </c>
      <c r="F5809">
        <v>13472</v>
      </c>
    </row>
    <row r="5810" spans="1:6" x14ac:dyDescent="0.25">
      <c r="A5810" t="s">
        <v>10873</v>
      </c>
      <c r="B5810" t="s">
        <v>10874</v>
      </c>
      <c r="C5810" s="1">
        <v>44083</v>
      </c>
      <c r="D5810" t="b">
        <v>1</v>
      </c>
      <c r="E5810" t="s">
        <v>10</v>
      </c>
      <c r="F5810">
        <v>12997</v>
      </c>
    </row>
    <row r="5811" spans="1:6" x14ac:dyDescent="0.25">
      <c r="A5811" t="s">
        <v>10875</v>
      </c>
      <c r="B5811" t="s">
        <v>10876</v>
      </c>
      <c r="C5811" s="1">
        <v>44083</v>
      </c>
      <c r="D5811" t="b">
        <v>1</v>
      </c>
      <c r="E5811" t="s">
        <v>10</v>
      </c>
      <c r="F5811">
        <v>4987</v>
      </c>
    </row>
    <row r="5812" spans="1:6" x14ac:dyDescent="0.25">
      <c r="A5812" t="s">
        <v>10877</v>
      </c>
      <c r="B5812" t="s">
        <v>10878</v>
      </c>
      <c r="C5812" s="1">
        <v>44083</v>
      </c>
      <c r="D5812" t="b">
        <v>1</v>
      </c>
      <c r="E5812" t="s">
        <v>10</v>
      </c>
      <c r="F5812">
        <v>12998</v>
      </c>
    </row>
    <row r="5813" spans="1:6" x14ac:dyDescent="0.25">
      <c r="A5813" t="s">
        <v>10879</v>
      </c>
      <c r="B5813" t="s">
        <v>4202</v>
      </c>
      <c r="C5813" s="1">
        <v>44083</v>
      </c>
      <c r="D5813" t="b">
        <v>1</v>
      </c>
      <c r="E5813" t="s">
        <v>10</v>
      </c>
      <c r="F5813">
        <v>4988</v>
      </c>
    </row>
    <row r="5814" spans="1:6" x14ac:dyDescent="0.25">
      <c r="A5814" t="s">
        <v>10880</v>
      </c>
      <c r="B5814" t="s">
        <v>10881</v>
      </c>
      <c r="C5814" s="1">
        <v>44083</v>
      </c>
      <c r="D5814" t="b">
        <v>1</v>
      </c>
      <c r="E5814" t="s">
        <v>10</v>
      </c>
      <c r="F5814">
        <v>16123</v>
      </c>
    </row>
    <row r="5815" spans="1:6" x14ac:dyDescent="0.25">
      <c r="A5815" t="s">
        <v>10882</v>
      </c>
      <c r="B5815" t="s">
        <v>10883</v>
      </c>
      <c r="C5815" s="1">
        <v>44083</v>
      </c>
      <c r="D5815" t="b">
        <v>1</v>
      </c>
      <c r="E5815" t="s">
        <v>10</v>
      </c>
      <c r="F5815">
        <v>15803</v>
      </c>
    </row>
    <row r="5816" spans="1:6" x14ac:dyDescent="0.25">
      <c r="A5816" t="s">
        <v>10884</v>
      </c>
      <c r="B5816" t="s">
        <v>10885</v>
      </c>
      <c r="C5816" s="1">
        <v>44083</v>
      </c>
      <c r="D5816" t="b">
        <v>1</v>
      </c>
      <c r="E5816" t="s">
        <v>10</v>
      </c>
      <c r="F5816">
        <v>12176</v>
      </c>
    </row>
    <row r="5817" spans="1:6" x14ac:dyDescent="0.25">
      <c r="A5817" t="s">
        <v>10886</v>
      </c>
      <c r="B5817" t="s">
        <v>10887</v>
      </c>
      <c r="C5817" s="1">
        <v>44083</v>
      </c>
      <c r="D5817" t="b">
        <v>1</v>
      </c>
      <c r="E5817" t="s">
        <v>10</v>
      </c>
      <c r="F5817">
        <v>12177</v>
      </c>
    </row>
    <row r="5818" spans="1:6" x14ac:dyDescent="0.25">
      <c r="A5818" t="s">
        <v>10888</v>
      </c>
      <c r="B5818" t="s">
        <v>10889</v>
      </c>
      <c r="C5818" s="1">
        <v>44083</v>
      </c>
      <c r="D5818" t="b">
        <v>1</v>
      </c>
      <c r="E5818" t="s">
        <v>10</v>
      </c>
      <c r="F5818">
        <v>4991</v>
      </c>
    </row>
    <row r="5819" spans="1:6" x14ac:dyDescent="0.25">
      <c r="A5819" t="s">
        <v>10890</v>
      </c>
      <c r="B5819" t="s">
        <v>10891</v>
      </c>
      <c r="C5819" s="1">
        <v>44083</v>
      </c>
      <c r="D5819" t="b">
        <v>1</v>
      </c>
      <c r="E5819" t="s">
        <v>10</v>
      </c>
      <c r="F5819">
        <v>12178</v>
      </c>
    </row>
    <row r="5820" spans="1:6" x14ac:dyDescent="0.25">
      <c r="A5820" t="s">
        <v>10892</v>
      </c>
      <c r="B5820" t="s">
        <v>10893</v>
      </c>
      <c r="C5820" s="1">
        <v>44083</v>
      </c>
      <c r="D5820" t="b">
        <v>1</v>
      </c>
      <c r="E5820" t="s">
        <v>10</v>
      </c>
      <c r="F5820">
        <v>12179</v>
      </c>
    </row>
    <row r="5821" spans="1:6" x14ac:dyDescent="0.25">
      <c r="A5821" t="s">
        <v>10894</v>
      </c>
      <c r="B5821" t="s">
        <v>10895</v>
      </c>
      <c r="C5821" s="1">
        <v>44083</v>
      </c>
      <c r="D5821" t="b">
        <v>1</v>
      </c>
      <c r="E5821" t="s">
        <v>10</v>
      </c>
      <c r="F5821">
        <v>4993</v>
      </c>
    </row>
    <row r="5822" spans="1:6" x14ac:dyDescent="0.25">
      <c r="A5822" t="s">
        <v>10896</v>
      </c>
      <c r="B5822" t="s">
        <v>10897</v>
      </c>
      <c r="C5822" s="1">
        <v>44083</v>
      </c>
      <c r="D5822" t="b">
        <v>1</v>
      </c>
      <c r="E5822" t="s">
        <v>10</v>
      </c>
      <c r="F5822">
        <v>12209</v>
      </c>
    </row>
    <row r="5823" spans="1:6" x14ac:dyDescent="0.25">
      <c r="A5823" t="s">
        <v>10898</v>
      </c>
      <c r="B5823" t="s">
        <v>10899</v>
      </c>
      <c r="C5823" s="1">
        <v>44083</v>
      </c>
      <c r="D5823" t="b">
        <v>1</v>
      </c>
      <c r="E5823" t="s">
        <v>10</v>
      </c>
      <c r="F5823">
        <v>4997</v>
      </c>
    </row>
    <row r="5824" spans="1:6" x14ac:dyDescent="0.25">
      <c r="A5824" t="s">
        <v>10900</v>
      </c>
      <c r="B5824" t="s">
        <v>10901</v>
      </c>
      <c r="C5824" s="1">
        <v>44083</v>
      </c>
      <c r="D5824" t="b">
        <v>1</v>
      </c>
      <c r="E5824" t="s">
        <v>10</v>
      </c>
      <c r="F5824">
        <v>4998</v>
      </c>
    </row>
    <row r="5825" spans="1:6" x14ac:dyDescent="0.25">
      <c r="A5825" t="s">
        <v>10902</v>
      </c>
      <c r="B5825" t="s">
        <v>10903</v>
      </c>
      <c r="C5825" s="1">
        <v>44083</v>
      </c>
      <c r="D5825" t="b">
        <v>1</v>
      </c>
      <c r="E5825" t="s">
        <v>10</v>
      </c>
      <c r="F5825">
        <v>12751</v>
      </c>
    </row>
    <row r="5826" spans="1:6" x14ac:dyDescent="0.25">
      <c r="A5826" t="s">
        <v>10904</v>
      </c>
      <c r="B5826" t="s">
        <v>10905</v>
      </c>
      <c r="C5826" s="1">
        <v>44083</v>
      </c>
      <c r="D5826" t="b">
        <v>1</v>
      </c>
      <c r="E5826" t="s">
        <v>10</v>
      </c>
      <c r="F5826">
        <v>12180</v>
      </c>
    </row>
    <row r="5827" spans="1:6" x14ac:dyDescent="0.25">
      <c r="A5827" t="s">
        <v>10906</v>
      </c>
      <c r="B5827" t="s">
        <v>10907</v>
      </c>
      <c r="C5827" s="1">
        <v>44083</v>
      </c>
      <c r="D5827" t="b">
        <v>1</v>
      </c>
      <c r="E5827" t="s">
        <v>10</v>
      </c>
      <c r="F5827">
        <v>16399</v>
      </c>
    </row>
    <row r="5828" spans="1:6" x14ac:dyDescent="0.25">
      <c r="A5828" t="s">
        <v>10908</v>
      </c>
      <c r="B5828" t="s">
        <v>10909</v>
      </c>
      <c r="C5828" s="1">
        <v>44083</v>
      </c>
      <c r="D5828" t="b">
        <v>1</v>
      </c>
      <c r="E5828" t="s">
        <v>10</v>
      </c>
      <c r="F5828">
        <v>5000</v>
      </c>
    </row>
    <row r="5829" spans="1:6" x14ac:dyDescent="0.25">
      <c r="A5829" t="s">
        <v>10910</v>
      </c>
      <c r="B5829" t="s">
        <v>10911</v>
      </c>
      <c r="C5829" s="1">
        <v>44083</v>
      </c>
      <c r="D5829" t="b">
        <v>1</v>
      </c>
      <c r="E5829" t="s">
        <v>10</v>
      </c>
      <c r="F5829">
        <v>5001</v>
      </c>
    </row>
    <row r="5830" spans="1:6" x14ac:dyDescent="0.25">
      <c r="A5830" t="s">
        <v>10912</v>
      </c>
      <c r="B5830" t="s">
        <v>10913</v>
      </c>
      <c r="C5830" s="1">
        <v>44083</v>
      </c>
      <c r="D5830" t="b">
        <v>1</v>
      </c>
      <c r="E5830" t="s">
        <v>10</v>
      </c>
      <c r="F5830">
        <v>5002</v>
      </c>
    </row>
    <row r="5831" spans="1:6" x14ac:dyDescent="0.25">
      <c r="A5831" t="s">
        <v>10914</v>
      </c>
      <c r="B5831" t="s">
        <v>10915</v>
      </c>
      <c r="C5831" s="1">
        <v>44083</v>
      </c>
      <c r="D5831" t="b">
        <v>1</v>
      </c>
      <c r="E5831" t="s">
        <v>10</v>
      </c>
      <c r="F5831">
        <v>16859</v>
      </c>
    </row>
    <row r="5832" spans="1:6" x14ac:dyDescent="0.25">
      <c r="A5832" t="s">
        <v>10916</v>
      </c>
      <c r="B5832" t="s">
        <v>10917</v>
      </c>
      <c r="C5832" s="1">
        <v>44083</v>
      </c>
      <c r="D5832" t="b">
        <v>1</v>
      </c>
      <c r="E5832" t="s">
        <v>10</v>
      </c>
      <c r="F5832">
        <v>5003</v>
      </c>
    </row>
    <row r="5833" spans="1:6" x14ac:dyDescent="0.25">
      <c r="A5833" t="s">
        <v>10918</v>
      </c>
      <c r="B5833" t="s">
        <v>10919</v>
      </c>
      <c r="C5833" s="1">
        <v>44083</v>
      </c>
      <c r="D5833" t="b">
        <v>1</v>
      </c>
      <c r="E5833" t="s">
        <v>10</v>
      </c>
      <c r="F5833">
        <v>8662</v>
      </c>
    </row>
    <row r="5834" spans="1:6" x14ac:dyDescent="0.25">
      <c r="A5834" t="s">
        <v>10920</v>
      </c>
      <c r="B5834" t="s">
        <v>10921</v>
      </c>
      <c r="C5834" s="1">
        <v>44083</v>
      </c>
      <c r="D5834" t="b">
        <v>1</v>
      </c>
      <c r="E5834" t="s">
        <v>10</v>
      </c>
      <c r="F5834">
        <v>10476</v>
      </c>
    </row>
    <row r="5835" spans="1:6" x14ac:dyDescent="0.25">
      <c r="A5835" t="s">
        <v>10922</v>
      </c>
      <c r="B5835" t="s">
        <v>10923</v>
      </c>
      <c r="C5835" s="1">
        <v>44083</v>
      </c>
      <c r="D5835" t="b">
        <v>1</v>
      </c>
      <c r="E5835" t="s">
        <v>10</v>
      </c>
      <c r="F5835">
        <v>5005</v>
      </c>
    </row>
    <row r="5836" spans="1:6" x14ac:dyDescent="0.25">
      <c r="A5836" t="s">
        <v>10924</v>
      </c>
      <c r="B5836" t="s">
        <v>10925</v>
      </c>
      <c r="C5836" s="1">
        <v>44083</v>
      </c>
      <c r="D5836" t="b">
        <v>1</v>
      </c>
      <c r="E5836" t="s">
        <v>10</v>
      </c>
      <c r="F5836">
        <v>5008</v>
      </c>
    </row>
    <row r="5837" spans="1:6" x14ac:dyDescent="0.25">
      <c r="A5837" t="s">
        <v>10926</v>
      </c>
      <c r="B5837" t="s">
        <v>10927</v>
      </c>
      <c r="C5837" s="1">
        <v>44083</v>
      </c>
      <c r="D5837" t="b">
        <v>1</v>
      </c>
      <c r="E5837" t="s">
        <v>10</v>
      </c>
      <c r="F5837">
        <v>7811</v>
      </c>
    </row>
    <row r="5838" spans="1:6" x14ac:dyDescent="0.25">
      <c r="A5838" t="s">
        <v>10928</v>
      </c>
      <c r="B5838" t="s">
        <v>10929</v>
      </c>
      <c r="C5838" s="1">
        <v>44083</v>
      </c>
      <c r="D5838" t="b">
        <v>1</v>
      </c>
      <c r="E5838" t="s">
        <v>10</v>
      </c>
      <c r="F5838">
        <v>8217</v>
      </c>
    </row>
    <row r="5839" spans="1:6" x14ac:dyDescent="0.25">
      <c r="A5839" t="s">
        <v>10930</v>
      </c>
      <c r="B5839" t="s">
        <v>10931</v>
      </c>
      <c r="C5839" s="1">
        <v>44083</v>
      </c>
      <c r="D5839" t="b">
        <v>1</v>
      </c>
      <c r="E5839" t="s">
        <v>10</v>
      </c>
      <c r="F5839">
        <v>5010</v>
      </c>
    </row>
    <row r="5840" spans="1:6" x14ac:dyDescent="0.25">
      <c r="A5840" t="s">
        <v>10932</v>
      </c>
      <c r="B5840" t="s">
        <v>10933</v>
      </c>
      <c r="C5840" s="1">
        <v>44083</v>
      </c>
      <c r="D5840" t="b">
        <v>1</v>
      </c>
      <c r="E5840" t="s">
        <v>10</v>
      </c>
      <c r="F5840">
        <v>8129</v>
      </c>
    </row>
    <row r="5841" spans="1:6" x14ac:dyDescent="0.25">
      <c r="A5841" t="s">
        <v>10934</v>
      </c>
      <c r="B5841" t="s">
        <v>10935</v>
      </c>
      <c r="C5841" s="1">
        <v>44083</v>
      </c>
      <c r="D5841" t="b">
        <v>1</v>
      </c>
      <c r="E5841" t="s">
        <v>10</v>
      </c>
      <c r="F5841">
        <v>9926</v>
      </c>
    </row>
    <row r="5842" spans="1:6" x14ac:dyDescent="0.25">
      <c r="A5842" t="s">
        <v>10936</v>
      </c>
      <c r="B5842" t="s">
        <v>10937</v>
      </c>
      <c r="C5842" s="1">
        <v>44083</v>
      </c>
      <c r="D5842" t="b">
        <v>1</v>
      </c>
      <c r="E5842" t="s">
        <v>10</v>
      </c>
      <c r="F5842">
        <v>5013</v>
      </c>
    </row>
    <row r="5843" spans="1:6" x14ac:dyDescent="0.25">
      <c r="A5843" t="s">
        <v>10938</v>
      </c>
      <c r="B5843" t="s">
        <v>10939</v>
      </c>
      <c r="C5843" s="1">
        <v>44083</v>
      </c>
      <c r="D5843" t="b">
        <v>1</v>
      </c>
      <c r="E5843" t="s">
        <v>10</v>
      </c>
      <c r="F5843">
        <v>5014</v>
      </c>
    </row>
    <row r="5844" spans="1:6" x14ac:dyDescent="0.25">
      <c r="A5844" t="s">
        <v>10940</v>
      </c>
      <c r="B5844" t="s">
        <v>10941</v>
      </c>
      <c r="C5844" s="1">
        <v>44083</v>
      </c>
      <c r="D5844" t="b">
        <v>1</v>
      </c>
      <c r="E5844" t="s">
        <v>10</v>
      </c>
      <c r="F5844">
        <v>5015</v>
      </c>
    </row>
    <row r="5845" spans="1:6" x14ac:dyDescent="0.25">
      <c r="A5845" t="s">
        <v>10942</v>
      </c>
      <c r="B5845" t="s">
        <v>10943</v>
      </c>
      <c r="C5845" s="1">
        <v>44083</v>
      </c>
      <c r="D5845" t="b">
        <v>1</v>
      </c>
      <c r="E5845" t="s">
        <v>10</v>
      </c>
      <c r="F5845">
        <v>9429</v>
      </c>
    </row>
    <row r="5846" spans="1:6" x14ac:dyDescent="0.25">
      <c r="A5846" t="s">
        <v>10944</v>
      </c>
      <c r="B5846" t="s">
        <v>10945</v>
      </c>
      <c r="C5846" s="1">
        <v>44083</v>
      </c>
      <c r="D5846" t="b">
        <v>1</v>
      </c>
      <c r="E5846" t="s">
        <v>10</v>
      </c>
      <c r="F5846">
        <v>5016</v>
      </c>
    </row>
    <row r="5847" spans="1:6" x14ac:dyDescent="0.25">
      <c r="A5847" t="s">
        <v>10946</v>
      </c>
      <c r="B5847" t="s">
        <v>10947</v>
      </c>
      <c r="C5847" s="1">
        <v>44083</v>
      </c>
      <c r="D5847" t="b">
        <v>1</v>
      </c>
      <c r="E5847" t="s">
        <v>10</v>
      </c>
      <c r="F5847">
        <v>15963</v>
      </c>
    </row>
    <row r="5848" spans="1:6" x14ac:dyDescent="0.25">
      <c r="A5848" t="s">
        <v>10948</v>
      </c>
      <c r="B5848" t="s">
        <v>10949</v>
      </c>
      <c r="C5848" s="1">
        <v>44083</v>
      </c>
      <c r="D5848" t="b">
        <v>1</v>
      </c>
      <c r="E5848" t="s">
        <v>10</v>
      </c>
      <c r="F5848">
        <v>14449</v>
      </c>
    </row>
    <row r="5849" spans="1:6" x14ac:dyDescent="0.25">
      <c r="A5849" t="s">
        <v>10950</v>
      </c>
      <c r="B5849" t="s">
        <v>10951</v>
      </c>
      <c r="C5849" s="1">
        <v>44083</v>
      </c>
      <c r="D5849" t="b">
        <v>1</v>
      </c>
      <c r="E5849" t="s">
        <v>10</v>
      </c>
      <c r="F5849">
        <v>9734</v>
      </c>
    </row>
    <row r="5850" spans="1:6" x14ac:dyDescent="0.25">
      <c r="A5850" t="s">
        <v>10952</v>
      </c>
      <c r="B5850" t="s">
        <v>10953</v>
      </c>
      <c r="C5850" s="1">
        <v>44083</v>
      </c>
      <c r="D5850" t="b">
        <v>1</v>
      </c>
      <c r="E5850" t="s">
        <v>10</v>
      </c>
      <c r="F5850">
        <v>9146</v>
      </c>
    </row>
    <row r="5851" spans="1:6" x14ac:dyDescent="0.25">
      <c r="A5851" t="s">
        <v>10954</v>
      </c>
      <c r="B5851" t="s">
        <v>10955</v>
      </c>
      <c r="C5851" s="1">
        <v>44083</v>
      </c>
      <c r="D5851" t="b">
        <v>1</v>
      </c>
      <c r="E5851" t="s">
        <v>10</v>
      </c>
      <c r="F5851">
        <v>5024</v>
      </c>
    </row>
    <row r="5852" spans="1:6" x14ac:dyDescent="0.25">
      <c r="A5852" t="s">
        <v>10956</v>
      </c>
      <c r="B5852" t="s">
        <v>10957</v>
      </c>
      <c r="C5852" s="1">
        <v>44083</v>
      </c>
      <c r="D5852" t="b">
        <v>1</v>
      </c>
      <c r="E5852" t="s">
        <v>10</v>
      </c>
      <c r="F5852">
        <v>5026</v>
      </c>
    </row>
    <row r="5853" spans="1:6" x14ac:dyDescent="0.25">
      <c r="A5853" t="s">
        <v>10958</v>
      </c>
      <c r="B5853" t="s">
        <v>10959</v>
      </c>
      <c r="C5853" s="1">
        <v>44083</v>
      </c>
      <c r="D5853" t="b">
        <v>1</v>
      </c>
      <c r="E5853" t="s">
        <v>10</v>
      </c>
      <c r="F5853">
        <v>5027</v>
      </c>
    </row>
    <row r="5854" spans="1:6" x14ac:dyDescent="0.25">
      <c r="A5854" t="s">
        <v>10960</v>
      </c>
      <c r="B5854" t="s">
        <v>10961</v>
      </c>
      <c r="C5854" s="1">
        <v>44083</v>
      </c>
      <c r="D5854" t="b">
        <v>1</v>
      </c>
      <c r="E5854" t="s">
        <v>10</v>
      </c>
      <c r="F5854">
        <v>5801</v>
      </c>
    </row>
    <row r="5855" spans="1:6" x14ac:dyDescent="0.25">
      <c r="A5855" t="s">
        <v>10962</v>
      </c>
      <c r="B5855" t="s">
        <v>10963</v>
      </c>
      <c r="C5855" s="1">
        <v>44083</v>
      </c>
      <c r="D5855" t="b">
        <v>1</v>
      </c>
      <c r="E5855" t="s">
        <v>10</v>
      </c>
      <c r="F5855">
        <v>16424</v>
      </c>
    </row>
    <row r="5856" spans="1:6" x14ac:dyDescent="0.25">
      <c r="A5856" t="s">
        <v>10964</v>
      </c>
      <c r="B5856" t="s">
        <v>10965</v>
      </c>
      <c r="C5856" s="1">
        <v>44083</v>
      </c>
      <c r="D5856" t="b">
        <v>1</v>
      </c>
      <c r="E5856" t="s">
        <v>10</v>
      </c>
      <c r="F5856">
        <v>7857</v>
      </c>
    </row>
    <row r="5857" spans="1:6" x14ac:dyDescent="0.25">
      <c r="A5857" t="s">
        <v>10966</v>
      </c>
      <c r="B5857" t="s">
        <v>10967</v>
      </c>
      <c r="C5857" s="1">
        <v>44083</v>
      </c>
      <c r="D5857" t="b">
        <v>1</v>
      </c>
      <c r="E5857" t="s">
        <v>10</v>
      </c>
      <c r="F5857">
        <v>5028</v>
      </c>
    </row>
    <row r="5858" spans="1:6" x14ac:dyDescent="0.25">
      <c r="A5858" t="s">
        <v>10968</v>
      </c>
      <c r="B5858" t="s">
        <v>10969</v>
      </c>
      <c r="C5858" s="1">
        <v>44083</v>
      </c>
      <c r="D5858" t="b">
        <v>1</v>
      </c>
      <c r="E5858" t="s">
        <v>10</v>
      </c>
      <c r="F5858">
        <v>10651</v>
      </c>
    </row>
    <row r="5859" spans="1:6" x14ac:dyDescent="0.25">
      <c r="A5859" t="s">
        <v>10970</v>
      </c>
      <c r="B5859" t="s">
        <v>10971</v>
      </c>
      <c r="C5859" s="1">
        <v>44083</v>
      </c>
      <c r="D5859" t="b">
        <v>1</v>
      </c>
      <c r="E5859" t="s">
        <v>10</v>
      </c>
      <c r="F5859">
        <v>15100</v>
      </c>
    </row>
    <row r="5860" spans="1:6" x14ac:dyDescent="0.25">
      <c r="A5860" t="s">
        <v>10972</v>
      </c>
      <c r="B5860" t="s">
        <v>10973</v>
      </c>
      <c r="C5860" s="1">
        <v>44083</v>
      </c>
      <c r="D5860" t="b">
        <v>1</v>
      </c>
      <c r="E5860" t="s">
        <v>10</v>
      </c>
      <c r="F5860">
        <v>5031</v>
      </c>
    </row>
    <row r="5861" spans="1:6" x14ac:dyDescent="0.25">
      <c r="A5861" t="s">
        <v>10974</v>
      </c>
      <c r="B5861" t="s">
        <v>10975</v>
      </c>
      <c r="C5861" s="1">
        <v>44083</v>
      </c>
      <c r="D5861" t="b">
        <v>1</v>
      </c>
      <c r="E5861" t="s">
        <v>10</v>
      </c>
      <c r="F5861">
        <v>5032</v>
      </c>
    </row>
    <row r="5862" spans="1:6" x14ac:dyDescent="0.25">
      <c r="A5862" t="s">
        <v>10976</v>
      </c>
      <c r="B5862" t="s">
        <v>10977</v>
      </c>
      <c r="C5862" s="1">
        <v>44083</v>
      </c>
      <c r="D5862" t="b">
        <v>1</v>
      </c>
      <c r="E5862" t="s">
        <v>10</v>
      </c>
      <c r="F5862">
        <v>5033</v>
      </c>
    </row>
    <row r="5863" spans="1:6" x14ac:dyDescent="0.25">
      <c r="A5863" t="s">
        <v>10978</v>
      </c>
      <c r="B5863" t="s">
        <v>10979</v>
      </c>
      <c r="C5863" s="1">
        <v>44083</v>
      </c>
      <c r="D5863" t="b">
        <v>1</v>
      </c>
      <c r="E5863" t="s">
        <v>10</v>
      </c>
      <c r="F5863">
        <v>5035</v>
      </c>
    </row>
    <row r="5864" spans="1:6" x14ac:dyDescent="0.25">
      <c r="A5864" t="s">
        <v>10980</v>
      </c>
      <c r="B5864" t="s">
        <v>10981</v>
      </c>
      <c r="C5864" s="1">
        <v>44083</v>
      </c>
      <c r="D5864" t="b">
        <v>1</v>
      </c>
      <c r="E5864" t="s">
        <v>10</v>
      </c>
      <c r="F5864">
        <v>5036</v>
      </c>
    </row>
    <row r="5865" spans="1:6" x14ac:dyDescent="0.25">
      <c r="A5865" t="s">
        <v>10982</v>
      </c>
      <c r="B5865" t="s">
        <v>10983</v>
      </c>
      <c r="C5865" s="1">
        <v>44083</v>
      </c>
      <c r="D5865" t="b">
        <v>1</v>
      </c>
      <c r="E5865" t="s">
        <v>10</v>
      </c>
      <c r="F5865">
        <v>12928</v>
      </c>
    </row>
    <row r="5866" spans="1:6" x14ac:dyDescent="0.25">
      <c r="A5866" t="s">
        <v>10984</v>
      </c>
      <c r="B5866" t="s">
        <v>10985</v>
      </c>
      <c r="C5866" s="1">
        <v>44083</v>
      </c>
      <c r="D5866" t="b">
        <v>1</v>
      </c>
      <c r="E5866" t="s">
        <v>10</v>
      </c>
      <c r="F5866">
        <v>5772</v>
      </c>
    </row>
    <row r="5867" spans="1:6" x14ac:dyDescent="0.25">
      <c r="A5867" t="s">
        <v>10986</v>
      </c>
      <c r="B5867" t="s">
        <v>10987</v>
      </c>
      <c r="C5867" s="1">
        <v>44083</v>
      </c>
      <c r="D5867" t="b">
        <v>1</v>
      </c>
      <c r="E5867" t="s">
        <v>10</v>
      </c>
      <c r="F5867">
        <v>5037</v>
      </c>
    </row>
    <row r="5868" spans="1:6" x14ac:dyDescent="0.25">
      <c r="A5868" t="s">
        <v>10988</v>
      </c>
      <c r="B5868" t="s">
        <v>10989</v>
      </c>
      <c r="C5868" s="1">
        <v>44083</v>
      </c>
      <c r="D5868" t="b">
        <v>1</v>
      </c>
      <c r="E5868" t="s">
        <v>10</v>
      </c>
      <c r="F5868">
        <v>5043</v>
      </c>
    </row>
    <row r="5869" spans="1:6" x14ac:dyDescent="0.25">
      <c r="A5869" t="s">
        <v>10990</v>
      </c>
      <c r="B5869" t="s">
        <v>10991</v>
      </c>
      <c r="C5869" s="1">
        <v>44083</v>
      </c>
      <c r="D5869" t="b">
        <v>1</v>
      </c>
      <c r="E5869" t="s">
        <v>10</v>
      </c>
      <c r="F5869">
        <v>5044</v>
      </c>
    </row>
    <row r="5870" spans="1:6" x14ac:dyDescent="0.25">
      <c r="A5870" t="s">
        <v>10992</v>
      </c>
      <c r="B5870" t="s">
        <v>10993</v>
      </c>
      <c r="C5870" s="1">
        <v>44083</v>
      </c>
      <c r="D5870" t="b">
        <v>1</v>
      </c>
      <c r="E5870" t="s">
        <v>10</v>
      </c>
      <c r="F5870">
        <v>5045</v>
      </c>
    </row>
    <row r="5871" spans="1:6" x14ac:dyDescent="0.25">
      <c r="A5871" t="s">
        <v>10994</v>
      </c>
      <c r="B5871" t="s">
        <v>10995</v>
      </c>
      <c r="C5871" s="1">
        <v>44083</v>
      </c>
      <c r="D5871" t="b">
        <v>1</v>
      </c>
      <c r="E5871" t="s">
        <v>10</v>
      </c>
      <c r="F5871">
        <v>5046</v>
      </c>
    </row>
    <row r="5872" spans="1:6" x14ac:dyDescent="0.25">
      <c r="A5872" t="s">
        <v>10996</v>
      </c>
      <c r="B5872" t="s">
        <v>10997</v>
      </c>
      <c r="C5872" s="1">
        <v>44083</v>
      </c>
      <c r="D5872" t="b">
        <v>1</v>
      </c>
      <c r="E5872" t="s">
        <v>10</v>
      </c>
      <c r="F5872">
        <v>5047</v>
      </c>
    </row>
    <row r="5873" spans="1:6" x14ac:dyDescent="0.25">
      <c r="A5873" t="s">
        <v>10998</v>
      </c>
      <c r="B5873" t="s">
        <v>10999</v>
      </c>
      <c r="C5873" s="1">
        <v>44083</v>
      </c>
      <c r="D5873" t="b">
        <v>1</v>
      </c>
      <c r="E5873" t="s">
        <v>10</v>
      </c>
      <c r="F5873">
        <v>9822</v>
      </c>
    </row>
    <row r="5874" spans="1:6" x14ac:dyDescent="0.25">
      <c r="A5874" t="s">
        <v>11000</v>
      </c>
      <c r="B5874" t="s">
        <v>11001</v>
      </c>
      <c r="C5874" s="1">
        <v>44083</v>
      </c>
      <c r="D5874" t="b">
        <v>1</v>
      </c>
      <c r="E5874" t="s">
        <v>10</v>
      </c>
      <c r="F5874">
        <v>5048</v>
      </c>
    </row>
    <row r="5875" spans="1:6" x14ac:dyDescent="0.25">
      <c r="A5875" t="s">
        <v>11002</v>
      </c>
      <c r="B5875" t="s">
        <v>11003</v>
      </c>
      <c r="C5875" s="1">
        <v>44083</v>
      </c>
      <c r="D5875" t="b">
        <v>1</v>
      </c>
      <c r="E5875" t="s">
        <v>10</v>
      </c>
      <c r="F5875">
        <v>15678</v>
      </c>
    </row>
    <row r="5876" spans="1:6" x14ac:dyDescent="0.25">
      <c r="A5876" t="s">
        <v>11004</v>
      </c>
      <c r="B5876" t="s">
        <v>11005</v>
      </c>
      <c r="C5876" s="1">
        <v>44083</v>
      </c>
      <c r="D5876" t="b">
        <v>1</v>
      </c>
      <c r="E5876" t="s">
        <v>10</v>
      </c>
      <c r="F5876">
        <v>9248</v>
      </c>
    </row>
    <row r="5877" spans="1:6" x14ac:dyDescent="0.25">
      <c r="A5877" t="s">
        <v>11006</v>
      </c>
      <c r="B5877" t="s">
        <v>11007</v>
      </c>
      <c r="C5877" s="1">
        <v>44083</v>
      </c>
      <c r="D5877" t="b">
        <v>1</v>
      </c>
      <c r="E5877" t="s">
        <v>10</v>
      </c>
      <c r="F5877">
        <v>2601</v>
      </c>
    </row>
    <row r="5878" spans="1:6" x14ac:dyDescent="0.25">
      <c r="A5878" t="s">
        <v>11008</v>
      </c>
      <c r="B5878" t="s">
        <v>11009</v>
      </c>
      <c r="C5878" s="1">
        <v>44083</v>
      </c>
      <c r="D5878" t="b">
        <v>1</v>
      </c>
      <c r="E5878" t="s">
        <v>10</v>
      </c>
      <c r="F5878">
        <v>17108</v>
      </c>
    </row>
    <row r="5879" spans="1:6" x14ac:dyDescent="0.25">
      <c r="A5879" t="s">
        <v>11010</v>
      </c>
      <c r="B5879" t="s">
        <v>11011</v>
      </c>
      <c r="C5879" s="1">
        <v>44083</v>
      </c>
      <c r="D5879" t="b">
        <v>1</v>
      </c>
      <c r="E5879" t="s">
        <v>10</v>
      </c>
      <c r="F5879">
        <v>5053</v>
      </c>
    </row>
    <row r="5880" spans="1:6" x14ac:dyDescent="0.25">
      <c r="A5880" t="s">
        <v>11012</v>
      </c>
      <c r="C5880" s="1">
        <v>44083</v>
      </c>
      <c r="D5880" t="b">
        <v>1</v>
      </c>
      <c r="E5880" t="s">
        <v>10</v>
      </c>
      <c r="F5880">
        <v>12503</v>
      </c>
    </row>
    <row r="5881" spans="1:6" x14ac:dyDescent="0.25">
      <c r="A5881" t="s">
        <v>11013</v>
      </c>
      <c r="C5881" s="1">
        <v>44083</v>
      </c>
      <c r="D5881" t="b">
        <v>1</v>
      </c>
      <c r="E5881" t="s">
        <v>10</v>
      </c>
      <c r="F5881">
        <v>5054</v>
      </c>
    </row>
    <row r="5882" spans="1:6" x14ac:dyDescent="0.25">
      <c r="A5882" t="s">
        <v>11014</v>
      </c>
      <c r="B5882" t="s">
        <v>11015</v>
      </c>
      <c r="C5882" s="1">
        <v>44083</v>
      </c>
      <c r="D5882" t="b">
        <v>1</v>
      </c>
      <c r="E5882" t="s">
        <v>10</v>
      </c>
      <c r="F5882">
        <v>5055</v>
      </c>
    </row>
    <row r="5883" spans="1:6" x14ac:dyDescent="0.25">
      <c r="A5883" t="s">
        <v>11016</v>
      </c>
      <c r="B5883" t="s">
        <v>11017</v>
      </c>
      <c r="C5883" s="1">
        <v>44083</v>
      </c>
      <c r="D5883" t="b">
        <v>1</v>
      </c>
      <c r="E5883" t="s">
        <v>10</v>
      </c>
      <c r="F5883">
        <v>5058</v>
      </c>
    </row>
    <row r="5884" spans="1:6" x14ac:dyDescent="0.25">
      <c r="A5884" t="s">
        <v>11018</v>
      </c>
      <c r="C5884" s="1">
        <v>44083</v>
      </c>
      <c r="D5884" t="b">
        <v>1</v>
      </c>
      <c r="E5884" t="s">
        <v>10</v>
      </c>
      <c r="F5884">
        <v>16209</v>
      </c>
    </row>
    <row r="5885" spans="1:6" x14ac:dyDescent="0.25">
      <c r="A5885" t="s">
        <v>11019</v>
      </c>
      <c r="C5885" s="1">
        <v>44083</v>
      </c>
      <c r="D5885" t="b">
        <v>1</v>
      </c>
      <c r="E5885" t="s">
        <v>10</v>
      </c>
      <c r="F5885">
        <v>13563</v>
      </c>
    </row>
    <row r="5886" spans="1:6" x14ac:dyDescent="0.25">
      <c r="A5886" t="s">
        <v>11020</v>
      </c>
      <c r="C5886" s="1">
        <v>44083</v>
      </c>
      <c r="D5886" t="b">
        <v>1</v>
      </c>
      <c r="E5886" t="s">
        <v>10</v>
      </c>
      <c r="F5886">
        <v>9965</v>
      </c>
    </row>
    <row r="5887" spans="1:6" x14ac:dyDescent="0.25">
      <c r="A5887" t="s">
        <v>11021</v>
      </c>
      <c r="C5887" s="1">
        <v>44083</v>
      </c>
      <c r="D5887" t="b">
        <v>1</v>
      </c>
      <c r="E5887" t="s">
        <v>10</v>
      </c>
      <c r="F5887">
        <v>5059</v>
      </c>
    </row>
    <row r="5888" spans="1:6" x14ac:dyDescent="0.25">
      <c r="A5888" t="s">
        <v>11022</v>
      </c>
      <c r="B5888" t="s">
        <v>11023</v>
      </c>
      <c r="C5888" s="1">
        <v>44083</v>
      </c>
      <c r="D5888" t="b">
        <v>1</v>
      </c>
      <c r="E5888" t="s">
        <v>10</v>
      </c>
      <c r="F5888">
        <v>5060</v>
      </c>
    </row>
    <row r="5889" spans="1:6" x14ac:dyDescent="0.25">
      <c r="A5889" t="s">
        <v>11024</v>
      </c>
      <c r="B5889" t="s">
        <v>11025</v>
      </c>
      <c r="C5889" s="1">
        <v>44083</v>
      </c>
      <c r="D5889" t="b">
        <v>1</v>
      </c>
      <c r="E5889" t="s">
        <v>10</v>
      </c>
      <c r="F5889">
        <v>5062</v>
      </c>
    </row>
    <row r="5890" spans="1:6" x14ac:dyDescent="0.25">
      <c r="A5890" t="s">
        <v>11026</v>
      </c>
      <c r="B5890" t="s">
        <v>11027</v>
      </c>
      <c r="C5890" s="1">
        <v>44083</v>
      </c>
      <c r="D5890" t="b">
        <v>1</v>
      </c>
      <c r="E5890" t="s">
        <v>10</v>
      </c>
      <c r="F5890">
        <v>5063</v>
      </c>
    </row>
    <row r="5891" spans="1:6" x14ac:dyDescent="0.25">
      <c r="A5891" t="s">
        <v>11028</v>
      </c>
      <c r="B5891" t="s">
        <v>11029</v>
      </c>
      <c r="C5891" s="1">
        <v>44083</v>
      </c>
      <c r="D5891" t="b">
        <v>1</v>
      </c>
      <c r="E5891" t="s">
        <v>10</v>
      </c>
      <c r="F5891">
        <v>5065</v>
      </c>
    </row>
    <row r="5892" spans="1:6" x14ac:dyDescent="0.25">
      <c r="A5892" t="s">
        <v>11030</v>
      </c>
      <c r="C5892" s="1">
        <v>44083</v>
      </c>
      <c r="D5892" t="b">
        <v>0</v>
      </c>
      <c r="E5892" t="s">
        <v>10</v>
      </c>
      <c r="F5892">
        <v>1</v>
      </c>
    </row>
    <row r="5893" spans="1:6" x14ac:dyDescent="0.25">
      <c r="A5893" t="s">
        <v>11031</v>
      </c>
      <c r="B5893" t="s">
        <v>11032</v>
      </c>
      <c r="C5893" s="1">
        <v>44083</v>
      </c>
      <c r="D5893" t="b">
        <v>1</v>
      </c>
      <c r="E5893" t="s">
        <v>10</v>
      </c>
      <c r="F5893">
        <v>5071</v>
      </c>
    </row>
    <row r="5894" spans="1:6" x14ac:dyDescent="0.25">
      <c r="A5894" t="s">
        <v>11033</v>
      </c>
      <c r="B5894" t="s">
        <v>11034</v>
      </c>
      <c r="C5894" s="1">
        <v>44083</v>
      </c>
      <c r="D5894" t="b">
        <v>1</v>
      </c>
      <c r="E5894" t="s">
        <v>10</v>
      </c>
      <c r="F5894">
        <v>16038</v>
      </c>
    </row>
    <row r="5895" spans="1:6" x14ac:dyDescent="0.25">
      <c r="A5895" t="s">
        <v>11035</v>
      </c>
      <c r="C5895" s="1">
        <v>44083</v>
      </c>
      <c r="D5895" t="b">
        <v>1</v>
      </c>
      <c r="E5895" t="s">
        <v>10</v>
      </c>
      <c r="F5895">
        <v>16054</v>
      </c>
    </row>
    <row r="5896" spans="1:6" x14ac:dyDescent="0.25">
      <c r="A5896" t="s">
        <v>11036</v>
      </c>
      <c r="B5896" t="s">
        <v>11037</v>
      </c>
      <c r="C5896" s="1">
        <v>44083</v>
      </c>
      <c r="D5896" t="b">
        <v>1</v>
      </c>
      <c r="E5896" t="s">
        <v>10</v>
      </c>
      <c r="F5896">
        <v>15899</v>
      </c>
    </row>
    <row r="5897" spans="1:6" x14ac:dyDescent="0.25">
      <c r="A5897" t="s">
        <v>11038</v>
      </c>
      <c r="C5897" s="1">
        <v>44083</v>
      </c>
      <c r="D5897" t="b">
        <v>1</v>
      </c>
      <c r="E5897" t="s">
        <v>10</v>
      </c>
      <c r="F5897">
        <v>14671</v>
      </c>
    </row>
    <row r="5898" spans="1:6" x14ac:dyDescent="0.25">
      <c r="A5898" t="s">
        <v>11039</v>
      </c>
      <c r="C5898" s="1">
        <v>44083</v>
      </c>
      <c r="D5898" t="b">
        <v>1</v>
      </c>
      <c r="E5898" t="s">
        <v>10</v>
      </c>
      <c r="F5898">
        <v>14927</v>
      </c>
    </row>
    <row r="5899" spans="1:6" x14ac:dyDescent="0.25">
      <c r="A5899" t="s">
        <v>11040</v>
      </c>
      <c r="B5899" t="s">
        <v>11041</v>
      </c>
      <c r="C5899" s="1">
        <v>44083</v>
      </c>
      <c r="D5899" t="b">
        <v>1</v>
      </c>
      <c r="E5899" t="s">
        <v>10</v>
      </c>
      <c r="F5899">
        <v>5077</v>
      </c>
    </row>
    <row r="5900" spans="1:6" x14ac:dyDescent="0.25">
      <c r="A5900" t="s">
        <v>11042</v>
      </c>
      <c r="B5900" t="s">
        <v>11043</v>
      </c>
      <c r="C5900" s="1">
        <v>44083</v>
      </c>
      <c r="D5900" t="b">
        <v>1</v>
      </c>
      <c r="E5900" t="s">
        <v>10</v>
      </c>
      <c r="F5900">
        <v>5080</v>
      </c>
    </row>
    <row r="5901" spans="1:6" x14ac:dyDescent="0.25">
      <c r="A5901" t="s">
        <v>11044</v>
      </c>
      <c r="B5901" t="s">
        <v>11045</v>
      </c>
      <c r="C5901" s="1">
        <v>44083</v>
      </c>
      <c r="D5901" t="b">
        <v>1</v>
      </c>
      <c r="E5901" t="s">
        <v>10</v>
      </c>
      <c r="F5901">
        <v>5081</v>
      </c>
    </row>
    <row r="5902" spans="1:6" x14ac:dyDescent="0.25">
      <c r="A5902" t="s">
        <v>11046</v>
      </c>
      <c r="B5902" t="s">
        <v>11047</v>
      </c>
      <c r="C5902" s="1">
        <v>44083</v>
      </c>
      <c r="D5902" t="b">
        <v>1</v>
      </c>
      <c r="E5902" t="s">
        <v>10</v>
      </c>
      <c r="F5902">
        <v>2901</v>
      </c>
    </row>
    <row r="5903" spans="1:6" x14ac:dyDescent="0.25">
      <c r="A5903" t="s">
        <v>11048</v>
      </c>
      <c r="B5903" t="s">
        <v>11049</v>
      </c>
      <c r="C5903" s="1">
        <v>44083</v>
      </c>
      <c r="D5903" t="b">
        <v>1</v>
      </c>
      <c r="E5903" t="s">
        <v>10</v>
      </c>
      <c r="F5903">
        <v>11810</v>
      </c>
    </row>
    <row r="5904" spans="1:6" x14ac:dyDescent="0.25">
      <c r="A5904" t="s">
        <v>11050</v>
      </c>
      <c r="B5904" t="s">
        <v>11051</v>
      </c>
      <c r="C5904" s="1">
        <v>44083</v>
      </c>
      <c r="D5904" t="b">
        <v>1</v>
      </c>
      <c r="E5904" t="s">
        <v>10</v>
      </c>
      <c r="F5904">
        <v>14429</v>
      </c>
    </row>
    <row r="5905" spans="1:6" x14ac:dyDescent="0.25">
      <c r="A5905" t="s">
        <v>11052</v>
      </c>
      <c r="B5905" t="s">
        <v>11053</v>
      </c>
      <c r="C5905" s="1">
        <v>44083</v>
      </c>
      <c r="D5905" t="b">
        <v>1</v>
      </c>
      <c r="E5905" t="s">
        <v>10</v>
      </c>
      <c r="F5905">
        <v>13360</v>
      </c>
    </row>
    <row r="5906" spans="1:6" x14ac:dyDescent="0.25">
      <c r="A5906" t="s">
        <v>11054</v>
      </c>
      <c r="B5906" t="s">
        <v>11055</v>
      </c>
      <c r="C5906" s="1">
        <v>44083</v>
      </c>
      <c r="D5906" t="b">
        <v>1</v>
      </c>
      <c r="E5906" t="s">
        <v>10</v>
      </c>
      <c r="F5906">
        <v>12323</v>
      </c>
    </row>
    <row r="5907" spans="1:6" x14ac:dyDescent="0.25">
      <c r="A5907" t="s">
        <v>11056</v>
      </c>
      <c r="B5907" t="s">
        <v>11057</v>
      </c>
      <c r="C5907" s="1">
        <v>44083</v>
      </c>
      <c r="D5907" t="b">
        <v>1</v>
      </c>
      <c r="E5907" t="s">
        <v>10</v>
      </c>
      <c r="F5907">
        <v>5083</v>
      </c>
    </row>
    <row r="5908" spans="1:6" x14ac:dyDescent="0.25">
      <c r="A5908" t="s">
        <v>11058</v>
      </c>
      <c r="B5908" t="s">
        <v>11059</v>
      </c>
      <c r="C5908" s="1">
        <v>44083</v>
      </c>
      <c r="D5908" t="b">
        <v>1</v>
      </c>
      <c r="E5908" t="s">
        <v>10</v>
      </c>
      <c r="F5908">
        <v>5084</v>
      </c>
    </row>
    <row r="5909" spans="1:6" x14ac:dyDescent="0.25">
      <c r="A5909" t="s">
        <v>11060</v>
      </c>
      <c r="B5909" t="s">
        <v>11061</v>
      </c>
      <c r="C5909" s="1">
        <v>44083</v>
      </c>
      <c r="D5909" t="b">
        <v>1</v>
      </c>
      <c r="E5909" t="s">
        <v>10</v>
      </c>
      <c r="F5909">
        <v>15113</v>
      </c>
    </row>
    <row r="5910" spans="1:6" x14ac:dyDescent="0.25">
      <c r="A5910" t="s">
        <v>11062</v>
      </c>
      <c r="C5910" s="1">
        <v>44083</v>
      </c>
      <c r="D5910" t="b">
        <v>1</v>
      </c>
      <c r="E5910" t="s">
        <v>10</v>
      </c>
      <c r="F5910">
        <v>15571</v>
      </c>
    </row>
    <row r="5911" spans="1:6" x14ac:dyDescent="0.25">
      <c r="A5911" t="s">
        <v>11063</v>
      </c>
      <c r="B5911" t="s">
        <v>11064</v>
      </c>
      <c r="C5911" s="1">
        <v>44083</v>
      </c>
      <c r="D5911" t="b">
        <v>1</v>
      </c>
      <c r="E5911" t="s">
        <v>10</v>
      </c>
      <c r="F5911">
        <v>5085</v>
      </c>
    </row>
    <row r="5912" spans="1:6" x14ac:dyDescent="0.25">
      <c r="A5912" t="s">
        <v>11065</v>
      </c>
      <c r="C5912" s="1">
        <v>44083</v>
      </c>
      <c r="D5912" t="b">
        <v>1</v>
      </c>
      <c r="E5912" t="s">
        <v>10</v>
      </c>
      <c r="F5912">
        <v>16718</v>
      </c>
    </row>
    <row r="5913" spans="1:6" x14ac:dyDescent="0.25">
      <c r="A5913" t="s">
        <v>11066</v>
      </c>
      <c r="B5913" t="s">
        <v>11067</v>
      </c>
      <c r="C5913" s="1">
        <v>44083</v>
      </c>
      <c r="D5913" t="b">
        <v>1</v>
      </c>
      <c r="E5913" t="s">
        <v>10</v>
      </c>
      <c r="F5913">
        <v>16297</v>
      </c>
    </row>
    <row r="5914" spans="1:6" x14ac:dyDescent="0.25">
      <c r="A5914" t="s">
        <v>11068</v>
      </c>
      <c r="B5914" t="s">
        <v>11069</v>
      </c>
      <c r="C5914" s="1">
        <v>44083</v>
      </c>
      <c r="D5914" t="b">
        <v>1</v>
      </c>
      <c r="E5914" t="s">
        <v>10</v>
      </c>
      <c r="F5914">
        <v>9544</v>
      </c>
    </row>
    <row r="5915" spans="1:6" x14ac:dyDescent="0.25">
      <c r="A5915" t="s">
        <v>11070</v>
      </c>
      <c r="B5915" t="s">
        <v>11071</v>
      </c>
      <c r="C5915" s="1">
        <v>44083</v>
      </c>
      <c r="D5915" t="b">
        <v>1</v>
      </c>
      <c r="E5915" t="s">
        <v>10</v>
      </c>
      <c r="F5915">
        <v>13061</v>
      </c>
    </row>
    <row r="5916" spans="1:6" x14ac:dyDescent="0.25">
      <c r="A5916" t="s">
        <v>11072</v>
      </c>
      <c r="B5916" t="s">
        <v>11073</v>
      </c>
      <c r="C5916" s="1">
        <v>44083</v>
      </c>
      <c r="D5916" t="b">
        <v>1</v>
      </c>
      <c r="E5916" t="s">
        <v>10</v>
      </c>
      <c r="F5916">
        <v>5088</v>
      </c>
    </row>
    <row r="5917" spans="1:6" x14ac:dyDescent="0.25">
      <c r="A5917" t="s">
        <v>11074</v>
      </c>
      <c r="B5917" t="s">
        <v>11075</v>
      </c>
      <c r="C5917" s="1">
        <v>44083</v>
      </c>
      <c r="D5917" t="b">
        <v>1</v>
      </c>
      <c r="E5917" t="s">
        <v>10</v>
      </c>
      <c r="F5917">
        <v>2655</v>
      </c>
    </row>
    <row r="5918" spans="1:6" x14ac:dyDescent="0.25">
      <c r="A5918" t="s">
        <v>11076</v>
      </c>
      <c r="B5918" t="s">
        <v>11077</v>
      </c>
      <c r="C5918" s="1">
        <v>44083</v>
      </c>
      <c r="D5918" t="b">
        <v>1</v>
      </c>
      <c r="E5918" t="s">
        <v>10</v>
      </c>
      <c r="F5918">
        <v>2648</v>
      </c>
    </row>
    <row r="5919" spans="1:6" x14ac:dyDescent="0.25">
      <c r="A5919" t="s">
        <v>11078</v>
      </c>
      <c r="B5919" t="s">
        <v>11079</v>
      </c>
      <c r="C5919" s="1">
        <v>44083</v>
      </c>
      <c r="D5919" t="b">
        <v>1</v>
      </c>
      <c r="E5919" t="s">
        <v>10</v>
      </c>
      <c r="F5919">
        <v>8861</v>
      </c>
    </row>
    <row r="5920" spans="1:6" x14ac:dyDescent="0.25">
      <c r="A5920" t="s">
        <v>11080</v>
      </c>
      <c r="B5920" t="s">
        <v>11081</v>
      </c>
      <c r="C5920" s="1">
        <v>44083</v>
      </c>
      <c r="D5920" t="b">
        <v>1</v>
      </c>
      <c r="E5920" t="s">
        <v>10</v>
      </c>
      <c r="F5920">
        <v>10981</v>
      </c>
    </row>
    <row r="5921" spans="1:6" x14ac:dyDescent="0.25">
      <c r="A5921" t="s">
        <v>11082</v>
      </c>
      <c r="B5921" t="s">
        <v>11083</v>
      </c>
      <c r="C5921" s="1">
        <v>44083</v>
      </c>
      <c r="D5921" t="b">
        <v>1</v>
      </c>
      <c r="E5921" t="s">
        <v>10</v>
      </c>
      <c r="F5921">
        <v>5094</v>
      </c>
    </row>
    <row r="5922" spans="1:6" x14ac:dyDescent="0.25">
      <c r="A5922" t="s">
        <v>11084</v>
      </c>
      <c r="B5922" t="s">
        <v>11085</v>
      </c>
      <c r="C5922" s="1">
        <v>44083</v>
      </c>
      <c r="D5922" t="b">
        <v>1</v>
      </c>
      <c r="E5922" t="s">
        <v>10</v>
      </c>
      <c r="F5922">
        <v>5095</v>
      </c>
    </row>
    <row r="5923" spans="1:6" x14ac:dyDescent="0.25">
      <c r="A5923" t="s">
        <v>11086</v>
      </c>
      <c r="B5923" t="s">
        <v>11087</v>
      </c>
      <c r="C5923" s="1">
        <v>44083</v>
      </c>
      <c r="D5923" t="b">
        <v>1</v>
      </c>
      <c r="E5923" t="s">
        <v>10</v>
      </c>
      <c r="F5923">
        <v>16918</v>
      </c>
    </row>
    <row r="5924" spans="1:6" x14ac:dyDescent="0.25">
      <c r="A5924" t="s">
        <v>11088</v>
      </c>
      <c r="B5924" t="s">
        <v>11089</v>
      </c>
      <c r="C5924" s="1">
        <v>44083</v>
      </c>
      <c r="D5924" t="b">
        <v>1</v>
      </c>
      <c r="E5924" t="s">
        <v>10</v>
      </c>
      <c r="F5924">
        <v>13772</v>
      </c>
    </row>
    <row r="5925" spans="1:6" x14ac:dyDescent="0.25">
      <c r="A5925" t="s">
        <v>11090</v>
      </c>
      <c r="B5925" t="s">
        <v>11091</v>
      </c>
      <c r="C5925" s="1">
        <v>44083</v>
      </c>
      <c r="D5925" t="b">
        <v>1</v>
      </c>
      <c r="E5925" t="s">
        <v>10</v>
      </c>
      <c r="F5925">
        <v>8707</v>
      </c>
    </row>
    <row r="5926" spans="1:6" x14ac:dyDescent="0.25">
      <c r="A5926" t="s">
        <v>11092</v>
      </c>
      <c r="B5926" t="s">
        <v>11093</v>
      </c>
      <c r="C5926" s="1">
        <v>44083</v>
      </c>
      <c r="D5926" t="b">
        <v>1</v>
      </c>
      <c r="E5926" t="s">
        <v>10</v>
      </c>
      <c r="F5926">
        <v>5097</v>
      </c>
    </row>
    <row r="5927" spans="1:6" x14ac:dyDescent="0.25">
      <c r="A5927" t="s">
        <v>11094</v>
      </c>
      <c r="B5927" t="s">
        <v>11095</v>
      </c>
      <c r="C5927" s="1">
        <v>44083</v>
      </c>
      <c r="D5927" t="b">
        <v>1</v>
      </c>
      <c r="E5927" t="s">
        <v>10</v>
      </c>
      <c r="F5927">
        <v>1573</v>
      </c>
    </row>
    <row r="5928" spans="1:6" x14ac:dyDescent="0.25">
      <c r="A5928" t="s">
        <v>11096</v>
      </c>
      <c r="B5928" t="s">
        <v>11097</v>
      </c>
      <c r="C5928" s="1">
        <v>44083</v>
      </c>
      <c r="D5928" t="b">
        <v>1</v>
      </c>
      <c r="E5928" t="s">
        <v>10</v>
      </c>
      <c r="F5928">
        <v>5099</v>
      </c>
    </row>
    <row r="5929" spans="1:6" x14ac:dyDescent="0.25">
      <c r="A5929" t="s">
        <v>11098</v>
      </c>
      <c r="B5929" t="s">
        <v>11099</v>
      </c>
      <c r="C5929" s="1">
        <v>44083</v>
      </c>
      <c r="D5929" t="b">
        <v>1</v>
      </c>
      <c r="E5929" t="s">
        <v>10</v>
      </c>
      <c r="F5929">
        <v>14791</v>
      </c>
    </row>
    <row r="5930" spans="1:6" x14ac:dyDescent="0.25">
      <c r="A5930" t="s">
        <v>11100</v>
      </c>
      <c r="B5930" t="s">
        <v>11101</v>
      </c>
      <c r="C5930" s="1">
        <v>44083</v>
      </c>
      <c r="D5930" t="b">
        <v>1</v>
      </c>
      <c r="E5930" t="s">
        <v>10</v>
      </c>
      <c r="F5930">
        <v>5100</v>
      </c>
    </row>
    <row r="5931" spans="1:6" x14ac:dyDescent="0.25">
      <c r="A5931" t="s">
        <v>11102</v>
      </c>
      <c r="B5931" t="s">
        <v>11103</v>
      </c>
      <c r="C5931" s="1">
        <v>44083</v>
      </c>
      <c r="D5931" t="b">
        <v>1</v>
      </c>
      <c r="E5931" t="s">
        <v>10</v>
      </c>
      <c r="F5931">
        <v>5103</v>
      </c>
    </row>
    <row r="5932" spans="1:6" x14ac:dyDescent="0.25">
      <c r="A5932" t="s">
        <v>11104</v>
      </c>
      <c r="B5932" t="s">
        <v>11105</v>
      </c>
      <c r="C5932" s="1">
        <v>44083</v>
      </c>
      <c r="D5932" t="b">
        <v>1</v>
      </c>
      <c r="E5932" t="s">
        <v>10</v>
      </c>
      <c r="F5932">
        <v>5105</v>
      </c>
    </row>
    <row r="5933" spans="1:6" x14ac:dyDescent="0.25">
      <c r="A5933" t="s">
        <v>11106</v>
      </c>
      <c r="C5933" s="1">
        <v>44083</v>
      </c>
      <c r="D5933" t="b">
        <v>1</v>
      </c>
      <c r="E5933" t="s">
        <v>10</v>
      </c>
      <c r="F5933">
        <v>5106</v>
      </c>
    </row>
    <row r="5934" spans="1:6" x14ac:dyDescent="0.25">
      <c r="A5934" t="s">
        <v>11107</v>
      </c>
      <c r="C5934" s="1">
        <v>44083</v>
      </c>
      <c r="D5934" t="b">
        <v>1</v>
      </c>
      <c r="E5934" t="s">
        <v>10</v>
      </c>
      <c r="F5934">
        <v>5107</v>
      </c>
    </row>
    <row r="5935" spans="1:6" x14ac:dyDescent="0.25">
      <c r="A5935" t="s">
        <v>11108</v>
      </c>
      <c r="C5935" s="1">
        <v>44083</v>
      </c>
      <c r="D5935" t="b">
        <v>1</v>
      </c>
      <c r="E5935" t="s">
        <v>10</v>
      </c>
      <c r="F5935">
        <v>5108</v>
      </c>
    </row>
    <row r="5936" spans="1:6" x14ac:dyDescent="0.25">
      <c r="A5936" t="s">
        <v>11109</v>
      </c>
      <c r="B5936" t="s">
        <v>11110</v>
      </c>
      <c r="C5936" s="1">
        <v>44083</v>
      </c>
      <c r="D5936" t="b">
        <v>1</v>
      </c>
      <c r="E5936" t="s">
        <v>10</v>
      </c>
      <c r="F5936">
        <v>5110</v>
      </c>
    </row>
    <row r="5937" spans="1:6" x14ac:dyDescent="0.25">
      <c r="A5937" t="s">
        <v>11111</v>
      </c>
      <c r="B5937" t="s">
        <v>11112</v>
      </c>
      <c r="C5937" s="1">
        <v>44083</v>
      </c>
      <c r="D5937" t="b">
        <v>1</v>
      </c>
      <c r="E5937" t="s">
        <v>10</v>
      </c>
      <c r="F5937">
        <v>5111</v>
      </c>
    </row>
    <row r="5938" spans="1:6" x14ac:dyDescent="0.25">
      <c r="A5938" t="s">
        <v>11113</v>
      </c>
      <c r="B5938" t="s">
        <v>11114</v>
      </c>
      <c r="C5938" s="1">
        <v>44083</v>
      </c>
      <c r="D5938" t="b">
        <v>1</v>
      </c>
      <c r="E5938" t="s">
        <v>10</v>
      </c>
      <c r="F5938">
        <v>5112</v>
      </c>
    </row>
    <row r="5939" spans="1:6" x14ac:dyDescent="0.25">
      <c r="A5939" t="s">
        <v>11115</v>
      </c>
      <c r="C5939" s="1">
        <v>44083</v>
      </c>
      <c r="D5939" t="b">
        <v>1</v>
      </c>
      <c r="E5939" t="s">
        <v>10</v>
      </c>
      <c r="F5939">
        <v>16200</v>
      </c>
    </row>
    <row r="5940" spans="1:6" x14ac:dyDescent="0.25">
      <c r="A5940" t="s">
        <v>11116</v>
      </c>
      <c r="C5940" s="1">
        <v>44083</v>
      </c>
      <c r="D5940" t="b">
        <v>1</v>
      </c>
      <c r="E5940" t="s">
        <v>10</v>
      </c>
      <c r="F5940">
        <v>14469</v>
      </c>
    </row>
    <row r="5941" spans="1:6" x14ac:dyDescent="0.25">
      <c r="A5941" t="s">
        <v>11117</v>
      </c>
      <c r="C5941" s="1">
        <v>44083</v>
      </c>
      <c r="D5941" t="b">
        <v>1</v>
      </c>
      <c r="E5941" t="s">
        <v>10</v>
      </c>
      <c r="F5941">
        <v>15175</v>
      </c>
    </row>
    <row r="5942" spans="1:6" x14ac:dyDescent="0.25">
      <c r="A5942" t="s">
        <v>11118</v>
      </c>
      <c r="B5942" t="s">
        <v>11119</v>
      </c>
      <c r="C5942" s="1">
        <v>44083</v>
      </c>
      <c r="D5942" t="b">
        <v>1</v>
      </c>
      <c r="E5942" t="s">
        <v>10</v>
      </c>
      <c r="F5942">
        <v>7998</v>
      </c>
    </row>
    <row r="5943" spans="1:6" x14ac:dyDescent="0.25">
      <c r="A5943" t="s">
        <v>11120</v>
      </c>
      <c r="B5943" t="s">
        <v>11121</v>
      </c>
      <c r="C5943" s="1">
        <v>44083</v>
      </c>
      <c r="D5943" t="b">
        <v>1</v>
      </c>
      <c r="E5943" t="s">
        <v>10</v>
      </c>
      <c r="F5943">
        <v>5113</v>
      </c>
    </row>
    <row r="5944" spans="1:6" x14ac:dyDescent="0.25">
      <c r="A5944" t="s">
        <v>11122</v>
      </c>
      <c r="B5944" t="s">
        <v>11123</v>
      </c>
      <c r="C5944" s="1">
        <v>44083</v>
      </c>
      <c r="D5944" t="b">
        <v>1</v>
      </c>
      <c r="E5944" t="s">
        <v>10</v>
      </c>
      <c r="F5944">
        <v>5115</v>
      </c>
    </row>
    <row r="5945" spans="1:6" x14ac:dyDescent="0.25">
      <c r="A5945" t="s">
        <v>11124</v>
      </c>
      <c r="B5945" t="s">
        <v>11125</v>
      </c>
      <c r="C5945" s="1">
        <v>44083</v>
      </c>
      <c r="D5945" t="b">
        <v>1</v>
      </c>
      <c r="E5945" t="s">
        <v>10</v>
      </c>
      <c r="F5945">
        <v>15744</v>
      </c>
    </row>
    <row r="5946" spans="1:6" x14ac:dyDescent="0.25">
      <c r="A5946" t="s">
        <v>11126</v>
      </c>
      <c r="B5946" t="s">
        <v>11127</v>
      </c>
      <c r="C5946" s="1">
        <v>44083</v>
      </c>
      <c r="D5946" t="b">
        <v>1</v>
      </c>
      <c r="E5946" t="s">
        <v>10</v>
      </c>
      <c r="F5946">
        <v>14711</v>
      </c>
    </row>
    <row r="5947" spans="1:6" x14ac:dyDescent="0.25">
      <c r="A5947" t="s">
        <v>11128</v>
      </c>
      <c r="B5947" t="s">
        <v>11129</v>
      </c>
      <c r="C5947" s="1">
        <v>44083</v>
      </c>
      <c r="D5947" t="b">
        <v>1</v>
      </c>
      <c r="E5947" t="s">
        <v>10</v>
      </c>
      <c r="F5947">
        <v>8204</v>
      </c>
    </row>
    <row r="5948" spans="1:6" x14ac:dyDescent="0.25">
      <c r="A5948" t="s">
        <v>11130</v>
      </c>
      <c r="B5948" t="s">
        <v>11131</v>
      </c>
      <c r="C5948" s="1">
        <v>44083</v>
      </c>
      <c r="D5948" t="b">
        <v>1</v>
      </c>
      <c r="E5948" t="s">
        <v>10</v>
      </c>
      <c r="F5948">
        <v>5117</v>
      </c>
    </row>
    <row r="5949" spans="1:6" x14ac:dyDescent="0.25">
      <c r="A5949" t="s">
        <v>11132</v>
      </c>
      <c r="B5949" t="s">
        <v>11133</v>
      </c>
      <c r="C5949" s="1">
        <v>44083</v>
      </c>
      <c r="D5949" t="b">
        <v>1</v>
      </c>
      <c r="E5949" t="s">
        <v>10</v>
      </c>
      <c r="F5949">
        <v>16426</v>
      </c>
    </row>
    <row r="5950" spans="1:6" x14ac:dyDescent="0.25">
      <c r="A5950" t="s">
        <v>11134</v>
      </c>
      <c r="B5950" t="s">
        <v>11135</v>
      </c>
      <c r="C5950" s="1">
        <v>44083</v>
      </c>
      <c r="D5950" t="b">
        <v>1</v>
      </c>
      <c r="E5950" t="s">
        <v>10</v>
      </c>
      <c r="F5950">
        <v>5120</v>
      </c>
    </row>
    <row r="5951" spans="1:6" x14ac:dyDescent="0.25">
      <c r="A5951" t="s">
        <v>11136</v>
      </c>
      <c r="B5951" t="s">
        <v>11137</v>
      </c>
      <c r="C5951" s="1">
        <v>44083</v>
      </c>
      <c r="D5951" t="b">
        <v>1</v>
      </c>
      <c r="E5951" t="s">
        <v>10</v>
      </c>
      <c r="F5951">
        <v>5122</v>
      </c>
    </row>
    <row r="5952" spans="1:6" x14ac:dyDescent="0.25">
      <c r="A5952" t="s">
        <v>11138</v>
      </c>
      <c r="B5952" t="s">
        <v>11139</v>
      </c>
      <c r="C5952" s="1">
        <v>44083</v>
      </c>
      <c r="D5952" t="b">
        <v>1</v>
      </c>
      <c r="E5952" t="s">
        <v>10</v>
      </c>
      <c r="F5952">
        <v>5123</v>
      </c>
    </row>
    <row r="5953" spans="1:6" x14ac:dyDescent="0.25">
      <c r="A5953" t="s">
        <v>11140</v>
      </c>
      <c r="B5953" t="s">
        <v>11141</v>
      </c>
      <c r="C5953" s="1">
        <v>44083</v>
      </c>
      <c r="D5953" t="b">
        <v>1</v>
      </c>
      <c r="E5953" t="s">
        <v>10</v>
      </c>
      <c r="F5953">
        <v>5124</v>
      </c>
    </row>
    <row r="5954" spans="1:6" x14ac:dyDescent="0.25">
      <c r="A5954" t="s">
        <v>11142</v>
      </c>
      <c r="B5954" t="s">
        <v>11143</v>
      </c>
      <c r="C5954" s="1">
        <v>44083</v>
      </c>
      <c r="D5954" t="b">
        <v>1</v>
      </c>
      <c r="E5954" t="s">
        <v>10</v>
      </c>
      <c r="F5954">
        <v>5125</v>
      </c>
    </row>
    <row r="5955" spans="1:6" x14ac:dyDescent="0.25">
      <c r="A5955" t="s">
        <v>11144</v>
      </c>
      <c r="B5955" t="s">
        <v>11145</v>
      </c>
      <c r="C5955" s="1">
        <v>44083</v>
      </c>
      <c r="D5955" t="b">
        <v>1</v>
      </c>
      <c r="E5955" t="s">
        <v>10</v>
      </c>
      <c r="F5955">
        <v>5137</v>
      </c>
    </row>
    <row r="5956" spans="1:6" x14ac:dyDescent="0.25">
      <c r="A5956" t="s">
        <v>11146</v>
      </c>
      <c r="B5956" t="s">
        <v>11147</v>
      </c>
      <c r="C5956" s="1">
        <v>44083</v>
      </c>
      <c r="D5956" t="b">
        <v>1</v>
      </c>
      <c r="E5956" t="s">
        <v>10</v>
      </c>
      <c r="F5956">
        <v>11894</v>
      </c>
    </row>
    <row r="5957" spans="1:6" x14ac:dyDescent="0.25">
      <c r="A5957" t="s">
        <v>11148</v>
      </c>
      <c r="B5957" t="s">
        <v>11149</v>
      </c>
      <c r="C5957" s="1">
        <v>44083</v>
      </c>
      <c r="D5957" t="b">
        <v>1</v>
      </c>
      <c r="E5957" t="s">
        <v>10</v>
      </c>
      <c r="F5957">
        <v>5130</v>
      </c>
    </row>
    <row r="5958" spans="1:6" x14ac:dyDescent="0.25">
      <c r="A5958" t="s">
        <v>11150</v>
      </c>
      <c r="B5958" t="s">
        <v>11151</v>
      </c>
      <c r="C5958" s="1">
        <v>44083</v>
      </c>
      <c r="D5958" t="b">
        <v>1</v>
      </c>
      <c r="E5958" t="s">
        <v>10</v>
      </c>
      <c r="F5958">
        <v>5131</v>
      </c>
    </row>
    <row r="5959" spans="1:6" x14ac:dyDescent="0.25">
      <c r="A5959" t="s">
        <v>11152</v>
      </c>
      <c r="B5959" t="s">
        <v>11153</v>
      </c>
      <c r="C5959" s="1">
        <v>44083</v>
      </c>
      <c r="D5959" t="b">
        <v>1</v>
      </c>
      <c r="E5959" t="s">
        <v>10</v>
      </c>
      <c r="F5959">
        <v>12469</v>
      </c>
    </row>
    <row r="5960" spans="1:6" x14ac:dyDescent="0.25">
      <c r="A5960" t="s">
        <v>11154</v>
      </c>
      <c r="B5960" t="s">
        <v>11155</v>
      </c>
      <c r="C5960" s="1">
        <v>44083</v>
      </c>
      <c r="D5960" t="b">
        <v>1</v>
      </c>
      <c r="E5960" t="s">
        <v>10</v>
      </c>
      <c r="F5960">
        <v>17069</v>
      </c>
    </row>
    <row r="5961" spans="1:6" x14ac:dyDescent="0.25">
      <c r="A5961" t="s">
        <v>11156</v>
      </c>
      <c r="B5961" t="s">
        <v>11157</v>
      </c>
      <c r="C5961" s="1">
        <v>44083</v>
      </c>
      <c r="D5961" t="b">
        <v>1</v>
      </c>
      <c r="E5961" t="s">
        <v>10</v>
      </c>
      <c r="F5961">
        <v>11449</v>
      </c>
    </row>
    <row r="5962" spans="1:6" x14ac:dyDescent="0.25">
      <c r="A5962" t="s">
        <v>11158</v>
      </c>
      <c r="B5962" t="s">
        <v>11159</v>
      </c>
      <c r="C5962" s="1">
        <v>44083</v>
      </c>
      <c r="D5962" t="b">
        <v>1</v>
      </c>
      <c r="E5962" t="s">
        <v>10</v>
      </c>
      <c r="F5962">
        <v>5136</v>
      </c>
    </row>
    <row r="5963" spans="1:6" x14ac:dyDescent="0.25">
      <c r="A5963" t="s">
        <v>11160</v>
      </c>
      <c r="B5963" t="s">
        <v>11161</v>
      </c>
      <c r="C5963" s="1">
        <v>44083</v>
      </c>
      <c r="D5963" t="b">
        <v>1</v>
      </c>
      <c r="E5963" t="s">
        <v>10</v>
      </c>
      <c r="F5963">
        <v>10203</v>
      </c>
    </row>
    <row r="5964" spans="1:6" x14ac:dyDescent="0.25">
      <c r="A5964" t="s">
        <v>11162</v>
      </c>
      <c r="B5964" t="s">
        <v>11163</v>
      </c>
      <c r="C5964" s="1">
        <v>44083</v>
      </c>
      <c r="D5964" t="b">
        <v>1</v>
      </c>
      <c r="E5964" t="s">
        <v>10</v>
      </c>
      <c r="F5964">
        <v>5138</v>
      </c>
    </row>
    <row r="5965" spans="1:6" x14ac:dyDescent="0.25">
      <c r="A5965" t="s">
        <v>11164</v>
      </c>
      <c r="B5965" t="s">
        <v>11165</v>
      </c>
      <c r="C5965" s="1">
        <v>44083</v>
      </c>
      <c r="D5965" t="b">
        <v>1</v>
      </c>
      <c r="E5965" t="s">
        <v>10</v>
      </c>
      <c r="F5965">
        <v>5140</v>
      </c>
    </row>
    <row r="5966" spans="1:6" x14ac:dyDescent="0.25">
      <c r="A5966" t="s">
        <v>11166</v>
      </c>
      <c r="B5966" t="s">
        <v>11167</v>
      </c>
      <c r="C5966" s="1">
        <v>44083</v>
      </c>
      <c r="D5966" t="b">
        <v>1</v>
      </c>
      <c r="E5966" t="s">
        <v>10</v>
      </c>
      <c r="F5966">
        <v>5141</v>
      </c>
    </row>
    <row r="5967" spans="1:6" x14ac:dyDescent="0.25">
      <c r="A5967" t="s">
        <v>11168</v>
      </c>
      <c r="B5967" t="s">
        <v>11169</v>
      </c>
      <c r="C5967" s="1">
        <v>44083</v>
      </c>
      <c r="D5967" t="b">
        <v>1</v>
      </c>
      <c r="E5967" t="s">
        <v>10</v>
      </c>
      <c r="F5967">
        <v>5142</v>
      </c>
    </row>
    <row r="5968" spans="1:6" x14ac:dyDescent="0.25">
      <c r="A5968" t="s">
        <v>11170</v>
      </c>
      <c r="B5968" t="s">
        <v>11171</v>
      </c>
      <c r="C5968" s="1">
        <v>44083</v>
      </c>
      <c r="D5968" t="b">
        <v>1</v>
      </c>
      <c r="E5968" t="s">
        <v>10</v>
      </c>
      <c r="F5968">
        <v>5143</v>
      </c>
    </row>
    <row r="5969" spans="1:6" x14ac:dyDescent="0.25">
      <c r="A5969" t="s">
        <v>11172</v>
      </c>
      <c r="B5969" t="s">
        <v>11173</v>
      </c>
      <c r="C5969" s="1">
        <v>44083</v>
      </c>
      <c r="D5969" t="b">
        <v>1</v>
      </c>
      <c r="E5969" t="s">
        <v>10</v>
      </c>
      <c r="F5969">
        <v>5146</v>
      </c>
    </row>
    <row r="5970" spans="1:6" x14ac:dyDescent="0.25">
      <c r="A5970" t="s">
        <v>11174</v>
      </c>
      <c r="B5970" t="s">
        <v>11175</v>
      </c>
      <c r="C5970" s="1">
        <v>44083</v>
      </c>
      <c r="D5970" t="b">
        <v>1</v>
      </c>
      <c r="E5970" t="s">
        <v>10</v>
      </c>
      <c r="F5970">
        <v>5147</v>
      </c>
    </row>
    <row r="5971" spans="1:6" x14ac:dyDescent="0.25">
      <c r="A5971" t="s">
        <v>11176</v>
      </c>
      <c r="B5971" t="s">
        <v>11177</v>
      </c>
      <c r="C5971" s="1">
        <v>44083</v>
      </c>
      <c r="D5971" t="b">
        <v>1</v>
      </c>
      <c r="E5971" t="s">
        <v>10</v>
      </c>
      <c r="F5971">
        <v>7887</v>
      </c>
    </row>
    <row r="5972" spans="1:6" x14ac:dyDescent="0.25">
      <c r="A5972" t="s">
        <v>11178</v>
      </c>
      <c r="B5972" t="s">
        <v>11179</v>
      </c>
      <c r="C5972" s="1">
        <v>44083</v>
      </c>
      <c r="D5972" t="b">
        <v>1</v>
      </c>
      <c r="E5972" t="s">
        <v>10</v>
      </c>
      <c r="F5972">
        <v>15765</v>
      </c>
    </row>
    <row r="5973" spans="1:6" x14ac:dyDescent="0.25">
      <c r="A5973" t="s">
        <v>11180</v>
      </c>
      <c r="B5973" t="s">
        <v>11181</v>
      </c>
      <c r="C5973" s="1">
        <v>44083</v>
      </c>
      <c r="D5973" t="b">
        <v>1</v>
      </c>
      <c r="E5973" t="s">
        <v>10</v>
      </c>
      <c r="F5973">
        <v>15766</v>
      </c>
    </row>
    <row r="5974" spans="1:6" x14ac:dyDescent="0.25">
      <c r="A5974" t="s">
        <v>11182</v>
      </c>
      <c r="B5974" t="s">
        <v>11183</v>
      </c>
      <c r="C5974" s="1">
        <v>44083</v>
      </c>
      <c r="D5974" t="b">
        <v>1</v>
      </c>
      <c r="E5974" t="s">
        <v>10</v>
      </c>
      <c r="F5974">
        <v>5149</v>
      </c>
    </row>
    <row r="5975" spans="1:6" x14ac:dyDescent="0.25">
      <c r="A5975" t="s">
        <v>11184</v>
      </c>
      <c r="B5975" t="s">
        <v>11185</v>
      </c>
      <c r="C5975" s="1">
        <v>44083</v>
      </c>
      <c r="D5975" t="b">
        <v>1</v>
      </c>
      <c r="E5975" t="s">
        <v>10</v>
      </c>
      <c r="F5975">
        <v>13409</v>
      </c>
    </row>
    <row r="5976" spans="1:6" x14ac:dyDescent="0.25">
      <c r="A5976" t="s">
        <v>11186</v>
      </c>
      <c r="B5976" t="s">
        <v>11187</v>
      </c>
      <c r="C5976" s="1">
        <v>44083</v>
      </c>
      <c r="D5976" t="b">
        <v>1</v>
      </c>
      <c r="E5976" t="s">
        <v>10</v>
      </c>
      <c r="F5976">
        <v>5161</v>
      </c>
    </row>
    <row r="5977" spans="1:6" x14ac:dyDescent="0.25">
      <c r="A5977" t="s">
        <v>11188</v>
      </c>
      <c r="B5977" t="s">
        <v>11189</v>
      </c>
      <c r="C5977" s="1">
        <v>44083</v>
      </c>
      <c r="D5977" t="b">
        <v>1</v>
      </c>
      <c r="E5977" t="s">
        <v>10</v>
      </c>
      <c r="F5977">
        <v>5152</v>
      </c>
    </row>
    <row r="5978" spans="1:6" x14ac:dyDescent="0.25">
      <c r="A5978" t="s">
        <v>11190</v>
      </c>
      <c r="B5978" t="s">
        <v>11191</v>
      </c>
      <c r="C5978" s="1">
        <v>44083</v>
      </c>
      <c r="D5978" t="b">
        <v>1</v>
      </c>
      <c r="E5978" t="s">
        <v>10</v>
      </c>
      <c r="F5978">
        <v>10045</v>
      </c>
    </row>
    <row r="5979" spans="1:6" x14ac:dyDescent="0.25">
      <c r="A5979" t="s">
        <v>11192</v>
      </c>
      <c r="B5979" t="s">
        <v>11193</v>
      </c>
      <c r="C5979" s="1">
        <v>44083</v>
      </c>
      <c r="D5979" t="b">
        <v>1</v>
      </c>
      <c r="E5979" t="s">
        <v>10</v>
      </c>
      <c r="F5979">
        <v>3054</v>
      </c>
    </row>
    <row r="5980" spans="1:6" x14ac:dyDescent="0.25">
      <c r="A5980" t="s">
        <v>11194</v>
      </c>
      <c r="B5980" t="s">
        <v>11195</v>
      </c>
      <c r="C5980" s="1">
        <v>44083</v>
      </c>
      <c r="D5980" t="b">
        <v>1</v>
      </c>
      <c r="E5980" t="s">
        <v>10</v>
      </c>
      <c r="F5980">
        <v>5153</v>
      </c>
    </row>
    <row r="5981" spans="1:6" x14ac:dyDescent="0.25">
      <c r="A5981" t="s">
        <v>11196</v>
      </c>
      <c r="B5981" t="s">
        <v>11197</v>
      </c>
      <c r="C5981" s="1">
        <v>44083</v>
      </c>
      <c r="D5981" t="b">
        <v>1</v>
      </c>
      <c r="E5981" t="s">
        <v>10</v>
      </c>
      <c r="F5981">
        <v>9488</v>
      </c>
    </row>
    <row r="5982" spans="1:6" x14ac:dyDescent="0.25">
      <c r="A5982" t="s">
        <v>812</v>
      </c>
      <c r="B5982" t="s">
        <v>11198</v>
      </c>
      <c r="C5982" s="1">
        <v>44083</v>
      </c>
      <c r="D5982" t="b">
        <v>1</v>
      </c>
      <c r="E5982" t="s">
        <v>10</v>
      </c>
      <c r="F5982">
        <v>14223</v>
      </c>
    </row>
    <row r="5983" spans="1:6" x14ac:dyDescent="0.25">
      <c r="A5983" t="s">
        <v>11199</v>
      </c>
      <c r="B5983" t="s">
        <v>11200</v>
      </c>
      <c r="C5983" s="1">
        <v>44083</v>
      </c>
      <c r="D5983" t="b">
        <v>1</v>
      </c>
      <c r="E5983" t="s">
        <v>10</v>
      </c>
      <c r="F5983">
        <v>16438</v>
      </c>
    </row>
    <row r="5984" spans="1:6" x14ac:dyDescent="0.25">
      <c r="A5984" t="s">
        <v>11201</v>
      </c>
      <c r="B5984" t="s">
        <v>11202</v>
      </c>
      <c r="C5984" s="1">
        <v>44083</v>
      </c>
      <c r="D5984" t="b">
        <v>1</v>
      </c>
      <c r="E5984" t="s">
        <v>10</v>
      </c>
      <c r="F5984">
        <v>10900</v>
      </c>
    </row>
    <row r="5985" spans="1:6" x14ac:dyDescent="0.25">
      <c r="A5985" t="s">
        <v>11203</v>
      </c>
      <c r="B5985" t="s">
        <v>11204</v>
      </c>
      <c r="C5985" s="1">
        <v>44083</v>
      </c>
      <c r="D5985" t="b">
        <v>1</v>
      </c>
      <c r="E5985" t="s">
        <v>10</v>
      </c>
      <c r="F5985">
        <v>5157</v>
      </c>
    </row>
    <row r="5986" spans="1:6" x14ac:dyDescent="0.25">
      <c r="A5986" t="s">
        <v>11205</v>
      </c>
      <c r="B5986" t="s">
        <v>11206</v>
      </c>
      <c r="C5986" s="1">
        <v>44083</v>
      </c>
      <c r="D5986" t="b">
        <v>1</v>
      </c>
      <c r="E5986" t="s">
        <v>10</v>
      </c>
      <c r="F5986">
        <v>10901</v>
      </c>
    </row>
    <row r="5987" spans="1:6" x14ac:dyDescent="0.25">
      <c r="A5987" t="s">
        <v>11207</v>
      </c>
      <c r="B5987" t="s">
        <v>11208</v>
      </c>
      <c r="C5987" s="1">
        <v>44083</v>
      </c>
      <c r="D5987" t="b">
        <v>1</v>
      </c>
      <c r="E5987" t="s">
        <v>10</v>
      </c>
      <c r="F5987">
        <v>16194</v>
      </c>
    </row>
    <row r="5988" spans="1:6" x14ac:dyDescent="0.25">
      <c r="A5988" t="s">
        <v>11209</v>
      </c>
      <c r="B5988" t="s">
        <v>11210</v>
      </c>
      <c r="C5988" s="1">
        <v>44083</v>
      </c>
      <c r="D5988" t="b">
        <v>1</v>
      </c>
      <c r="E5988" t="s">
        <v>10</v>
      </c>
      <c r="F5988">
        <v>10902</v>
      </c>
    </row>
    <row r="5989" spans="1:6" x14ac:dyDescent="0.25">
      <c r="A5989" t="s">
        <v>11211</v>
      </c>
      <c r="B5989" t="s">
        <v>11212</v>
      </c>
      <c r="C5989" s="1">
        <v>44083</v>
      </c>
      <c r="D5989" t="b">
        <v>1</v>
      </c>
      <c r="E5989" t="s">
        <v>10</v>
      </c>
      <c r="F5989">
        <v>14822</v>
      </c>
    </row>
    <row r="5990" spans="1:6" x14ac:dyDescent="0.25">
      <c r="A5990" t="s">
        <v>11213</v>
      </c>
      <c r="B5990" t="s">
        <v>11214</v>
      </c>
      <c r="C5990" s="1">
        <v>44083</v>
      </c>
      <c r="D5990" t="b">
        <v>1</v>
      </c>
      <c r="E5990" t="s">
        <v>10</v>
      </c>
      <c r="F5990">
        <v>4690</v>
      </c>
    </row>
    <row r="5991" spans="1:6" x14ac:dyDescent="0.25">
      <c r="A5991" t="s">
        <v>11215</v>
      </c>
      <c r="B5991" t="s">
        <v>11216</v>
      </c>
      <c r="C5991" s="1">
        <v>44083</v>
      </c>
      <c r="D5991" t="b">
        <v>1</v>
      </c>
      <c r="E5991" t="s">
        <v>10</v>
      </c>
      <c r="F5991">
        <v>5163</v>
      </c>
    </row>
    <row r="5992" spans="1:6" x14ac:dyDescent="0.25">
      <c r="A5992" t="s">
        <v>11217</v>
      </c>
      <c r="C5992" s="1">
        <v>44083</v>
      </c>
      <c r="D5992" t="b">
        <v>1</v>
      </c>
      <c r="E5992" t="s">
        <v>10</v>
      </c>
      <c r="F5992">
        <v>11691</v>
      </c>
    </row>
    <row r="5993" spans="1:6" x14ac:dyDescent="0.25">
      <c r="A5993" t="s">
        <v>11218</v>
      </c>
      <c r="B5993" t="s">
        <v>11219</v>
      </c>
      <c r="C5993" s="1">
        <v>44083</v>
      </c>
      <c r="D5993" t="b">
        <v>1</v>
      </c>
      <c r="E5993" t="s">
        <v>10</v>
      </c>
      <c r="F5993">
        <v>5166</v>
      </c>
    </row>
    <row r="5994" spans="1:6" x14ac:dyDescent="0.25">
      <c r="A5994" t="s">
        <v>11220</v>
      </c>
      <c r="B5994" t="s">
        <v>11221</v>
      </c>
      <c r="C5994" s="1">
        <v>44083</v>
      </c>
      <c r="D5994" t="b">
        <v>1</v>
      </c>
      <c r="E5994" t="s">
        <v>10</v>
      </c>
      <c r="F5994">
        <v>10193</v>
      </c>
    </row>
    <row r="5995" spans="1:6" x14ac:dyDescent="0.25">
      <c r="A5995" t="s">
        <v>11222</v>
      </c>
      <c r="B5995" t="s">
        <v>11223</v>
      </c>
      <c r="C5995" s="1">
        <v>44083</v>
      </c>
      <c r="D5995" t="b">
        <v>1</v>
      </c>
      <c r="E5995" t="s">
        <v>10</v>
      </c>
      <c r="F5995">
        <v>14322</v>
      </c>
    </row>
    <row r="5996" spans="1:6" x14ac:dyDescent="0.25">
      <c r="A5996" t="s">
        <v>11224</v>
      </c>
      <c r="B5996" t="s">
        <v>11225</v>
      </c>
      <c r="C5996" s="1">
        <v>44083</v>
      </c>
      <c r="D5996" t="b">
        <v>1</v>
      </c>
      <c r="E5996" t="s">
        <v>10</v>
      </c>
      <c r="F5996">
        <v>755</v>
      </c>
    </row>
    <row r="5997" spans="1:6" x14ac:dyDescent="0.25">
      <c r="A5997" t="s">
        <v>11226</v>
      </c>
      <c r="B5997" t="s">
        <v>11227</v>
      </c>
      <c r="C5997" s="1">
        <v>44083</v>
      </c>
      <c r="D5997" t="b">
        <v>1</v>
      </c>
      <c r="E5997" t="s">
        <v>10</v>
      </c>
      <c r="F5997">
        <v>14815</v>
      </c>
    </row>
    <row r="5998" spans="1:6" x14ac:dyDescent="0.25">
      <c r="A5998" t="s">
        <v>11228</v>
      </c>
      <c r="B5998" t="s">
        <v>11229</v>
      </c>
      <c r="C5998" s="1">
        <v>44083</v>
      </c>
      <c r="D5998" t="b">
        <v>1</v>
      </c>
      <c r="E5998" t="s">
        <v>10</v>
      </c>
      <c r="F5998">
        <v>14284</v>
      </c>
    </row>
    <row r="5999" spans="1:6" x14ac:dyDescent="0.25">
      <c r="A5999" t="s">
        <v>11230</v>
      </c>
      <c r="B5999" t="s">
        <v>11229</v>
      </c>
      <c r="C5999" s="1">
        <v>44083</v>
      </c>
      <c r="D5999" t="b">
        <v>1</v>
      </c>
      <c r="E5999" t="s">
        <v>10</v>
      </c>
      <c r="F5999">
        <v>14174</v>
      </c>
    </row>
    <row r="6000" spans="1:6" x14ac:dyDescent="0.25">
      <c r="A6000" t="s">
        <v>11231</v>
      </c>
      <c r="C6000" s="1">
        <v>44083</v>
      </c>
      <c r="D6000" t="b">
        <v>1</v>
      </c>
      <c r="E6000" t="s">
        <v>10</v>
      </c>
      <c r="F6000">
        <v>14308</v>
      </c>
    </row>
    <row r="6001" spans="1:6" x14ac:dyDescent="0.25">
      <c r="A6001" t="s">
        <v>11232</v>
      </c>
      <c r="B6001" t="s">
        <v>11233</v>
      </c>
      <c r="C6001" s="1">
        <v>44083</v>
      </c>
      <c r="D6001" t="b">
        <v>1</v>
      </c>
      <c r="E6001" t="s">
        <v>10</v>
      </c>
      <c r="F6001">
        <v>9793</v>
      </c>
    </row>
    <row r="6002" spans="1:6" x14ac:dyDescent="0.25">
      <c r="A6002" t="s">
        <v>11234</v>
      </c>
      <c r="B6002" t="s">
        <v>11235</v>
      </c>
      <c r="C6002" s="1">
        <v>44083</v>
      </c>
      <c r="D6002" t="b">
        <v>1</v>
      </c>
      <c r="E6002" t="s">
        <v>10</v>
      </c>
      <c r="F6002">
        <v>5170</v>
      </c>
    </row>
    <row r="6003" spans="1:6" x14ac:dyDescent="0.25">
      <c r="A6003" t="s">
        <v>11236</v>
      </c>
      <c r="B6003" t="s">
        <v>11237</v>
      </c>
      <c r="C6003" s="1">
        <v>44083</v>
      </c>
      <c r="D6003" t="b">
        <v>1</v>
      </c>
      <c r="E6003" t="s">
        <v>10</v>
      </c>
      <c r="F6003">
        <v>2957</v>
      </c>
    </row>
    <row r="6004" spans="1:6" x14ac:dyDescent="0.25">
      <c r="A6004" t="s">
        <v>11238</v>
      </c>
      <c r="C6004" s="1">
        <v>44083</v>
      </c>
      <c r="D6004" t="b">
        <v>1</v>
      </c>
      <c r="E6004" t="s">
        <v>10</v>
      </c>
      <c r="F6004">
        <v>11414</v>
      </c>
    </row>
    <row r="6005" spans="1:6" x14ac:dyDescent="0.25">
      <c r="A6005" t="s">
        <v>11239</v>
      </c>
      <c r="C6005" s="1">
        <v>44083</v>
      </c>
      <c r="D6005" t="b">
        <v>1</v>
      </c>
      <c r="E6005" t="s">
        <v>10</v>
      </c>
      <c r="F6005">
        <v>16881</v>
      </c>
    </row>
    <row r="6006" spans="1:6" x14ac:dyDescent="0.25">
      <c r="A6006" t="s">
        <v>11240</v>
      </c>
      <c r="B6006" t="s">
        <v>11241</v>
      </c>
      <c r="C6006" s="1">
        <v>44083</v>
      </c>
      <c r="D6006" t="b">
        <v>1</v>
      </c>
      <c r="E6006" t="s">
        <v>10</v>
      </c>
      <c r="F6006">
        <v>5171</v>
      </c>
    </row>
    <row r="6007" spans="1:6" x14ac:dyDescent="0.25">
      <c r="A6007" t="s">
        <v>11242</v>
      </c>
      <c r="B6007" t="s">
        <v>11243</v>
      </c>
      <c r="C6007" s="1">
        <v>44083</v>
      </c>
      <c r="D6007" t="b">
        <v>1</v>
      </c>
      <c r="E6007" t="s">
        <v>10</v>
      </c>
      <c r="F6007">
        <v>13326</v>
      </c>
    </row>
    <row r="6008" spans="1:6" x14ac:dyDescent="0.25">
      <c r="A6008" t="s">
        <v>11244</v>
      </c>
      <c r="B6008" t="s">
        <v>11245</v>
      </c>
      <c r="C6008" s="1">
        <v>44083</v>
      </c>
      <c r="D6008" t="b">
        <v>1</v>
      </c>
      <c r="E6008" t="s">
        <v>10</v>
      </c>
      <c r="F6008">
        <v>5173</v>
      </c>
    </row>
    <row r="6009" spans="1:6" x14ac:dyDescent="0.25">
      <c r="A6009" t="s">
        <v>11246</v>
      </c>
      <c r="B6009" t="s">
        <v>11247</v>
      </c>
      <c r="C6009" s="1">
        <v>44083</v>
      </c>
      <c r="D6009" t="b">
        <v>1</v>
      </c>
      <c r="E6009" t="s">
        <v>10</v>
      </c>
      <c r="F6009">
        <v>11887</v>
      </c>
    </row>
    <row r="6010" spans="1:6" x14ac:dyDescent="0.25">
      <c r="A6010" t="s">
        <v>11248</v>
      </c>
      <c r="B6010" t="s">
        <v>11249</v>
      </c>
      <c r="C6010" s="1">
        <v>44083</v>
      </c>
      <c r="D6010" t="b">
        <v>1</v>
      </c>
      <c r="E6010" t="s">
        <v>10</v>
      </c>
      <c r="F6010">
        <v>17097</v>
      </c>
    </row>
    <row r="6011" spans="1:6" x14ac:dyDescent="0.25">
      <c r="A6011" t="s">
        <v>11250</v>
      </c>
      <c r="B6011" t="s">
        <v>11251</v>
      </c>
      <c r="C6011" s="1">
        <v>44083</v>
      </c>
      <c r="D6011" t="b">
        <v>1</v>
      </c>
      <c r="E6011" t="s">
        <v>10</v>
      </c>
      <c r="F6011">
        <v>14799</v>
      </c>
    </row>
    <row r="6012" spans="1:6" x14ac:dyDescent="0.25">
      <c r="A6012" t="s">
        <v>11252</v>
      </c>
      <c r="B6012" t="s">
        <v>11253</v>
      </c>
      <c r="C6012" s="1">
        <v>44083</v>
      </c>
      <c r="D6012" t="b">
        <v>1</v>
      </c>
      <c r="E6012" t="s">
        <v>10</v>
      </c>
      <c r="F6012">
        <v>15944</v>
      </c>
    </row>
    <row r="6013" spans="1:6" x14ac:dyDescent="0.25">
      <c r="A6013" t="s">
        <v>11254</v>
      </c>
      <c r="B6013" t="s">
        <v>11255</v>
      </c>
      <c r="C6013" s="1">
        <v>44083</v>
      </c>
      <c r="D6013" t="b">
        <v>1</v>
      </c>
      <c r="E6013" t="s">
        <v>10</v>
      </c>
      <c r="F6013">
        <v>14762</v>
      </c>
    </row>
    <row r="6014" spans="1:6" x14ac:dyDescent="0.25">
      <c r="A6014" t="s">
        <v>11256</v>
      </c>
      <c r="B6014" t="s">
        <v>11257</v>
      </c>
      <c r="C6014" s="1">
        <v>44083</v>
      </c>
      <c r="D6014" t="b">
        <v>1</v>
      </c>
      <c r="E6014" t="s">
        <v>10</v>
      </c>
      <c r="F6014">
        <v>13495</v>
      </c>
    </row>
    <row r="6015" spans="1:6" x14ac:dyDescent="0.25">
      <c r="A6015" t="s">
        <v>11258</v>
      </c>
      <c r="B6015" t="s">
        <v>11259</v>
      </c>
      <c r="C6015" s="1">
        <v>44083</v>
      </c>
      <c r="D6015" t="b">
        <v>1</v>
      </c>
      <c r="E6015" t="s">
        <v>10</v>
      </c>
      <c r="F6015">
        <v>5175</v>
      </c>
    </row>
    <row r="6016" spans="1:6" x14ac:dyDescent="0.25">
      <c r="A6016" t="s">
        <v>11260</v>
      </c>
      <c r="B6016" t="s">
        <v>11261</v>
      </c>
      <c r="C6016" s="1">
        <v>44083</v>
      </c>
      <c r="D6016" t="b">
        <v>1</v>
      </c>
      <c r="E6016" t="s">
        <v>10</v>
      </c>
      <c r="F6016">
        <v>5177</v>
      </c>
    </row>
    <row r="6017" spans="1:6" x14ac:dyDescent="0.25">
      <c r="A6017" t="s">
        <v>11262</v>
      </c>
      <c r="B6017" t="s">
        <v>11263</v>
      </c>
      <c r="C6017" s="1">
        <v>44083</v>
      </c>
      <c r="D6017" t="b">
        <v>1</v>
      </c>
      <c r="E6017" t="s">
        <v>10</v>
      </c>
      <c r="F6017">
        <v>11582</v>
      </c>
    </row>
    <row r="6018" spans="1:6" x14ac:dyDescent="0.25">
      <c r="A6018" t="s">
        <v>11264</v>
      </c>
      <c r="B6018" t="s">
        <v>11265</v>
      </c>
      <c r="C6018" s="1">
        <v>44083</v>
      </c>
      <c r="D6018" t="b">
        <v>1</v>
      </c>
      <c r="E6018" t="s">
        <v>10</v>
      </c>
      <c r="F6018">
        <v>5178</v>
      </c>
    </row>
    <row r="6019" spans="1:6" x14ac:dyDescent="0.25">
      <c r="A6019" t="s">
        <v>11266</v>
      </c>
      <c r="B6019" t="s">
        <v>11267</v>
      </c>
      <c r="C6019" s="1">
        <v>44083</v>
      </c>
      <c r="D6019" t="b">
        <v>1</v>
      </c>
      <c r="E6019" t="s">
        <v>10</v>
      </c>
      <c r="F6019">
        <v>5179</v>
      </c>
    </row>
    <row r="6020" spans="1:6" x14ac:dyDescent="0.25">
      <c r="A6020" t="s">
        <v>11268</v>
      </c>
      <c r="B6020" t="s">
        <v>11269</v>
      </c>
      <c r="C6020" s="1">
        <v>44083</v>
      </c>
      <c r="D6020" t="b">
        <v>1</v>
      </c>
      <c r="E6020" t="s">
        <v>10</v>
      </c>
      <c r="F6020">
        <v>5181</v>
      </c>
    </row>
    <row r="6021" spans="1:6" x14ac:dyDescent="0.25">
      <c r="A6021" t="s">
        <v>11270</v>
      </c>
      <c r="B6021" t="s">
        <v>11271</v>
      </c>
      <c r="C6021" s="1">
        <v>44083</v>
      </c>
      <c r="D6021" t="b">
        <v>1</v>
      </c>
      <c r="E6021" t="s">
        <v>10</v>
      </c>
      <c r="F6021">
        <v>5184</v>
      </c>
    </row>
    <row r="6022" spans="1:6" x14ac:dyDescent="0.25">
      <c r="A6022" t="s">
        <v>11272</v>
      </c>
      <c r="B6022" t="s">
        <v>11273</v>
      </c>
      <c r="C6022" s="1">
        <v>44083</v>
      </c>
      <c r="D6022" t="b">
        <v>1</v>
      </c>
      <c r="E6022" t="s">
        <v>10</v>
      </c>
      <c r="F6022">
        <v>15821</v>
      </c>
    </row>
    <row r="6023" spans="1:6" x14ac:dyDescent="0.25">
      <c r="A6023" t="s">
        <v>11274</v>
      </c>
      <c r="B6023" t="s">
        <v>11275</v>
      </c>
      <c r="C6023" s="1">
        <v>44083</v>
      </c>
      <c r="D6023" t="b">
        <v>1</v>
      </c>
      <c r="E6023" t="s">
        <v>10</v>
      </c>
      <c r="F6023">
        <v>5185</v>
      </c>
    </row>
    <row r="6024" spans="1:6" x14ac:dyDescent="0.25">
      <c r="A6024" t="s">
        <v>11276</v>
      </c>
      <c r="B6024" t="s">
        <v>11277</v>
      </c>
      <c r="C6024" s="1">
        <v>44083</v>
      </c>
      <c r="D6024" t="b">
        <v>1</v>
      </c>
      <c r="E6024" t="s">
        <v>10</v>
      </c>
      <c r="F6024">
        <v>12139</v>
      </c>
    </row>
    <row r="6025" spans="1:6" x14ac:dyDescent="0.25">
      <c r="A6025" t="s">
        <v>11278</v>
      </c>
      <c r="B6025" t="s">
        <v>11279</v>
      </c>
      <c r="C6025" s="1">
        <v>44083</v>
      </c>
      <c r="D6025" t="b">
        <v>1</v>
      </c>
      <c r="E6025" t="s">
        <v>10</v>
      </c>
      <c r="F6025">
        <v>14247</v>
      </c>
    </row>
    <row r="6026" spans="1:6" x14ac:dyDescent="0.25">
      <c r="A6026" t="s">
        <v>11280</v>
      </c>
      <c r="B6026" t="s">
        <v>11281</v>
      </c>
      <c r="C6026" s="1">
        <v>44083</v>
      </c>
      <c r="D6026" t="b">
        <v>1</v>
      </c>
      <c r="E6026" t="s">
        <v>10</v>
      </c>
      <c r="F6026">
        <v>5187</v>
      </c>
    </row>
    <row r="6027" spans="1:6" x14ac:dyDescent="0.25">
      <c r="A6027" t="s">
        <v>11282</v>
      </c>
      <c r="B6027" t="s">
        <v>11283</v>
      </c>
      <c r="C6027" s="1">
        <v>44083</v>
      </c>
      <c r="D6027" t="b">
        <v>1</v>
      </c>
      <c r="E6027" t="s">
        <v>10</v>
      </c>
      <c r="F6027">
        <v>16593</v>
      </c>
    </row>
    <row r="6028" spans="1:6" x14ac:dyDescent="0.25">
      <c r="A6028" t="s">
        <v>11284</v>
      </c>
      <c r="B6028" t="s">
        <v>11285</v>
      </c>
      <c r="C6028" s="1">
        <v>44083</v>
      </c>
      <c r="D6028" t="b">
        <v>1</v>
      </c>
      <c r="E6028" t="s">
        <v>10</v>
      </c>
      <c r="F6028">
        <v>5190</v>
      </c>
    </row>
    <row r="6029" spans="1:6" x14ac:dyDescent="0.25">
      <c r="A6029" t="s">
        <v>11286</v>
      </c>
      <c r="B6029" t="s">
        <v>11287</v>
      </c>
      <c r="C6029" s="1">
        <v>44083</v>
      </c>
      <c r="D6029" t="b">
        <v>1</v>
      </c>
      <c r="E6029" t="s">
        <v>10</v>
      </c>
      <c r="F6029">
        <v>5192</v>
      </c>
    </row>
    <row r="6030" spans="1:6" x14ac:dyDescent="0.25">
      <c r="A6030" t="s">
        <v>11288</v>
      </c>
      <c r="B6030" t="s">
        <v>11289</v>
      </c>
      <c r="C6030" s="1">
        <v>44083</v>
      </c>
      <c r="D6030" t="b">
        <v>1</v>
      </c>
      <c r="E6030" t="s">
        <v>10</v>
      </c>
      <c r="F6030">
        <v>5193</v>
      </c>
    </row>
    <row r="6031" spans="1:6" x14ac:dyDescent="0.25">
      <c r="A6031" t="s">
        <v>11290</v>
      </c>
      <c r="B6031" t="s">
        <v>11291</v>
      </c>
      <c r="C6031" s="1">
        <v>44083</v>
      </c>
      <c r="D6031" t="b">
        <v>1</v>
      </c>
      <c r="E6031" t="s">
        <v>10</v>
      </c>
      <c r="F6031">
        <v>5194</v>
      </c>
    </row>
    <row r="6032" spans="1:6" x14ac:dyDescent="0.25">
      <c r="A6032" t="s">
        <v>11292</v>
      </c>
      <c r="B6032" t="s">
        <v>11293</v>
      </c>
      <c r="C6032" s="1">
        <v>44083</v>
      </c>
      <c r="D6032" t="b">
        <v>1</v>
      </c>
      <c r="E6032" t="s">
        <v>10</v>
      </c>
      <c r="F6032">
        <v>16272</v>
      </c>
    </row>
    <row r="6033" spans="1:6" x14ac:dyDescent="0.25">
      <c r="A6033" t="s">
        <v>11294</v>
      </c>
      <c r="B6033" t="s">
        <v>11295</v>
      </c>
      <c r="C6033" s="1">
        <v>44083</v>
      </c>
      <c r="D6033" t="b">
        <v>1</v>
      </c>
      <c r="E6033" t="s">
        <v>10</v>
      </c>
      <c r="F6033">
        <v>16273</v>
      </c>
    </row>
    <row r="6034" spans="1:6" x14ac:dyDescent="0.25">
      <c r="A6034" t="s">
        <v>11296</v>
      </c>
      <c r="B6034" t="s">
        <v>11293</v>
      </c>
      <c r="C6034" s="1">
        <v>44083</v>
      </c>
      <c r="D6034" t="b">
        <v>1</v>
      </c>
      <c r="E6034" t="s">
        <v>10</v>
      </c>
      <c r="F6034">
        <v>15879</v>
      </c>
    </row>
    <row r="6035" spans="1:6" x14ac:dyDescent="0.25">
      <c r="A6035" t="s">
        <v>11297</v>
      </c>
      <c r="C6035" s="1">
        <v>44083</v>
      </c>
      <c r="D6035" t="b">
        <v>1</v>
      </c>
      <c r="E6035" t="s">
        <v>10</v>
      </c>
      <c r="F6035">
        <v>16282</v>
      </c>
    </row>
    <row r="6036" spans="1:6" x14ac:dyDescent="0.25">
      <c r="A6036" t="s">
        <v>11298</v>
      </c>
      <c r="B6036" t="s">
        <v>11299</v>
      </c>
      <c r="C6036" s="1">
        <v>44083</v>
      </c>
      <c r="D6036" t="b">
        <v>1</v>
      </c>
      <c r="E6036" t="s">
        <v>10</v>
      </c>
      <c r="F6036">
        <v>15117</v>
      </c>
    </row>
    <row r="6037" spans="1:6" x14ac:dyDescent="0.25">
      <c r="A6037" t="s">
        <v>11300</v>
      </c>
      <c r="B6037" t="s">
        <v>11301</v>
      </c>
      <c r="C6037" s="1">
        <v>44083</v>
      </c>
      <c r="D6037" t="b">
        <v>1</v>
      </c>
      <c r="E6037" t="s">
        <v>10</v>
      </c>
      <c r="F6037">
        <v>11087</v>
      </c>
    </row>
    <row r="6038" spans="1:6" x14ac:dyDescent="0.25">
      <c r="A6038" t="s">
        <v>11302</v>
      </c>
      <c r="B6038" t="s">
        <v>11303</v>
      </c>
      <c r="C6038" s="1">
        <v>44083</v>
      </c>
      <c r="D6038" t="b">
        <v>1</v>
      </c>
      <c r="E6038" t="s">
        <v>10</v>
      </c>
      <c r="F6038">
        <v>5195</v>
      </c>
    </row>
    <row r="6039" spans="1:6" x14ac:dyDescent="0.25">
      <c r="A6039" t="s">
        <v>11304</v>
      </c>
      <c r="B6039" t="s">
        <v>11305</v>
      </c>
      <c r="C6039" s="1">
        <v>44083</v>
      </c>
      <c r="D6039" t="b">
        <v>1</v>
      </c>
      <c r="E6039" t="s">
        <v>10</v>
      </c>
      <c r="F6039">
        <v>14841</v>
      </c>
    </row>
    <row r="6040" spans="1:6" x14ac:dyDescent="0.25">
      <c r="A6040" t="s">
        <v>11306</v>
      </c>
      <c r="B6040" t="s">
        <v>11307</v>
      </c>
      <c r="C6040" s="1">
        <v>44083</v>
      </c>
      <c r="D6040" t="b">
        <v>1</v>
      </c>
      <c r="E6040" t="s">
        <v>10</v>
      </c>
      <c r="F6040">
        <v>10903</v>
      </c>
    </row>
    <row r="6041" spans="1:6" x14ac:dyDescent="0.25">
      <c r="A6041" t="s">
        <v>11308</v>
      </c>
      <c r="B6041" t="s">
        <v>11309</v>
      </c>
      <c r="C6041" s="1">
        <v>44083</v>
      </c>
      <c r="D6041" t="b">
        <v>1</v>
      </c>
      <c r="E6041" t="s">
        <v>10</v>
      </c>
      <c r="F6041">
        <v>16960</v>
      </c>
    </row>
    <row r="6042" spans="1:6" x14ac:dyDescent="0.25">
      <c r="A6042" t="s">
        <v>11310</v>
      </c>
      <c r="B6042" t="s">
        <v>11311</v>
      </c>
      <c r="C6042" s="1">
        <v>44083</v>
      </c>
      <c r="D6042" t="b">
        <v>1</v>
      </c>
      <c r="E6042" t="s">
        <v>10</v>
      </c>
      <c r="F6042">
        <v>5199</v>
      </c>
    </row>
    <row r="6043" spans="1:6" x14ac:dyDescent="0.25">
      <c r="A6043" t="s">
        <v>11312</v>
      </c>
      <c r="B6043" t="s">
        <v>11313</v>
      </c>
      <c r="C6043" s="1">
        <v>44083</v>
      </c>
      <c r="D6043" t="b">
        <v>1</v>
      </c>
      <c r="E6043" t="s">
        <v>10</v>
      </c>
      <c r="F6043">
        <v>5200</v>
      </c>
    </row>
    <row r="6044" spans="1:6" x14ac:dyDescent="0.25">
      <c r="A6044" t="s">
        <v>11314</v>
      </c>
      <c r="B6044" t="s">
        <v>11315</v>
      </c>
      <c r="C6044" s="1">
        <v>44083</v>
      </c>
      <c r="D6044" t="b">
        <v>1</v>
      </c>
      <c r="E6044" t="s">
        <v>10</v>
      </c>
      <c r="F6044">
        <v>15028</v>
      </c>
    </row>
    <row r="6045" spans="1:6" x14ac:dyDescent="0.25">
      <c r="A6045" t="s">
        <v>11316</v>
      </c>
      <c r="B6045" t="s">
        <v>11317</v>
      </c>
      <c r="C6045" s="1">
        <v>44083</v>
      </c>
      <c r="D6045" t="b">
        <v>1</v>
      </c>
      <c r="E6045" t="s">
        <v>10</v>
      </c>
      <c r="F6045">
        <v>5202</v>
      </c>
    </row>
    <row r="6046" spans="1:6" x14ac:dyDescent="0.25">
      <c r="A6046" t="s">
        <v>11318</v>
      </c>
      <c r="B6046" t="s">
        <v>11319</v>
      </c>
      <c r="C6046" s="1">
        <v>44083</v>
      </c>
      <c r="D6046" t="b">
        <v>1</v>
      </c>
      <c r="E6046" t="s">
        <v>10</v>
      </c>
      <c r="F6046">
        <v>7229</v>
      </c>
    </row>
    <row r="6047" spans="1:6" x14ac:dyDescent="0.25">
      <c r="A6047" t="s">
        <v>11320</v>
      </c>
      <c r="B6047" t="s">
        <v>11321</v>
      </c>
      <c r="C6047" s="1">
        <v>44083</v>
      </c>
      <c r="D6047" t="b">
        <v>1</v>
      </c>
      <c r="E6047" t="s">
        <v>10</v>
      </c>
      <c r="F6047">
        <v>13930</v>
      </c>
    </row>
    <row r="6048" spans="1:6" x14ac:dyDescent="0.25">
      <c r="A6048" t="s">
        <v>11322</v>
      </c>
      <c r="B6048" t="s">
        <v>11323</v>
      </c>
      <c r="C6048" s="1">
        <v>44083</v>
      </c>
      <c r="D6048" t="b">
        <v>1</v>
      </c>
      <c r="E6048" t="s">
        <v>10</v>
      </c>
      <c r="F6048">
        <v>5203</v>
      </c>
    </row>
    <row r="6049" spans="1:6" x14ac:dyDescent="0.25">
      <c r="A6049" t="s">
        <v>11324</v>
      </c>
      <c r="B6049" t="s">
        <v>11325</v>
      </c>
      <c r="C6049" s="1">
        <v>44083</v>
      </c>
      <c r="D6049" t="b">
        <v>1</v>
      </c>
      <c r="E6049" t="s">
        <v>10</v>
      </c>
      <c r="F6049">
        <v>5204</v>
      </c>
    </row>
    <row r="6050" spans="1:6" x14ac:dyDescent="0.25">
      <c r="A6050" t="s">
        <v>11326</v>
      </c>
      <c r="B6050" t="s">
        <v>11327</v>
      </c>
      <c r="C6050" s="1">
        <v>44083</v>
      </c>
      <c r="D6050" t="b">
        <v>1</v>
      </c>
      <c r="E6050" t="s">
        <v>10</v>
      </c>
      <c r="F6050">
        <v>15291</v>
      </c>
    </row>
    <row r="6051" spans="1:6" x14ac:dyDescent="0.25">
      <c r="A6051" t="s">
        <v>11328</v>
      </c>
      <c r="B6051" t="s">
        <v>11329</v>
      </c>
      <c r="C6051" s="1">
        <v>44083</v>
      </c>
      <c r="D6051" t="b">
        <v>1</v>
      </c>
      <c r="E6051" t="s">
        <v>10</v>
      </c>
      <c r="F6051">
        <v>5205</v>
      </c>
    </row>
    <row r="6052" spans="1:6" x14ac:dyDescent="0.25">
      <c r="A6052" t="s">
        <v>11330</v>
      </c>
      <c r="B6052" t="s">
        <v>11331</v>
      </c>
      <c r="C6052" s="1">
        <v>44083</v>
      </c>
      <c r="D6052" t="b">
        <v>1</v>
      </c>
      <c r="E6052" t="s">
        <v>10</v>
      </c>
      <c r="F6052">
        <v>5206</v>
      </c>
    </row>
    <row r="6053" spans="1:6" x14ac:dyDescent="0.25">
      <c r="A6053" t="s">
        <v>11332</v>
      </c>
      <c r="B6053" t="s">
        <v>11333</v>
      </c>
      <c r="C6053" s="1">
        <v>44083</v>
      </c>
      <c r="D6053" t="b">
        <v>1</v>
      </c>
      <c r="E6053" t="s">
        <v>10</v>
      </c>
      <c r="F6053">
        <v>9141</v>
      </c>
    </row>
    <row r="6054" spans="1:6" x14ac:dyDescent="0.25">
      <c r="A6054" t="s">
        <v>11334</v>
      </c>
      <c r="B6054" t="s">
        <v>11335</v>
      </c>
      <c r="C6054" s="1">
        <v>44083</v>
      </c>
      <c r="D6054" t="b">
        <v>1</v>
      </c>
      <c r="E6054" t="s">
        <v>10</v>
      </c>
      <c r="F6054">
        <v>16628</v>
      </c>
    </row>
    <row r="6055" spans="1:6" x14ac:dyDescent="0.25">
      <c r="A6055" t="s">
        <v>11336</v>
      </c>
      <c r="B6055" t="s">
        <v>11337</v>
      </c>
      <c r="C6055" s="1">
        <v>44083</v>
      </c>
      <c r="D6055" t="b">
        <v>1</v>
      </c>
      <c r="E6055" t="s">
        <v>10</v>
      </c>
      <c r="F6055">
        <v>11304</v>
      </c>
    </row>
    <row r="6056" spans="1:6" x14ac:dyDescent="0.25">
      <c r="A6056" t="s">
        <v>11338</v>
      </c>
      <c r="C6056" s="1">
        <v>44083</v>
      </c>
      <c r="D6056" t="b">
        <v>1</v>
      </c>
      <c r="E6056" t="s">
        <v>10</v>
      </c>
      <c r="F6056">
        <v>11476</v>
      </c>
    </row>
    <row r="6057" spans="1:6" x14ac:dyDescent="0.25">
      <c r="A6057" t="s">
        <v>11339</v>
      </c>
      <c r="B6057" t="s">
        <v>11340</v>
      </c>
      <c r="C6057" s="1">
        <v>44083</v>
      </c>
      <c r="D6057" t="b">
        <v>1</v>
      </c>
      <c r="E6057" t="s">
        <v>10</v>
      </c>
      <c r="F6057">
        <v>12818</v>
      </c>
    </row>
    <row r="6058" spans="1:6" x14ac:dyDescent="0.25">
      <c r="A6058" t="s">
        <v>11341</v>
      </c>
      <c r="C6058" s="1">
        <v>44083</v>
      </c>
      <c r="D6058" t="b">
        <v>1</v>
      </c>
      <c r="E6058" t="s">
        <v>10</v>
      </c>
      <c r="F6058">
        <v>17159</v>
      </c>
    </row>
    <row r="6059" spans="1:6" x14ac:dyDescent="0.25">
      <c r="A6059" t="s">
        <v>11342</v>
      </c>
      <c r="B6059" t="s">
        <v>11343</v>
      </c>
      <c r="C6059" s="1">
        <v>44083</v>
      </c>
      <c r="D6059" t="b">
        <v>1</v>
      </c>
      <c r="E6059" t="s">
        <v>10</v>
      </c>
      <c r="F6059">
        <v>5208</v>
      </c>
    </row>
    <row r="6060" spans="1:6" x14ac:dyDescent="0.25">
      <c r="A6060" t="s">
        <v>11344</v>
      </c>
      <c r="B6060" t="s">
        <v>11345</v>
      </c>
      <c r="C6060" s="1">
        <v>44083</v>
      </c>
      <c r="D6060" t="b">
        <v>1</v>
      </c>
      <c r="E6060" t="s">
        <v>10</v>
      </c>
      <c r="F6060">
        <v>7858</v>
      </c>
    </row>
    <row r="6061" spans="1:6" x14ac:dyDescent="0.25">
      <c r="A6061" t="s">
        <v>11346</v>
      </c>
      <c r="B6061" t="s">
        <v>11347</v>
      </c>
      <c r="C6061" s="1">
        <v>44083</v>
      </c>
      <c r="D6061" t="b">
        <v>1</v>
      </c>
      <c r="E6061" t="s">
        <v>10</v>
      </c>
      <c r="F6061">
        <v>14792</v>
      </c>
    </row>
    <row r="6062" spans="1:6" x14ac:dyDescent="0.25">
      <c r="A6062" t="s">
        <v>11348</v>
      </c>
      <c r="B6062" t="s">
        <v>11349</v>
      </c>
      <c r="C6062" s="1">
        <v>44083</v>
      </c>
      <c r="D6062" t="b">
        <v>1</v>
      </c>
      <c r="E6062" t="s">
        <v>10</v>
      </c>
      <c r="F6062">
        <v>12240</v>
      </c>
    </row>
    <row r="6063" spans="1:6" x14ac:dyDescent="0.25">
      <c r="A6063" t="s">
        <v>11350</v>
      </c>
      <c r="B6063" t="s">
        <v>11351</v>
      </c>
      <c r="C6063" s="1">
        <v>44083</v>
      </c>
      <c r="D6063" t="b">
        <v>1</v>
      </c>
      <c r="E6063" t="s">
        <v>10</v>
      </c>
      <c r="F6063">
        <v>8291</v>
      </c>
    </row>
    <row r="6064" spans="1:6" x14ac:dyDescent="0.25">
      <c r="A6064" t="s">
        <v>11352</v>
      </c>
      <c r="B6064" t="s">
        <v>11353</v>
      </c>
      <c r="C6064" s="1">
        <v>44083</v>
      </c>
      <c r="D6064" t="b">
        <v>1</v>
      </c>
      <c r="E6064" t="s">
        <v>10</v>
      </c>
      <c r="F6064">
        <v>16139</v>
      </c>
    </row>
    <row r="6065" spans="1:6" x14ac:dyDescent="0.25">
      <c r="A6065" t="s">
        <v>11354</v>
      </c>
      <c r="B6065" t="s">
        <v>11355</v>
      </c>
      <c r="C6065" s="1">
        <v>44083</v>
      </c>
      <c r="D6065" t="b">
        <v>1</v>
      </c>
      <c r="E6065" t="s">
        <v>10</v>
      </c>
      <c r="F6065">
        <v>5211</v>
      </c>
    </row>
    <row r="6066" spans="1:6" x14ac:dyDescent="0.25">
      <c r="A6066" t="s">
        <v>11356</v>
      </c>
      <c r="B6066" t="s">
        <v>11357</v>
      </c>
      <c r="C6066" s="1">
        <v>44083</v>
      </c>
      <c r="D6066" t="b">
        <v>1</v>
      </c>
      <c r="E6066" t="s">
        <v>10</v>
      </c>
      <c r="F6066">
        <v>16140</v>
      </c>
    </row>
    <row r="6067" spans="1:6" x14ac:dyDescent="0.25">
      <c r="A6067" t="s">
        <v>11358</v>
      </c>
      <c r="B6067" t="s">
        <v>11359</v>
      </c>
      <c r="C6067" s="1">
        <v>44083</v>
      </c>
      <c r="D6067" t="b">
        <v>1</v>
      </c>
      <c r="E6067" t="s">
        <v>10</v>
      </c>
      <c r="F6067">
        <v>12869</v>
      </c>
    </row>
    <row r="6068" spans="1:6" x14ac:dyDescent="0.25">
      <c r="A6068" t="s">
        <v>11360</v>
      </c>
      <c r="B6068" t="s">
        <v>11361</v>
      </c>
      <c r="C6068" s="1">
        <v>44083</v>
      </c>
      <c r="D6068" t="b">
        <v>1</v>
      </c>
      <c r="E6068" t="s">
        <v>10</v>
      </c>
      <c r="F6068">
        <v>16141</v>
      </c>
    </row>
    <row r="6069" spans="1:6" x14ac:dyDescent="0.25">
      <c r="A6069" t="s">
        <v>11362</v>
      </c>
      <c r="B6069" t="s">
        <v>11363</v>
      </c>
      <c r="C6069" s="1">
        <v>44083</v>
      </c>
      <c r="D6069" t="b">
        <v>1</v>
      </c>
      <c r="E6069" t="s">
        <v>10</v>
      </c>
      <c r="F6069">
        <v>5212</v>
      </c>
    </row>
    <row r="6070" spans="1:6" x14ac:dyDescent="0.25">
      <c r="A6070" t="s">
        <v>11364</v>
      </c>
      <c r="B6070" t="s">
        <v>11365</v>
      </c>
      <c r="C6070" s="1">
        <v>44083</v>
      </c>
      <c r="D6070" t="b">
        <v>1</v>
      </c>
      <c r="E6070" t="s">
        <v>10</v>
      </c>
      <c r="F6070">
        <v>16142</v>
      </c>
    </row>
    <row r="6071" spans="1:6" x14ac:dyDescent="0.25">
      <c r="A6071" t="s">
        <v>11366</v>
      </c>
      <c r="B6071" t="s">
        <v>11367</v>
      </c>
      <c r="C6071" s="1">
        <v>44083</v>
      </c>
      <c r="D6071" t="b">
        <v>1</v>
      </c>
      <c r="E6071" t="s">
        <v>10</v>
      </c>
      <c r="F6071">
        <v>16143</v>
      </c>
    </row>
    <row r="6072" spans="1:6" x14ac:dyDescent="0.25">
      <c r="A6072" t="s">
        <v>11368</v>
      </c>
      <c r="B6072" t="s">
        <v>11369</v>
      </c>
      <c r="C6072" s="1">
        <v>44083</v>
      </c>
      <c r="D6072" t="b">
        <v>1</v>
      </c>
      <c r="E6072" t="s">
        <v>10</v>
      </c>
      <c r="F6072">
        <v>16374</v>
      </c>
    </row>
    <row r="6073" spans="1:6" x14ac:dyDescent="0.25">
      <c r="A6073" t="s">
        <v>11370</v>
      </c>
      <c r="B6073" t="s">
        <v>11371</v>
      </c>
      <c r="C6073" s="1">
        <v>44083</v>
      </c>
      <c r="D6073" t="b">
        <v>1</v>
      </c>
      <c r="E6073" t="s">
        <v>10</v>
      </c>
      <c r="F6073">
        <v>8612</v>
      </c>
    </row>
    <row r="6074" spans="1:6" x14ac:dyDescent="0.25">
      <c r="A6074" t="s">
        <v>11372</v>
      </c>
      <c r="C6074" s="1">
        <v>44083</v>
      </c>
      <c r="D6074" t="b">
        <v>1</v>
      </c>
      <c r="E6074" t="s">
        <v>10</v>
      </c>
      <c r="F6074">
        <v>8617</v>
      </c>
    </row>
    <row r="6075" spans="1:6" x14ac:dyDescent="0.25">
      <c r="A6075" t="s">
        <v>11373</v>
      </c>
      <c r="B6075" t="s">
        <v>11374</v>
      </c>
      <c r="C6075" s="1">
        <v>44083</v>
      </c>
      <c r="D6075" t="b">
        <v>1</v>
      </c>
      <c r="E6075" t="s">
        <v>10</v>
      </c>
      <c r="F6075">
        <v>8130</v>
      </c>
    </row>
    <row r="6076" spans="1:6" x14ac:dyDescent="0.25">
      <c r="A6076" t="s">
        <v>11375</v>
      </c>
      <c r="B6076" t="s">
        <v>11376</v>
      </c>
      <c r="C6076" s="1">
        <v>44083</v>
      </c>
      <c r="D6076" t="b">
        <v>1</v>
      </c>
      <c r="E6076" t="s">
        <v>10</v>
      </c>
      <c r="F6076">
        <v>5219</v>
      </c>
    </row>
    <row r="6077" spans="1:6" x14ac:dyDescent="0.25">
      <c r="A6077" t="s">
        <v>11377</v>
      </c>
      <c r="C6077" s="1">
        <v>44083</v>
      </c>
      <c r="D6077" t="b">
        <v>1</v>
      </c>
      <c r="E6077" t="s">
        <v>10</v>
      </c>
      <c r="F6077">
        <v>13045</v>
      </c>
    </row>
    <row r="6078" spans="1:6" x14ac:dyDescent="0.25">
      <c r="A6078" t="s">
        <v>11378</v>
      </c>
      <c r="C6078" s="1">
        <v>44083</v>
      </c>
      <c r="D6078" t="b">
        <v>1</v>
      </c>
      <c r="E6078" t="s">
        <v>10</v>
      </c>
      <c r="F6078">
        <v>5220</v>
      </c>
    </row>
    <row r="6079" spans="1:6" x14ac:dyDescent="0.25">
      <c r="A6079" t="s">
        <v>11379</v>
      </c>
      <c r="C6079" s="1">
        <v>44083</v>
      </c>
      <c r="D6079" t="b">
        <v>1</v>
      </c>
      <c r="E6079" t="s">
        <v>10</v>
      </c>
      <c r="F6079">
        <v>16544</v>
      </c>
    </row>
    <row r="6080" spans="1:6" x14ac:dyDescent="0.25">
      <c r="A6080" t="s">
        <v>11380</v>
      </c>
      <c r="B6080" t="s">
        <v>11381</v>
      </c>
      <c r="C6080" s="1">
        <v>44083</v>
      </c>
      <c r="D6080" t="b">
        <v>1</v>
      </c>
      <c r="E6080" t="s">
        <v>10</v>
      </c>
      <c r="F6080">
        <v>5222</v>
      </c>
    </row>
    <row r="6081" spans="1:6" x14ac:dyDescent="0.25">
      <c r="A6081" t="s">
        <v>11382</v>
      </c>
      <c r="B6081" t="s">
        <v>11383</v>
      </c>
      <c r="C6081" s="1">
        <v>44083</v>
      </c>
      <c r="D6081" t="b">
        <v>1</v>
      </c>
      <c r="E6081" t="s">
        <v>10</v>
      </c>
      <c r="F6081">
        <v>6797</v>
      </c>
    </row>
    <row r="6082" spans="1:6" x14ac:dyDescent="0.25">
      <c r="A6082" t="s">
        <v>11384</v>
      </c>
      <c r="C6082" s="1">
        <v>44083</v>
      </c>
      <c r="D6082" t="b">
        <v>1</v>
      </c>
      <c r="E6082" t="s">
        <v>10</v>
      </c>
      <c r="F6082">
        <v>12794</v>
      </c>
    </row>
    <row r="6083" spans="1:6" x14ac:dyDescent="0.25">
      <c r="A6083" t="s">
        <v>11385</v>
      </c>
      <c r="C6083" s="1">
        <v>44083</v>
      </c>
      <c r="D6083" t="b">
        <v>1</v>
      </c>
      <c r="E6083" t="s">
        <v>10</v>
      </c>
      <c r="F6083">
        <v>15575</v>
      </c>
    </row>
    <row r="6084" spans="1:6" x14ac:dyDescent="0.25">
      <c r="A6084" t="s">
        <v>11386</v>
      </c>
      <c r="B6084" t="s">
        <v>11387</v>
      </c>
      <c r="C6084" s="1">
        <v>44083</v>
      </c>
      <c r="D6084" t="b">
        <v>1</v>
      </c>
      <c r="E6084" t="s">
        <v>10</v>
      </c>
      <c r="F6084">
        <v>5223</v>
      </c>
    </row>
    <row r="6085" spans="1:6" x14ac:dyDescent="0.25">
      <c r="A6085" t="s">
        <v>11388</v>
      </c>
      <c r="C6085" s="1">
        <v>44083</v>
      </c>
      <c r="D6085" t="b">
        <v>1</v>
      </c>
      <c r="E6085" t="s">
        <v>10</v>
      </c>
      <c r="F6085">
        <v>17032</v>
      </c>
    </row>
    <row r="6086" spans="1:6" x14ac:dyDescent="0.25">
      <c r="A6086" t="s">
        <v>11389</v>
      </c>
      <c r="B6086" t="s">
        <v>11390</v>
      </c>
      <c r="C6086" s="1">
        <v>44083</v>
      </c>
      <c r="D6086" t="b">
        <v>1</v>
      </c>
      <c r="E6086" t="s">
        <v>10</v>
      </c>
      <c r="F6086">
        <v>16163</v>
      </c>
    </row>
    <row r="6087" spans="1:6" x14ac:dyDescent="0.25">
      <c r="A6087" t="s">
        <v>11391</v>
      </c>
      <c r="B6087" t="s">
        <v>11392</v>
      </c>
      <c r="C6087" s="1">
        <v>44083</v>
      </c>
      <c r="D6087" t="b">
        <v>1</v>
      </c>
      <c r="E6087" t="s">
        <v>10</v>
      </c>
      <c r="F6087">
        <v>13078</v>
      </c>
    </row>
    <row r="6088" spans="1:6" x14ac:dyDescent="0.25">
      <c r="A6088" t="s">
        <v>11393</v>
      </c>
      <c r="B6088" t="s">
        <v>11394</v>
      </c>
      <c r="C6088" s="1">
        <v>44083</v>
      </c>
      <c r="D6088" t="b">
        <v>1</v>
      </c>
      <c r="E6088" t="s">
        <v>10</v>
      </c>
      <c r="F6088">
        <v>5227</v>
      </c>
    </row>
    <row r="6089" spans="1:6" x14ac:dyDescent="0.25">
      <c r="A6089" t="s">
        <v>11395</v>
      </c>
      <c r="B6089" t="s">
        <v>11396</v>
      </c>
      <c r="C6089" s="1">
        <v>44083</v>
      </c>
      <c r="D6089" t="b">
        <v>1</v>
      </c>
      <c r="E6089" t="s">
        <v>10</v>
      </c>
      <c r="F6089">
        <v>5228</v>
      </c>
    </row>
    <row r="6090" spans="1:6" x14ac:dyDescent="0.25">
      <c r="A6090" t="s">
        <v>11397</v>
      </c>
      <c r="B6090" t="s">
        <v>11398</v>
      </c>
      <c r="C6090" s="1">
        <v>44083</v>
      </c>
      <c r="D6090" t="b">
        <v>1</v>
      </c>
      <c r="E6090" t="s">
        <v>10</v>
      </c>
      <c r="F6090">
        <v>5229</v>
      </c>
    </row>
    <row r="6091" spans="1:6" x14ac:dyDescent="0.25">
      <c r="A6091" t="s">
        <v>11399</v>
      </c>
      <c r="B6091" t="s">
        <v>11400</v>
      </c>
      <c r="C6091" s="1">
        <v>44083</v>
      </c>
      <c r="D6091" t="b">
        <v>1</v>
      </c>
      <c r="E6091" t="s">
        <v>10</v>
      </c>
      <c r="F6091">
        <v>5230</v>
      </c>
    </row>
    <row r="6092" spans="1:6" x14ac:dyDescent="0.25">
      <c r="A6092" t="s">
        <v>11401</v>
      </c>
      <c r="B6092" t="s">
        <v>11402</v>
      </c>
      <c r="C6092" s="1">
        <v>44083</v>
      </c>
      <c r="D6092" t="b">
        <v>1</v>
      </c>
      <c r="E6092" t="s">
        <v>10</v>
      </c>
      <c r="F6092">
        <v>5231</v>
      </c>
    </row>
    <row r="6093" spans="1:6" x14ac:dyDescent="0.25">
      <c r="A6093" t="s">
        <v>11403</v>
      </c>
      <c r="B6093" t="s">
        <v>11404</v>
      </c>
      <c r="C6093" s="1">
        <v>44083</v>
      </c>
      <c r="D6093" t="b">
        <v>1</v>
      </c>
      <c r="E6093" t="s">
        <v>10</v>
      </c>
      <c r="F6093">
        <v>14190</v>
      </c>
    </row>
    <row r="6094" spans="1:6" x14ac:dyDescent="0.25">
      <c r="A6094" t="s">
        <v>11405</v>
      </c>
      <c r="B6094" t="s">
        <v>11406</v>
      </c>
      <c r="C6094" s="1">
        <v>44083</v>
      </c>
      <c r="D6094" t="b">
        <v>1</v>
      </c>
      <c r="E6094" t="s">
        <v>10</v>
      </c>
      <c r="F6094">
        <v>5236</v>
      </c>
    </row>
    <row r="6095" spans="1:6" x14ac:dyDescent="0.25">
      <c r="A6095" t="s">
        <v>11407</v>
      </c>
      <c r="B6095" t="s">
        <v>11408</v>
      </c>
      <c r="C6095" s="1">
        <v>44083</v>
      </c>
      <c r="D6095" t="b">
        <v>1</v>
      </c>
      <c r="E6095" t="s">
        <v>10</v>
      </c>
      <c r="F6095">
        <v>15183</v>
      </c>
    </row>
    <row r="6096" spans="1:6" x14ac:dyDescent="0.25">
      <c r="A6096" t="s">
        <v>11409</v>
      </c>
      <c r="C6096" s="1">
        <v>44083</v>
      </c>
      <c r="D6096" t="b">
        <v>1</v>
      </c>
      <c r="E6096" t="s">
        <v>10</v>
      </c>
      <c r="F6096">
        <v>15184</v>
      </c>
    </row>
    <row r="6097" spans="1:6" x14ac:dyDescent="0.25">
      <c r="A6097" t="s">
        <v>11410</v>
      </c>
      <c r="B6097" t="s">
        <v>11411</v>
      </c>
      <c r="C6097" s="1">
        <v>44083</v>
      </c>
      <c r="D6097" t="b">
        <v>1</v>
      </c>
      <c r="E6097" t="s">
        <v>10</v>
      </c>
      <c r="F6097">
        <v>5238</v>
      </c>
    </row>
    <row r="6098" spans="1:6" x14ac:dyDescent="0.25">
      <c r="A6098" t="s">
        <v>11412</v>
      </c>
      <c r="B6098" t="s">
        <v>11413</v>
      </c>
      <c r="C6098" s="1">
        <v>44083</v>
      </c>
      <c r="D6098" t="b">
        <v>1</v>
      </c>
      <c r="E6098" t="s">
        <v>10</v>
      </c>
      <c r="F6098">
        <v>7859</v>
      </c>
    </row>
    <row r="6099" spans="1:6" x14ac:dyDescent="0.25">
      <c r="A6099" t="s">
        <v>11414</v>
      </c>
      <c r="B6099" t="s">
        <v>11415</v>
      </c>
      <c r="C6099" s="1">
        <v>44083</v>
      </c>
      <c r="D6099" t="b">
        <v>1</v>
      </c>
      <c r="E6099" t="s">
        <v>10</v>
      </c>
      <c r="F6099">
        <v>13963</v>
      </c>
    </row>
    <row r="6100" spans="1:6" x14ac:dyDescent="0.25">
      <c r="A6100" t="s">
        <v>11416</v>
      </c>
      <c r="B6100" t="s">
        <v>11417</v>
      </c>
      <c r="C6100" s="1">
        <v>44083</v>
      </c>
      <c r="D6100" t="b">
        <v>1</v>
      </c>
      <c r="E6100" t="s">
        <v>10</v>
      </c>
      <c r="F6100">
        <v>8541</v>
      </c>
    </row>
    <row r="6101" spans="1:6" x14ac:dyDescent="0.25">
      <c r="A6101" t="s">
        <v>11418</v>
      </c>
      <c r="B6101" t="s">
        <v>11419</v>
      </c>
      <c r="C6101" s="1">
        <v>44083</v>
      </c>
      <c r="D6101" t="b">
        <v>1</v>
      </c>
      <c r="E6101" t="s">
        <v>10</v>
      </c>
      <c r="F6101">
        <v>5240</v>
      </c>
    </row>
    <row r="6102" spans="1:6" x14ac:dyDescent="0.25">
      <c r="A6102" t="s">
        <v>11420</v>
      </c>
      <c r="B6102" t="s">
        <v>11421</v>
      </c>
      <c r="C6102" s="1">
        <v>44083</v>
      </c>
      <c r="D6102" t="b">
        <v>1</v>
      </c>
      <c r="E6102" t="s">
        <v>10</v>
      </c>
      <c r="F6102">
        <v>9937</v>
      </c>
    </row>
    <row r="6103" spans="1:6" x14ac:dyDescent="0.25">
      <c r="A6103" t="s">
        <v>11422</v>
      </c>
      <c r="B6103" t="s">
        <v>11423</v>
      </c>
      <c r="C6103" s="1">
        <v>44083</v>
      </c>
      <c r="D6103" t="b">
        <v>1</v>
      </c>
      <c r="E6103" t="s">
        <v>10</v>
      </c>
      <c r="F6103">
        <v>16882</v>
      </c>
    </row>
    <row r="6104" spans="1:6" x14ac:dyDescent="0.25">
      <c r="A6104" t="s">
        <v>11424</v>
      </c>
      <c r="B6104" t="s">
        <v>6494</v>
      </c>
      <c r="C6104" s="1">
        <v>44083</v>
      </c>
      <c r="D6104" t="b">
        <v>1</v>
      </c>
      <c r="E6104" t="s">
        <v>10</v>
      </c>
      <c r="F6104">
        <v>5242</v>
      </c>
    </row>
    <row r="6105" spans="1:6" x14ac:dyDescent="0.25">
      <c r="A6105" t="s">
        <v>11425</v>
      </c>
      <c r="B6105" t="s">
        <v>11426</v>
      </c>
      <c r="C6105" s="1">
        <v>44083</v>
      </c>
      <c r="D6105" t="b">
        <v>1</v>
      </c>
      <c r="E6105" t="s">
        <v>10</v>
      </c>
      <c r="F6105">
        <v>5243</v>
      </c>
    </row>
    <row r="6106" spans="1:6" x14ac:dyDescent="0.25">
      <c r="A6106" t="s">
        <v>11427</v>
      </c>
      <c r="B6106" t="s">
        <v>11428</v>
      </c>
      <c r="C6106" s="1">
        <v>44083</v>
      </c>
      <c r="D6106" t="b">
        <v>1</v>
      </c>
      <c r="E6106" t="s">
        <v>10</v>
      </c>
      <c r="F6106">
        <v>16883</v>
      </c>
    </row>
    <row r="6107" spans="1:6" x14ac:dyDescent="0.25">
      <c r="A6107" t="s">
        <v>11429</v>
      </c>
      <c r="B6107" t="s">
        <v>11430</v>
      </c>
      <c r="C6107" s="1">
        <v>44083</v>
      </c>
      <c r="D6107" t="b">
        <v>1</v>
      </c>
      <c r="E6107" t="s">
        <v>10</v>
      </c>
      <c r="F6107">
        <v>17103</v>
      </c>
    </row>
    <row r="6108" spans="1:6" x14ac:dyDescent="0.25">
      <c r="A6108" t="s">
        <v>11431</v>
      </c>
      <c r="C6108" s="1">
        <v>44083</v>
      </c>
      <c r="D6108" t="b">
        <v>1</v>
      </c>
      <c r="E6108" t="s">
        <v>10</v>
      </c>
      <c r="F6108">
        <v>17120</v>
      </c>
    </row>
    <row r="6109" spans="1:6" x14ac:dyDescent="0.25">
      <c r="A6109" t="s">
        <v>11432</v>
      </c>
      <c r="B6109" t="s">
        <v>11433</v>
      </c>
      <c r="C6109" s="1">
        <v>44083</v>
      </c>
      <c r="D6109" t="b">
        <v>1</v>
      </c>
      <c r="E6109" t="s">
        <v>10</v>
      </c>
      <c r="F6109">
        <v>16822</v>
      </c>
    </row>
    <row r="6110" spans="1:6" x14ac:dyDescent="0.25">
      <c r="A6110" t="s">
        <v>11434</v>
      </c>
      <c r="B6110" t="s">
        <v>11435</v>
      </c>
      <c r="C6110" s="1">
        <v>44083</v>
      </c>
      <c r="D6110" t="b">
        <v>1</v>
      </c>
      <c r="E6110" t="s">
        <v>10</v>
      </c>
      <c r="F6110">
        <v>16895</v>
      </c>
    </row>
    <row r="6111" spans="1:6" x14ac:dyDescent="0.25">
      <c r="A6111" t="s">
        <v>11436</v>
      </c>
      <c r="B6111" t="s">
        <v>11437</v>
      </c>
      <c r="C6111" s="1">
        <v>44083</v>
      </c>
      <c r="D6111" t="b">
        <v>1</v>
      </c>
      <c r="E6111" t="s">
        <v>10</v>
      </c>
      <c r="F6111">
        <v>8163</v>
      </c>
    </row>
    <row r="6112" spans="1:6" x14ac:dyDescent="0.25">
      <c r="A6112" t="s">
        <v>11438</v>
      </c>
      <c r="B6112" t="s">
        <v>11439</v>
      </c>
      <c r="C6112" s="1">
        <v>44083</v>
      </c>
      <c r="D6112" t="b">
        <v>1</v>
      </c>
      <c r="E6112" t="s">
        <v>10</v>
      </c>
      <c r="F6112">
        <v>5245</v>
      </c>
    </row>
    <row r="6113" spans="1:6" x14ac:dyDescent="0.25">
      <c r="A6113" t="s">
        <v>11440</v>
      </c>
      <c r="B6113" t="s">
        <v>11441</v>
      </c>
      <c r="C6113" s="1">
        <v>44083</v>
      </c>
      <c r="D6113" t="b">
        <v>1</v>
      </c>
      <c r="E6113" t="s">
        <v>10</v>
      </c>
      <c r="F6113">
        <v>15565</v>
      </c>
    </row>
    <row r="6114" spans="1:6" x14ac:dyDescent="0.25">
      <c r="A6114" t="s">
        <v>11442</v>
      </c>
      <c r="B6114" t="s">
        <v>11443</v>
      </c>
      <c r="C6114" s="1">
        <v>44083</v>
      </c>
      <c r="D6114" t="b">
        <v>1</v>
      </c>
      <c r="E6114" t="s">
        <v>10</v>
      </c>
      <c r="F6114">
        <v>5246</v>
      </c>
    </row>
    <row r="6115" spans="1:6" x14ac:dyDescent="0.25">
      <c r="A6115" t="s">
        <v>11444</v>
      </c>
      <c r="B6115" t="s">
        <v>11445</v>
      </c>
      <c r="C6115" s="1">
        <v>44083</v>
      </c>
      <c r="D6115" t="b">
        <v>1</v>
      </c>
      <c r="E6115" t="s">
        <v>10</v>
      </c>
      <c r="F6115">
        <v>8984</v>
      </c>
    </row>
    <row r="6116" spans="1:6" x14ac:dyDescent="0.25">
      <c r="A6116" t="s">
        <v>11446</v>
      </c>
      <c r="B6116" t="s">
        <v>11447</v>
      </c>
      <c r="C6116" s="1">
        <v>44083</v>
      </c>
      <c r="D6116" t="b">
        <v>1</v>
      </c>
      <c r="E6116" t="s">
        <v>10</v>
      </c>
      <c r="F6116">
        <v>16505</v>
      </c>
    </row>
    <row r="6117" spans="1:6" x14ac:dyDescent="0.25">
      <c r="A6117" t="s">
        <v>11448</v>
      </c>
      <c r="B6117" t="s">
        <v>11449</v>
      </c>
      <c r="C6117" s="1">
        <v>44083</v>
      </c>
      <c r="D6117" t="b">
        <v>1</v>
      </c>
      <c r="E6117" t="s">
        <v>10</v>
      </c>
      <c r="F6117">
        <v>15262</v>
      </c>
    </row>
    <row r="6118" spans="1:6" x14ac:dyDescent="0.25">
      <c r="A6118" t="s">
        <v>11450</v>
      </c>
      <c r="B6118" t="s">
        <v>11451</v>
      </c>
      <c r="C6118" s="1">
        <v>44083</v>
      </c>
      <c r="D6118" t="b">
        <v>1</v>
      </c>
      <c r="E6118" t="s">
        <v>10</v>
      </c>
      <c r="F6118">
        <v>9627</v>
      </c>
    </row>
    <row r="6119" spans="1:6" x14ac:dyDescent="0.25">
      <c r="A6119" t="s">
        <v>11452</v>
      </c>
      <c r="B6119" t="s">
        <v>11453</v>
      </c>
      <c r="C6119" s="1">
        <v>44083</v>
      </c>
      <c r="D6119" t="b">
        <v>1</v>
      </c>
      <c r="E6119" t="s">
        <v>10</v>
      </c>
      <c r="F6119">
        <v>5248</v>
      </c>
    </row>
    <row r="6120" spans="1:6" x14ac:dyDescent="0.25">
      <c r="A6120" t="s">
        <v>11454</v>
      </c>
      <c r="B6120" t="s">
        <v>11455</v>
      </c>
      <c r="C6120" s="1">
        <v>44083</v>
      </c>
      <c r="D6120" t="b">
        <v>1</v>
      </c>
      <c r="E6120" t="s">
        <v>10</v>
      </c>
      <c r="F6120">
        <v>15980</v>
      </c>
    </row>
    <row r="6121" spans="1:6" x14ac:dyDescent="0.25">
      <c r="A6121" t="s">
        <v>11456</v>
      </c>
      <c r="B6121" t="s">
        <v>11457</v>
      </c>
      <c r="C6121" s="1">
        <v>44083</v>
      </c>
      <c r="D6121" t="b">
        <v>1</v>
      </c>
      <c r="E6121" t="s">
        <v>10</v>
      </c>
      <c r="F6121">
        <v>12440</v>
      </c>
    </row>
    <row r="6122" spans="1:6" x14ac:dyDescent="0.25">
      <c r="A6122" t="s">
        <v>11458</v>
      </c>
      <c r="B6122" t="s">
        <v>11459</v>
      </c>
      <c r="C6122" s="1">
        <v>44083</v>
      </c>
      <c r="D6122" t="b">
        <v>1</v>
      </c>
      <c r="E6122" t="s">
        <v>10</v>
      </c>
      <c r="F6122">
        <v>11659</v>
      </c>
    </row>
    <row r="6123" spans="1:6" x14ac:dyDescent="0.25">
      <c r="A6123" t="s">
        <v>11460</v>
      </c>
      <c r="C6123" s="1">
        <v>44083</v>
      </c>
      <c r="D6123" t="b">
        <v>1</v>
      </c>
      <c r="E6123" t="s">
        <v>10</v>
      </c>
      <c r="F6123">
        <v>11666</v>
      </c>
    </row>
    <row r="6124" spans="1:6" x14ac:dyDescent="0.25">
      <c r="A6124" t="s">
        <v>11461</v>
      </c>
      <c r="C6124" s="1">
        <v>44083</v>
      </c>
      <c r="D6124" t="b">
        <v>1</v>
      </c>
      <c r="E6124" t="s">
        <v>10</v>
      </c>
      <c r="F6124">
        <v>14400</v>
      </c>
    </row>
    <row r="6125" spans="1:6" x14ac:dyDescent="0.25">
      <c r="A6125" t="s">
        <v>11462</v>
      </c>
      <c r="B6125" t="s">
        <v>11463</v>
      </c>
      <c r="C6125" s="1">
        <v>44083</v>
      </c>
      <c r="D6125" t="b">
        <v>1</v>
      </c>
      <c r="E6125" t="s">
        <v>10</v>
      </c>
      <c r="F6125">
        <v>15137</v>
      </c>
    </row>
    <row r="6126" spans="1:6" x14ac:dyDescent="0.25">
      <c r="A6126" t="s">
        <v>11464</v>
      </c>
      <c r="B6126" t="s">
        <v>11465</v>
      </c>
      <c r="C6126" s="1">
        <v>44083</v>
      </c>
      <c r="D6126" t="b">
        <v>1</v>
      </c>
      <c r="E6126" t="s">
        <v>10</v>
      </c>
      <c r="F6126">
        <v>8417</v>
      </c>
    </row>
    <row r="6127" spans="1:6" x14ac:dyDescent="0.25">
      <c r="A6127" t="s">
        <v>11466</v>
      </c>
      <c r="B6127" t="s">
        <v>11467</v>
      </c>
      <c r="C6127" s="1">
        <v>44083</v>
      </c>
      <c r="D6127" t="b">
        <v>1</v>
      </c>
      <c r="E6127" t="s">
        <v>10</v>
      </c>
      <c r="F6127">
        <v>14915</v>
      </c>
    </row>
    <row r="6128" spans="1:6" x14ac:dyDescent="0.25">
      <c r="A6128" t="s">
        <v>11468</v>
      </c>
      <c r="B6128" t="s">
        <v>11469</v>
      </c>
      <c r="C6128" s="1">
        <v>44083</v>
      </c>
      <c r="D6128" t="b">
        <v>1</v>
      </c>
      <c r="E6128" t="s">
        <v>10</v>
      </c>
      <c r="F6128">
        <v>5251</v>
      </c>
    </row>
    <row r="6129" spans="1:6" x14ac:dyDescent="0.25">
      <c r="A6129" t="s">
        <v>11470</v>
      </c>
      <c r="B6129" t="s">
        <v>11471</v>
      </c>
      <c r="C6129" s="1">
        <v>44083</v>
      </c>
      <c r="D6129" t="b">
        <v>1</v>
      </c>
      <c r="E6129" t="s">
        <v>10</v>
      </c>
      <c r="F6129">
        <v>5252</v>
      </c>
    </row>
    <row r="6130" spans="1:6" x14ac:dyDescent="0.25">
      <c r="A6130" t="s">
        <v>11472</v>
      </c>
      <c r="B6130" t="s">
        <v>11473</v>
      </c>
      <c r="C6130" s="1">
        <v>44083</v>
      </c>
      <c r="D6130" t="b">
        <v>1</v>
      </c>
      <c r="E6130" t="s">
        <v>10</v>
      </c>
      <c r="F6130">
        <v>5253</v>
      </c>
    </row>
    <row r="6131" spans="1:6" x14ac:dyDescent="0.25">
      <c r="A6131" t="s">
        <v>11474</v>
      </c>
      <c r="C6131" s="1">
        <v>44083</v>
      </c>
      <c r="D6131" t="b">
        <v>1</v>
      </c>
      <c r="E6131" t="s">
        <v>10</v>
      </c>
      <c r="F6131">
        <v>10955</v>
      </c>
    </row>
    <row r="6132" spans="1:6" x14ac:dyDescent="0.25">
      <c r="A6132" t="s">
        <v>11475</v>
      </c>
      <c r="C6132" s="1">
        <v>44083</v>
      </c>
      <c r="D6132" t="b">
        <v>1</v>
      </c>
      <c r="E6132" t="s">
        <v>10</v>
      </c>
      <c r="F6132">
        <v>15313</v>
      </c>
    </row>
    <row r="6133" spans="1:6" x14ac:dyDescent="0.25">
      <c r="A6133" t="s">
        <v>11476</v>
      </c>
      <c r="B6133" t="s">
        <v>11477</v>
      </c>
      <c r="C6133" s="1">
        <v>44083</v>
      </c>
      <c r="D6133" t="b">
        <v>1</v>
      </c>
      <c r="E6133" t="s">
        <v>10</v>
      </c>
      <c r="F6133">
        <v>5255</v>
      </c>
    </row>
    <row r="6134" spans="1:6" x14ac:dyDescent="0.25">
      <c r="A6134" t="s">
        <v>11478</v>
      </c>
      <c r="C6134" s="1">
        <v>44083</v>
      </c>
      <c r="D6134" t="b">
        <v>1</v>
      </c>
      <c r="E6134" t="s">
        <v>10</v>
      </c>
      <c r="F6134">
        <v>12130</v>
      </c>
    </row>
    <row r="6135" spans="1:6" x14ac:dyDescent="0.25">
      <c r="A6135" t="s">
        <v>11479</v>
      </c>
      <c r="B6135" t="s">
        <v>11480</v>
      </c>
      <c r="C6135" s="1">
        <v>44083</v>
      </c>
      <c r="D6135" t="b">
        <v>1</v>
      </c>
      <c r="E6135" t="s">
        <v>10</v>
      </c>
      <c r="F6135">
        <v>5256</v>
      </c>
    </row>
    <row r="6136" spans="1:6" x14ac:dyDescent="0.25">
      <c r="A6136" t="s">
        <v>11481</v>
      </c>
      <c r="B6136" t="s">
        <v>11482</v>
      </c>
      <c r="C6136" s="1">
        <v>44083</v>
      </c>
      <c r="D6136" t="b">
        <v>1</v>
      </c>
      <c r="E6136" t="s">
        <v>10</v>
      </c>
      <c r="F6136">
        <v>13420</v>
      </c>
    </row>
    <row r="6137" spans="1:6" x14ac:dyDescent="0.25">
      <c r="A6137" t="s">
        <v>11483</v>
      </c>
      <c r="B6137" t="s">
        <v>11484</v>
      </c>
      <c r="C6137" s="1">
        <v>44083</v>
      </c>
      <c r="D6137" t="b">
        <v>1</v>
      </c>
      <c r="E6137" t="s">
        <v>10</v>
      </c>
      <c r="F6137">
        <v>5257</v>
      </c>
    </row>
    <row r="6138" spans="1:6" x14ac:dyDescent="0.25">
      <c r="A6138" t="s">
        <v>11485</v>
      </c>
      <c r="B6138" t="s">
        <v>11486</v>
      </c>
      <c r="C6138" s="1">
        <v>44083</v>
      </c>
      <c r="D6138" t="b">
        <v>1</v>
      </c>
      <c r="E6138" t="s">
        <v>10</v>
      </c>
      <c r="F6138">
        <v>13421</v>
      </c>
    </row>
    <row r="6139" spans="1:6" x14ac:dyDescent="0.25">
      <c r="A6139" t="s">
        <v>11487</v>
      </c>
      <c r="B6139" t="s">
        <v>11488</v>
      </c>
      <c r="C6139" s="1">
        <v>44083</v>
      </c>
      <c r="D6139" t="b">
        <v>1</v>
      </c>
      <c r="E6139" t="s">
        <v>10</v>
      </c>
      <c r="F6139">
        <v>5258</v>
      </c>
    </row>
    <row r="6140" spans="1:6" x14ac:dyDescent="0.25">
      <c r="A6140" t="s">
        <v>11489</v>
      </c>
      <c r="B6140" t="s">
        <v>11490</v>
      </c>
      <c r="C6140" s="1">
        <v>44083</v>
      </c>
      <c r="D6140" t="b">
        <v>1</v>
      </c>
      <c r="E6140" t="s">
        <v>10</v>
      </c>
      <c r="F6140">
        <v>15930</v>
      </c>
    </row>
    <row r="6141" spans="1:6" x14ac:dyDescent="0.25">
      <c r="A6141" t="s">
        <v>11491</v>
      </c>
      <c r="B6141" t="s">
        <v>11492</v>
      </c>
      <c r="C6141" s="1">
        <v>44083</v>
      </c>
      <c r="D6141" t="b">
        <v>1</v>
      </c>
      <c r="E6141" t="s">
        <v>10</v>
      </c>
      <c r="F6141">
        <v>8568</v>
      </c>
    </row>
    <row r="6142" spans="1:6" x14ac:dyDescent="0.25">
      <c r="A6142" t="s">
        <v>11493</v>
      </c>
      <c r="B6142" t="s">
        <v>11494</v>
      </c>
      <c r="C6142" s="1">
        <v>44083</v>
      </c>
      <c r="D6142" t="b">
        <v>1</v>
      </c>
      <c r="E6142" t="s">
        <v>10</v>
      </c>
      <c r="F6142">
        <v>5259</v>
      </c>
    </row>
    <row r="6143" spans="1:6" x14ac:dyDescent="0.25">
      <c r="A6143" t="s">
        <v>11495</v>
      </c>
      <c r="B6143" t="s">
        <v>11496</v>
      </c>
      <c r="C6143" s="1">
        <v>44083</v>
      </c>
      <c r="D6143" t="b">
        <v>1</v>
      </c>
      <c r="E6143" t="s">
        <v>10</v>
      </c>
      <c r="F6143">
        <v>5260</v>
      </c>
    </row>
    <row r="6144" spans="1:6" x14ac:dyDescent="0.25">
      <c r="A6144" t="s">
        <v>11497</v>
      </c>
      <c r="B6144" t="s">
        <v>11498</v>
      </c>
      <c r="C6144" s="1">
        <v>44083</v>
      </c>
      <c r="D6144" t="b">
        <v>1</v>
      </c>
      <c r="E6144" t="s">
        <v>10</v>
      </c>
      <c r="F6144">
        <v>5261</v>
      </c>
    </row>
    <row r="6145" spans="1:6" x14ac:dyDescent="0.25">
      <c r="A6145" t="s">
        <v>11499</v>
      </c>
      <c r="C6145" s="1">
        <v>44083</v>
      </c>
      <c r="D6145" t="b">
        <v>1</v>
      </c>
      <c r="E6145" t="s">
        <v>10</v>
      </c>
      <c r="F6145">
        <v>5263</v>
      </c>
    </row>
    <row r="6146" spans="1:6" x14ac:dyDescent="0.25">
      <c r="A6146" t="s">
        <v>11500</v>
      </c>
      <c r="B6146" t="s">
        <v>11501</v>
      </c>
      <c r="C6146" s="1">
        <v>44083</v>
      </c>
      <c r="D6146" t="b">
        <v>1</v>
      </c>
      <c r="E6146" t="s">
        <v>10</v>
      </c>
      <c r="F6146">
        <v>5265</v>
      </c>
    </row>
    <row r="6147" spans="1:6" x14ac:dyDescent="0.25">
      <c r="A6147" t="s">
        <v>11502</v>
      </c>
      <c r="B6147" t="s">
        <v>11503</v>
      </c>
      <c r="C6147" s="1">
        <v>44083</v>
      </c>
      <c r="D6147" t="b">
        <v>1</v>
      </c>
      <c r="E6147" t="s">
        <v>10</v>
      </c>
      <c r="F6147">
        <v>5266</v>
      </c>
    </row>
    <row r="6148" spans="1:6" x14ac:dyDescent="0.25">
      <c r="A6148" t="s">
        <v>11504</v>
      </c>
      <c r="B6148" t="s">
        <v>11505</v>
      </c>
      <c r="C6148" s="1">
        <v>44083</v>
      </c>
      <c r="D6148" t="b">
        <v>1</v>
      </c>
      <c r="E6148" t="s">
        <v>10</v>
      </c>
      <c r="F6148">
        <v>13466</v>
      </c>
    </row>
    <row r="6149" spans="1:6" x14ac:dyDescent="0.25">
      <c r="A6149" t="s">
        <v>11506</v>
      </c>
      <c r="B6149" t="s">
        <v>11507</v>
      </c>
      <c r="C6149" s="1">
        <v>44083</v>
      </c>
      <c r="D6149" t="b">
        <v>1</v>
      </c>
      <c r="E6149" t="s">
        <v>10</v>
      </c>
      <c r="F6149">
        <v>5270</v>
      </c>
    </row>
    <row r="6150" spans="1:6" x14ac:dyDescent="0.25">
      <c r="A6150" t="s">
        <v>11508</v>
      </c>
      <c r="B6150" t="s">
        <v>11509</v>
      </c>
      <c r="C6150" s="1">
        <v>44083</v>
      </c>
      <c r="D6150" t="b">
        <v>1</v>
      </c>
      <c r="E6150" t="s">
        <v>10</v>
      </c>
      <c r="F6150">
        <v>7860</v>
      </c>
    </row>
    <row r="6151" spans="1:6" x14ac:dyDescent="0.25">
      <c r="A6151" t="s">
        <v>11510</v>
      </c>
      <c r="B6151" t="s">
        <v>11511</v>
      </c>
      <c r="C6151" s="1">
        <v>44083</v>
      </c>
      <c r="D6151" t="b">
        <v>1</v>
      </c>
      <c r="E6151" t="s">
        <v>10</v>
      </c>
      <c r="F6151">
        <v>5271</v>
      </c>
    </row>
    <row r="6152" spans="1:6" x14ac:dyDescent="0.25">
      <c r="A6152" t="s">
        <v>11512</v>
      </c>
      <c r="B6152" t="s">
        <v>11513</v>
      </c>
      <c r="C6152" s="1">
        <v>44083</v>
      </c>
      <c r="D6152" t="b">
        <v>1</v>
      </c>
      <c r="E6152" t="s">
        <v>10</v>
      </c>
      <c r="F6152">
        <v>5272</v>
      </c>
    </row>
    <row r="6153" spans="1:6" x14ac:dyDescent="0.25">
      <c r="A6153" t="s">
        <v>11514</v>
      </c>
      <c r="B6153" t="s">
        <v>11515</v>
      </c>
      <c r="C6153" s="1">
        <v>44083</v>
      </c>
      <c r="D6153" t="b">
        <v>1</v>
      </c>
      <c r="E6153" t="s">
        <v>10</v>
      </c>
      <c r="F6153">
        <v>5273</v>
      </c>
    </row>
    <row r="6154" spans="1:6" x14ac:dyDescent="0.25">
      <c r="A6154" t="s">
        <v>11516</v>
      </c>
      <c r="B6154" t="s">
        <v>11517</v>
      </c>
      <c r="C6154" s="1">
        <v>44083</v>
      </c>
      <c r="D6154" t="b">
        <v>1</v>
      </c>
      <c r="E6154" t="s">
        <v>10</v>
      </c>
      <c r="F6154">
        <v>13422</v>
      </c>
    </row>
    <row r="6155" spans="1:6" x14ac:dyDescent="0.25">
      <c r="A6155" t="s">
        <v>11518</v>
      </c>
      <c r="B6155" t="s">
        <v>11519</v>
      </c>
      <c r="C6155" s="1">
        <v>44083</v>
      </c>
      <c r="D6155" t="b">
        <v>1</v>
      </c>
      <c r="E6155" t="s">
        <v>10</v>
      </c>
      <c r="F6155">
        <v>5275</v>
      </c>
    </row>
    <row r="6156" spans="1:6" x14ac:dyDescent="0.25">
      <c r="A6156" t="s">
        <v>11520</v>
      </c>
      <c r="B6156" t="s">
        <v>11521</v>
      </c>
      <c r="C6156" s="1">
        <v>44083</v>
      </c>
      <c r="D6156" t="b">
        <v>1</v>
      </c>
      <c r="E6156" t="s">
        <v>10</v>
      </c>
      <c r="F6156">
        <v>13423</v>
      </c>
    </row>
    <row r="6157" spans="1:6" x14ac:dyDescent="0.25">
      <c r="A6157" t="s">
        <v>11522</v>
      </c>
      <c r="B6157" t="s">
        <v>11523</v>
      </c>
      <c r="C6157" s="1">
        <v>44083</v>
      </c>
      <c r="D6157" t="b">
        <v>1</v>
      </c>
      <c r="E6157" t="s">
        <v>10</v>
      </c>
      <c r="F6157">
        <v>15360</v>
      </c>
    </row>
    <row r="6158" spans="1:6" x14ac:dyDescent="0.25">
      <c r="A6158" t="s">
        <v>11524</v>
      </c>
      <c r="B6158" t="s">
        <v>11525</v>
      </c>
      <c r="C6158" s="1">
        <v>44083</v>
      </c>
      <c r="D6158" t="b">
        <v>1</v>
      </c>
      <c r="E6158" t="s">
        <v>10</v>
      </c>
      <c r="F6158">
        <v>13424</v>
      </c>
    </row>
    <row r="6159" spans="1:6" x14ac:dyDescent="0.25">
      <c r="A6159" t="s">
        <v>11526</v>
      </c>
      <c r="B6159" t="s">
        <v>11527</v>
      </c>
      <c r="C6159" s="1">
        <v>44083</v>
      </c>
      <c r="D6159" t="b">
        <v>1</v>
      </c>
      <c r="E6159" t="s">
        <v>10</v>
      </c>
      <c r="F6159">
        <v>5277</v>
      </c>
    </row>
    <row r="6160" spans="1:6" x14ac:dyDescent="0.25">
      <c r="A6160" t="s">
        <v>11528</v>
      </c>
      <c r="C6160" s="1">
        <v>44083</v>
      </c>
      <c r="D6160" t="b">
        <v>1</v>
      </c>
      <c r="E6160" t="s">
        <v>10</v>
      </c>
      <c r="F6160">
        <v>14750</v>
      </c>
    </row>
    <row r="6161" spans="1:6" x14ac:dyDescent="0.25">
      <c r="A6161" t="s">
        <v>11529</v>
      </c>
      <c r="B6161" t="s">
        <v>11530</v>
      </c>
      <c r="C6161" s="1">
        <v>44083</v>
      </c>
      <c r="D6161" t="b">
        <v>1</v>
      </c>
      <c r="E6161" t="s">
        <v>10</v>
      </c>
      <c r="F6161">
        <v>5279</v>
      </c>
    </row>
    <row r="6162" spans="1:6" x14ac:dyDescent="0.25">
      <c r="A6162" t="s">
        <v>11531</v>
      </c>
      <c r="B6162" t="s">
        <v>11532</v>
      </c>
      <c r="C6162" s="1">
        <v>44083</v>
      </c>
      <c r="D6162" t="b">
        <v>1</v>
      </c>
      <c r="E6162" t="s">
        <v>10</v>
      </c>
      <c r="F6162">
        <v>5280</v>
      </c>
    </row>
    <row r="6163" spans="1:6" x14ac:dyDescent="0.25">
      <c r="A6163" t="s">
        <v>11533</v>
      </c>
      <c r="B6163" t="s">
        <v>11534</v>
      </c>
      <c r="C6163" s="1">
        <v>44083</v>
      </c>
      <c r="D6163" t="b">
        <v>1</v>
      </c>
      <c r="E6163" t="s">
        <v>10</v>
      </c>
      <c r="F6163">
        <v>14914</v>
      </c>
    </row>
    <row r="6164" spans="1:6" x14ac:dyDescent="0.25">
      <c r="A6164" t="s">
        <v>11535</v>
      </c>
      <c r="B6164" t="s">
        <v>11536</v>
      </c>
      <c r="C6164" s="1">
        <v>44083</v>
      </c>
      <c r="D6164" t="b">
        <v>1</v>
      </c>
      <c r="E6164" t="s">
        <v>10</v>
      </c>
      <c r="F6164">
        <v>5284</v>
      </c>
    </row>
    <row r="6165" spans="1:6" x14ac:dyDescent="0.25">
      <c r="A6165" t="s">
        <v>11537</v>
      </c>
      <c r="B6165" t="s">
        <v>11538</v>
      </c>
      <c r="C6165" s="1">
        <v>44083</v>
      </c>
      <c r="D6165" t="b">
        <v>1</v>
      </c>
      <c r="E6165" t="s">
        <v>10</v>
      </c>
      <c r="F6165">
        <v>5285</v>
      </c>
    </row>
    <row r="6166" spans="1:6" x14ac:dyDescent="0.25">
      <c r="A6166" t="s">
        <v>11539</v>
      </c>
      <c r="B6166" t="s">
        <v>11540</v>
      </c>
      <c r="C6166" s="1">
        <v>44083</v>
      </c>
      <c r="D6166" t="b">
        <v>1</v>
      </c>
      <c r="E6166" t="s">
        <v>10</v>
      </c>
      <c r="F6166">
        <v>5286</v>
      </c>
    </row>
    <row r="6167" spans="1:6" x14ac:dyDescent="0.25">
      <c r="A6167" t="s">
        <v>11541</v>
      </c>
      <c r="C6167" s="1">
        <v>44083</v>
      </c>
      <c r="D6167" t="b">
        <v>1</v>
      </c>
      <c r="E6167" t="s">
        <v>10</v>
      </c>
      <c r="F6167">
        <v>5287</v>
      </c>
    </row>
    <row r="6168" spans="1:6" x14ac:dyDescent="0.25">
      <c r="A6168" t="s">
        <v>11542</v>
      </c>
      <c r="C6168" s="1">
        <v>44083</v>
      </c>
      <c r="D6168" t="b">
        <v>1</v>
      </c>
      <c r="E6168" t="s">
        <v>10</v>
      </c>
      <c r="F6168">
        <v>5288</v>
      </c>
    </row>
    <row r="6169" spans="1:6" x14ac:dyDescent="0.25">
      <c r="A6169" t="s">
        <v>11543</v>
      </c>
      <c r="C6169" s="1">
        <v>44083</v>
      </c>
      <c r="D6169" t="b">
        <v>1</v>
      </c>
      <c r="E6169" t="s">
        <v>10</v>
      </c>
      <c r="F6169">
        <v>5289</v>
      </c>
    </row>
    <row r="6170" spans="1:6" x14ac:dyDescent="0.25">
      <c r="A6170" t="s">
        <v>11544</v>
      </c>
      <c r="C6170" s="1">
        <v>44083</v>
      </c>
      <c r="D6170" t="b">
        <v>1</v>
      </c>
      <c r="E6170" t="s">
        <v>10</v>
      </c>
      <c r="F6170">
        <v>5290</v>
      </c>
    </row>
    <row r="6171" spans="1:6" x14ac:dyDescent="0.25">
      <c r="A6171" t="s">
        <v>11545</v>
      </c>
      <c r="C6171" s="1">
        <v>44083</v>
      </c>
      <c r="D6171" t="b">
        <v>1</v>
      </c>
      <c r="E6171" t="s">
        <v>10</v>
      </c>
      <c r="F6171">
        <v>5291</v>
      </c>
    </row>
    <row r="6172" spans="1:6" x14ac:dyDescent="0.25">
      <c r="A6172" t="s">
        <v>11546</v>
      </c>
      <c r="C6172" s="1">
        <v>44083</v>
      </c>
      <c r="D6172" t="b">
        <v>1</v>
      </c>
      <c r="E6172" t="s">
        <v>10</v>
      </c>
      <c r="F6172">
        <v>5292</v>
      </c>
    </row>
    <row r="6173" spans="1:6" x14ac:dyDescent="0.25">
      <c r="A6173" t="s">
        <v>11547</v>
      </c>
      <c r="C6173" s="1">
        <v>44083</v>
      </c>
      <c r="D6173" t="b">
        <v>1</v>
      </c>
      <c r="E6173" t="s">
        <v>10</v>
      </c>
      <c r="F6173">
        <v>5293</v>
      </c>
    </row>
    <row r="6174" spans="1:6" x14ac:dyDescent="0.25">
      <c r="A6174" t="s">
        <v>11548</v>
      </c>
      <c r="C6174" s="1">
        <v>44083</v>
      </c>
      <c r="D6174" t="b">
        <v>1</v>
      </c>
      <c r="E6174" t="s">
        <v>10</v>
      </c>
      <c r="F6174">
        <v>5294</v>
      </c>
    </row>
    <row r="6175" spans="1:6" x14ac:dyDescent="0.25">
      <c r="A6175" t="s">
        <v>11549</v>
      </c>
      <c r="C6175" s="1">
        <v>44083</v>
      </c>
      <c r="D6175" t="b">
        <v>1</v>
      </c>
      <c r="E6175" t="s">
        <v>10</v>
      </c>
      <c r="F6175">
        <v>16944</v>
      </c>
    </row>
    <row r="6176" spans="1:6" x14ac:dyDescent="0.25">
      <c r="A6176" t="s">
        <v>11550</v>
      </c>
      <c r="B6176" t="s">
        <v>11551</v>
      </c>
      <c r="C6176" s="1">
        <v>44083</v>
      </c>
      <c r="D6176" t="b">
        <v>1</v>
      </c>
      <c r="E6176" t="s">
        <v>10</v>
      </c>
      <c r="F6176">
        <v>5295</v>
      </c>
    </row>
    <row r="6177" spans="1:6" x14ac:dyDescent="0.25">
      <c r="A6177" t="s">
        <v>11552</v>
      </c>
      <c r="B6177" t="s">
        <v>11553</v>
      </c>
      <c r="C6177" s="1">
        <v>44083</v>
      </c>
      <c r="D6177" t="b">
        <v>1</v>
      </c>
      <c r="E6177" t="s">
        <v>10</v>
      </c>
      <c r="F6177">
        <v>5296</v>
      </c>
    </row>
    <row r="6178" spans="1:6" x14ac:dyDescent="0.25">
      <c r="A6178" t="s">
        <v>11554</v>
      </c>
      <c r="B6178" t="s">
        <v>11555</v>
      </c>
      <c r="C6178" s="1">
        <v>44083</v>
      </c>
      <c r="D6178" t="b">
        <v>1</v>
      </c>
      <c r="E6178" t="s">
        <v>10</v>
      </c>
      <c r="F6178">
        <v>5297</v>
      </c>
    </row>
    <row r="6179" spans="1:6" x14ac:dyDescent="0.25">
      <c r="A6179" t="s">
        <v>11556</v>
      </c>
      <c r="B6179" t="s">
        <v>11557</v>
      </c>
      <c r="C6179" s="1">
        <v>44083</v>
      </c>
      <c r="D6179" t="b">
        <v>1</v>
      </c>
      <c r="E6179" t="s">
        <v>10</v>
      </c>
      <c r="F6179">
        <v>5300</v>
      </c>
    </row>
    <row r="6180" spans="1:6" x14ac:dyDescent="0.25">
      <c r="A6180" t="s">
        <v>11558</v>
      </c>
      <c r="B6180" t="s">
        <v>11559</v>
      </c>
      <c r="C6180" s="1">
        <v>44083</v>
      </c>
      <c r="D6180" t="b">
        <v>1</v>
      </c>
      <c r="E6180" t="s">
        <v>10</v>
      </c>
      <c r="F6180">
        <v>5302</v>
      </c>
    </row>
    <row r="6181" spans="1:6" x14ac:dyDescent="0.25">
      <c r="A6181" t="s">
        <v>11560</v>
      </c>
      <c r="B6181" t="s">
        <v>11561</v>
      </c>
      <c r="C6181" s="1">
        <v>44083</v>
      </c>
      <c r="D6181" t="b">
        <v>1</v>
      </c>
      <c r="E6181" t="s">
        <v>10</v>
      </c>
      <c r="F6181">
        <v>5304</v>
      </c>
    </row>
    <row r="6182" spans="1:6" x14ac:dyDescent="0.25">
      <c r="A6182" t="s">
        <v>11562</v>
      </c>
      <c r="B6182" t="s">
        <v>11563</v>
      </c>
      <c r="C6182" s="1">
        <v>44083</v>
      </c>
      <c r="D6182" t="b">
        <v>1</v>
      </c>
      <c r="E6182" t="s">
        <v>10</v>
      </c>
      <c r="F6182">
        <v>16795</v>
      </c>
    </row>
    <row r="6183" spans="1:6" x14ac:dyDescent="0.25">
      <c r="A6183" t="s">
        <v>11564</v>
      </c>
      <c r="C6183" s="1">
        <v>44083</v>
      </c>
      <c r="D6183" t="b">
        <v>1</v>
      </c>
      <c r="E6183" t="s">
        <v>10</v>
      </c>
      <c r="F6183">
        <v>16825</v>
      </c>
    </row>
    <row r="6184" spans="1:6" x14ac:dyDescent="0.25">
      <c r="A6184" t="s">
        <v>11565</v>
      </c>
      <c r="B6184" t="s">
        <v>11566</v>
      </c>
      <c r="C6184" s="1">
        <v>44083</v>
      </c>
      <c r="D6184" t="b">
        <v>1</v>
      </c>
      <c r="E6184" t="s">
        <v>10</v>
      </c>
      <c r="F6184">
        <v>16609</v>
      </c>
    </row>
    <row r="6185" spans="1:6" x14ac:dyDescent="0.25">
      <c r="A6185" t="s">
        <v>11567</v>
      </c>
      <c r="B6185" t="s">
        <v>11568</v>
      </c>
      <c r="C6185" s="1">
        <v>44083</v>
      </c>
      <c r="D6185" t="b">
        <v>1</v>
      </c>
      <c r="E6185" t="s">
        <v>10</v>
      </c>
      <c r="F6185">
        <v>5306</v>
      </c>
    </row>
    <row r="6186" spans="1:6" x14ac:dyDescent="0.25">
      <c r="A6186" t="s">
        <v>11569</v>
      </c>
      <c r="B6186" t="s">
        <v>11570</v>
      </c>
      <c r="C6186" s="1">
        <v>44083</v>
      </c>
      <c r="D6186" t="b">
        <v>1</v>
      </c>
      <c r="E6186" t="s">
        <v>10</v>
      </c>
      <c r="F6186">
        <v>5307</v>
      </c>
    </row>
    <row r="6187" spans="1:6" x14ac:dyDescent="0.25">
      <c r="A6187" t="s">
        <v>11571</v>
      </c>
      <c r="B6187" t="s">
        <v>11572</v>
      </c>
      <c r="C6187" s="1">
        <v>44083</v>
      </c>
      <c r="D6187" t="b">
        <v>1</v>
      </c>
      <c r="E6187" t="s">
        <v>10</v>
      </c>
      <c r="F6187">
        <v>12799</v>
      </c>
    </row>
    <row r="6188" spans="1:6" x14ac:dyDescent="0.25">
      <c r="A6188" t="s">
        <v>11573</v>
      </c>
      <c r="B6188" t="s">
        <v>11574</v>
      </c>
      <c r="C6188" s="1">
        <v>44083</v>
      </c>
      <c r="D6188" t="b">
        <v>1</v>
      </c>
      <c r="E6188" t="s">
        <v>10</v>
      </c>
      <c r="F6188">
        <v>5308</v>
      </c>
    </row>
    <row r="6189" spans="1:6" x14ac:dyDescent="0.25">
      <c r="A6189" t="s">
        <v>11575</v>
      </c>
      <c r="B6189" t="s">
        <v>11576</v>
      </c>
      <c r="C6189" s="1">
        <v>44083</v>
      </c>
      <c r="D6189" t="b">
        <v>1</v>
      </c>
      <c r="E6189" t="s">
        <v>10</v>
      </c>
      <c r="F6189">
        <v>8464</v>
      </c>
    </row>
    <row r="6190" spans="1:6" x14ac:dyDescent="0.25">
      <c r="A6190" t="s">
        <v>11577</v>
      </c>
      <c r="B6190" t="s">
        <v>11578</v>
      </c>
      <c r="C6190" s="1">
        <v>44083</v>
      </c>
      <c r="D6190" t="b">
        <v>1</v>
      </c>
      <c r="E6190" t="s">
        <v>10</v>
      </c>
      <c r="F6190">
        <v>16752</v>
      </c>
    </row>
    <row r="6191" spans="1:6" x14ac:dyDescent="0.25">
      <c r="A6191" t="s">
        <v>11579</v>
      </c>
      <c r="B6191" t="s">
        <v>11580</v>
      </c>
      <c r="C6191" s="1">
        <v>44083</v>
      </c>
      <c r="D6191" t="b">
        <v>1</v>
      </c>
      <c r="E6191" t="s">
        <v>10</v>
      </c>
      <c r="F6191">
        <v>5309</v>
      </c>
    </row>
    <row r="6192" spans="1:6" x14ac:dyDescent="0.25">
      <c r="A6192" t="s">
        <v>11581</v>
      </c>
      <c r="B6192" t="s">
        <v>11582</v>
      </c>
      <c r="C6192" s="1">
        <v>44083</v>
      </c>
      <c r="D6192" t="b">
        <v>1</v>
      </c>
      <c r="E6192" t="s">
        <v>10</v>
      </c>
      <c r="F6192">
        <v>5311</v>
      </c>
    </row>
    <row r="6193" spans="1:6" x14ac:dyDescent="0.25">
      <c r="A6193" t="s">
        <v>11583</v>
      </c>
      <c r="B6193" t="s">
        <v>11584</v>
      </c>
      <c r="C6193" s="1">
        <v>44083</v>
      </c>
      <c r="D6193" t="b">
        <v>1</v>
      </c>
      <c r="E6193" t="s">
        <v>10</v>
      </c>
      <c r="F6193">
        <v>5312</v>
      </c>
    </row>
    <row r="6194" spans="1:6" x14ac:dyDescent="0.25">
      <c r="A6194" t="s">
        <v>11585</v>
      </c>
      <c r="B6194" t="s">
        <v>11586</v>
      </c>
      <c r="C6194" s="1">
        <v>44083</v>
      </c>
      <c r="D6194" t="b">
        <v>1</v>
      </c>
      <c r="E6194" t="s">
        <v>10</v>
      </c>
      <c r="F6194">
        <v>15592</v>
      </c>
    </row>
    <row r="6195" spans="1:6" x14ac:dyDescent="0.25">
      <c r="A6195" t="s">
        <v>11587</v>
      </c>
      <c r="B6195" t="s">
        <v>11588</v>
      </c>
      <c r="C6195" s="1">
        <v>44083</v>
      </c>
      <c r="D6195" t="b">
        <v>1</v>
      </c>
      <c r="E6195" t="s">
        <v>10</v>
      </c>
      <c r="F6195">
        <v>9479</v>
      </c>
    </row>
    <row r="6196" spans="1:6" x14ac:dyDescent="0.25">
      <c r="A6196" t="s">
        <v>11589</v>
      </c>
      <c r="B6196" t="s">
        <v>11590</v>
      </c>
      <c r="C6196" s="1">
        <v>44083</v>
      </c>
      <c r="D6196" t="b">
        <v>1</v>
      </c>
      <c r="E6196" t="s">
        <v>10</v>
      </c>
      <c r="F6196">
        <v>5313</v>
      </c>
    </row>
    <row r="6197" spans="1:6" x14ac:dyDescent="0.25">
      <c r="A6197" t="s">
        <v>11591</v>
      </c>
      <c r="B6197" t="s">
        <v>11592</v>
      </c>
      <c r="C6197" s="1">
        <v>44083</v>
      </c>
      <c r="D6197" t="b">
        <v>1</v>
      </c>
      <c r="E6197" t="s">
        <v>10</v>
      </c>
      <c r="F6197">
        <v>5314</v>
      </c>
    </row>
    <row r="6198" spans="1:6" x14ac:dyDescent="0.25">
      <c r="A6198" t="s">
        <v>11593</v>
      </c>
      <c r="B6198" t="s">
        <v>11594</v>
      </c>
      <c r="C6198" s="1">
        <v>44083</v>
      </c>
      <c r="D6198" t="b">
        <v>1</v>
      </c>
      <c r="E6198" t="s">
        <v>10</v>
      </c>
      <c r="F6198">
        <v>14865</v>
      </c>
    </row>
    <row r="6199" spans="1:6" x14ac:dyDescent="0.25">
      <c r="A6199" t="s">
        <v>11595</v>
      </c>
      <c r="B6199" t="s">
        <v>11596</v>
      </c>
      <c r="C6199" s="1">
        <v>44083</v>
      </c>
      <c r="D6199" t="b">
        <v>1</v>
      </c>
      <c r="E6199" t="s">
        <v>10</v>
      </c>
      <c r="F6199">
        <v>16335</v>
      </c>
    </row>
    <row r="6200" spans="1:6" x14ac:dyDescent="0.25">
      <c r="A6200" t="s">
        <v>11597</v>
      </c>
      <c r="B6200" t="s">
        <v>11598</v>
      </c>
      <c r="C6200" s="1">
        <v>44083</v>
      </c>
      <c r="D6200" t="b">
        <v>1</v>
      </c>
      <c r="E6200" t="s">
        <v>10</v>
      </c>
      <c r="F6200">
        <v>15956</v>
      </c>
    </row>
    <row r="6201" spans="1:6" x14ac:dyDescent="0.25">
      <c r="A6201" t="s">
        <v>11599</v>
      </c>
      <c r="B6201" t="s">
        <v>11600</v>
      </c>
      <c r="C6201" s="1">
        <v>44083</v>
      </c>
      <c r="D6201" t="b">
        <v>1</v>
      </c>
      <c r="E6201" t="s">
        <v>10</v>
      </c>
      <c r="F6201">
        <v>5315</v>
      </c>
    </row>
    <row r="6202" spans="1:6" x14ac:dyDescent="0.25">
      <c r="A6202" t="s">
        <v>11601</v>
      </c>
      <c r="B6202" t="s">
        <v>11602</v>
      </c>
      <c r="C6202" s="1">
        <v>44083</v>
      </c>
      <c r="D6202" t="b">
        <v>1</v>
      </c>
      <c r="E6202" t="s">
        <v>10</v>
      </c>
      <c r="F6202">
        <v>5316</v>
      </c>
    </row>
    <row r="6203" spans="1:6" x14ac:dyDescent="0.25">
      <c r="A6203" t="s">
        <v>11603</v>
      </c>
      <c r="B6203" t="s">
        <v>11604</v>
      </c>
      <c r="C6203" s="1">
        <v>44083</v>
      </c>
      <c r="D6203" t="b">
        <v>1</v>
      </c>
      <c r="E6203" t="s">
        <v>10</v>
      </c>
      <c r="F6203">
        <v>5318</v>
      </c>
    </row>
    <row r="6204" spans="1:6" x14ac:dyDescent="0.25">
      <c r="A6204" t="s">
        <v>11605</v>
      </c>
      <c r="B6204" t="s">
        <v>11606</v>
      </c>
      <c r="C6204" s="1">
        <v>44083</v>
      </c>
      <c r="D6204" t="b">
        <v>1</v>
      </c>
      <c r="E6204" t="s">
        <v>10</v>
      </c>
      <c r="F6204">
        <v>13473</v>
      </c>
    </row>
    <row r="6205" spans="1:6" x14ac:dyDescent="0.25">
      <c r="A6205" t="s">
        <v>11607</v>
      </c>
      <c r="B6205" t="s">
        <v>11608</v>
      </c>
      <c r="C6205" s="1">
        <v>44083</v>
      </c>
      <c r="D6205" t="b">
        <v>1</v>
      </c>
      <c r="E6205" t="s">
        <v>10</v>
      </c>
      <c r="F6205">
        <v>5320</v>
      </c>
    </row>
    <row r="6206" spans="1:6" x14ac:dyDescent="0.25">
      <c r="A6206" t="s">
        <v>11609</v>
      </c>
      <c r="B6206" t="s">
        <v>11610</v>
      </c>
      <c r="C6206" s="1">
        <v>44083</v>
      </c>
      <c r="D6206" t="b">
        <v>1</v>
      </c>
      <c r="E6206" t="s">
        <v>10</v>
      </c>
      <c r="F6206">
        <v>5321</v>
      </c>
    </row>
    <row r="6207" spans="1:6" x14ac:dyDescent="0.25">
      <c r="A6207" t="s">
        <v>11611</v>
      </c>
      <c r="B6207" t="s">
        <v>11612</v>
      </c>
      <c r="C6207" s="1">
        <v>44083</v>
      </c>
      <c r="D6207" t="b">
        <v>1</v>
      </c>
      <c r="E6207" t="s">
        <v>10</v>
      </c>
      <c r="F6207">
        <v>5322</v>
      </c>
    </row>
    <row r="6208" spans="1:6" x14ac:dyDescent="0.25">
      <c r="A6208" t="s">
        <v>11613</v>
      </c>
      <c r="B6208" t="s">
        <v>11614</v>
      </c>
      <c r="C6208" s="1">
        <v>44083</v>
      </c>
      <c r="D6208" t="b">
        <v>1</v>
      </c>
      <c r="E6208" t="s">
        <v>10</v>
      </c>
      <c r="F6208">
        <v>5324</v>
      </c>
    </row>
    <row r="6209" spans="1:6" x14ac:dyDescent="0.25">
      <c r="A6209" t="s">
        <v>11615</v>
      </c>
      <c r="B6209" t="s">
        <v>11616</v>
      </c>
      <c r="C6209" s="1">
        <v>44083</v>
      </c>
      <c r="D6209" t="b">
        <v>1</v>
      </c>
      <c r="E6209" t="s">
        <v>10</v>
      </c>
      <c r="F6209">
        <v>5325</v>
      </c>
    </row>
    <row r="6210" spans="1:6" x14ac:dyDescent="0.25">
      <c r="A6210" t="s">
        <v>11617</v>
      </c>
      <c r="B6210" t="s">
        <v>11618</v>
      </c>
      <c r="C6210" s="1">
        <v>44083</v>
      </c>
      <c r="D6210" t="b">
        <v>1</v>
      </c>
      <c r="E6210" t="s">
        <v>10</v>
      </c>
      <c r="F6210">
        <v>10583</v>
      </c>
    </row>
    <row r="6211" spans="1:6" x14ac:dyDescent="0.25">
      <c r="A6211" t="s">
        <v>11619</v>
      </c>
      <c r="B6211" t="s">
        <v>11620</v>
      </c>
      <c r="C6211" s="1">
        <v>44083</v>
      </c>
      <c r="D6211" t="b">
        <v>1</v>
      </c>
      <c r="E6211" t="s">
        <v>10</v>
      </c>
      <c r="F6211">
        <v>5326</v>
      </c>
    </row>
    <row r="6212" spans="1:6" x14ac:dyDescent="0.25">
      <c r="A6212" t="s">
        <v>11621</v>
      </c>
      <c r="B6212" t="s">
        <v>11622</v>
      </c>
      <c r="C6212" s="1">
        <v>44083</v>
      </c>
      <c r="D6212" t="b">
        <v>1</v>
      </c>
      <c r="E6212" t="s">
        <v>10</v>
      </c>
      <c r="F6212">
        <v>8601</v>
      </c>
    </row>
    <row r="6213" spans="1:6" x14ac:dyDescent="0.25">
      <c r="A6213" t="s">
        <v>11623</v>
      </c>
      <c r="B6213" t="s">
        <v>11624</v>
      </c>
      <c r="C6213" s="1">
        <v>44083</v>
      </c>
      <c r="D6213" t="b">
        <v>1</v>
      </c>
      <c r="E6213" t="s">
        <v>10</v>
      </c>
      <c r="F6213">
        <v>3142</v>
      </c>
    </row>
    <row r="6214" spans="1:6" x14ac:dyDescent="0.25">
      <c r="A6214" t="s">
        <v>11625</v>
      </c>
      <c r="B6214" t="s">
        <v>11626</v>
      </c>
      <c r="C6214" s="1">
        <v>44083</v>
      </c>
      <c r="D6214" t="b">
        <v>1</v>
      </c>
      <c r="E6214" t="s">
        <v>10</v>
      </c>
      <c r="F6214">
        <v>5327</v>
      </c>
    </row>
    <row r="6215" spans="1:6" x14ac:dyDescent="0.25">
      <c r="A6215" t="s">
        <v>11627</v>
      </c>
      <c r="C6215" s="1">
        <v>44083</v>
      </c>
      <c r="D6215" t="b">
        <v>1</v>
      </c>
      <c r="E6215" t="s">
        <v>10</v>
      </c>
      <c r="F6215">
        <v>5330</v>
      </c>
    </row>
    <row r="6216" spans="1:6" x14ac:dyDescent="0.25">
      <c r="A6216" t="s">
        <v>11628</v>
      </c>
      <c r="C6216" s="1">
        <v>44083</v>
      </c>
      <c r="D6216" t="b">
        <v>1</v>
      </c>
      <c r="E6216" t="s">
        <v>10</v>
      </c>
      <c r="F6216">
        <v>11478</v>
      </c>
    </row>
    <row r="6217" spans="1:6" x14ac:dyDescent="0.25">
      <c r="A6217" t="s">
        <v>11629</v>
      </c>
      <c r="C6217" s="1">
        <v>44083</v>
      </c>
      <c r="D6217" t="b">
        <v>1</v>
      </c>
      <c r="E6217" t="s">
        <v>10</v>
      </c>
      <c r="F6217">
        <v>15277</v>
      </c>
    </row>
    <row r="6218" spans="1:6" x14ac:dyDescent="0.25">
      <c r="A6218" t="s">
        <v>11630</v>
      </c>
      <c r="C6218" s="1">
        <v>44083</v>
      </c>
      <c r="D6218" t="b">
        <v>1</v>
      </c>
      <c r="E6218" t="s">
        <v>10</v>
      </c>
      <c r="F6218">
        <v>15278</v>
      </c>
    </row>
    <row r="6219" spans="1:6" x14ac:dyDescent="0.25">
      <c r="A6219" t="s">
        <v>11631</v>
      </c>
      <c r="B6219" t="s">
        <v>11632</v>
      </c>
      <c r="C6219" s="1">
        <v>44083</v>
      </c>
      <c r="D6219" t="b">
        <v>1</v>
      </c>
      <c r="E6219" t="s">
        <v>10</v>
      </c>
      <c r="F6219">
        <v>5331</v>
      </c>
    </row>
    <row r="6220" spans="1:6" x14ac:dyDescent="0.25">
      <c r="A6220" t="s">
        <v>11633</v>
      </c>
      <c r="B6220" t="s">
        <v>11634</v>
      </c>
      <c r="C6220" s="1">
        <v>44083</v>
      </c>
      <c r="D6220" t="b">
        <v>1</v>
      </c>
      <c r="E6220" t="s">
        <v>10</v>
      </c>
      <c r="F6220">
        <v>5332</v>
      </c>
    </row>
    <row r="6221" spans="1:6" x14ac:dyDescent="0.25">
      <c r="A6221" t="s">
        <v>11635</v>
      </c>
      <c r="B6221" t="s">
        <v>11636</v>
      </c>
      <c r="C6221" s="1">
        <v>44083</v>
      </c>
      <c r="D6221" t="b">
        <v>1</v>
      </c>
      <c r="E6221" t="s">
        <v>10</v>
      </c>
      <c r="F6221">
        <v>11286</v>
      </c>
    </row>
    <row r="6222" spans="1:6" x14ac:dyDescent="0.25">
      <c r="A6222" t="s">
        <v>11637</v>
      </c>
      <c r="B6222" t="s">
        <v>11638</v>
      </c>
      <c r="C6222" s="1">
        <v>44083</v>
      </c>
      <c r="D6222" t="b">
        <v>1</v>
      </c>
      <c r="E6222" t="s">
        <v>10</v>
      </c>
      <c r="F6222">
        <v>7759</v>
      </c>
    </row>
    <row r="6223" spans="1:6" x14ac:dyDescent="0.25">
      <c r="A6223" t="s">
        <v>11639</v>
      </c>
      <c r="B6223" t="s">
        <v>11640</v>
      </c>
      <c r="C6223" s="1">
        <v>44083</v>
      </c>
      <c r="D6223" t="b">
        <v>1</v>
      </c>
      <c r="E6223" t="s">
        <v>10</v>
      </c>
      <c r="F6223">
        <v>5333</v>
      </c>
    </row>
    <row r="6224" spans="1:6" x14ac:dyDescent="0.25">
      <c r="A6224" t="s">
        <v>11641</v>
      </c>
      <c r="B6224" t="s">
        <v>11642</v>
      </c>
      <c r="C6224" s="1">
        <v>44083</v>
      </c>
      <c r="D6224" t="b">
        <v>1</v>
      </c>
      <c r="E6224" t="s">
        <v>10</v>
      </c>
      <c r="F6224">
        <v>5334</v>
      </c>
    </row>
    <row r="6225" spans="1:6" x14ac:dyDescent="0.25">
      <c r="A6225" t="s">
        <v>11643</v>
      </c>
      <c r="B6225" t="s">
        <v>11644</v>
      </c>
      <c r="C6225" s="1">
        <v>44083</v>
      </c>
      <c r="D6225" t="b">
        <v>1</v>
      </c>
      <c r="E6225" t="s">
        <v>10</v>
      </c>
      <c r="F6225">
        <v>5335</v>
      </c>
    </row>
    <row r="6226" spans="1:6" x14ac:dyDescent="0.25">
      <c r="A6226" t="s">
        <v>11645</v>
      </c>
      <c r="C6226" s="1">
        <v>44083</v>
      </c>
      <c r="D6226" t="b">
        <v>1</v>
      </c>
      <c r="E6226" t="s">
        <v>10</v>
      </c>
      <c r="F6226">
        <v>5337</v>
      </c>
    </row>
    <row r="6227" spans="1:6" x14ac:dyDescent="0.25">
      <c r="A6227" t="s">
        <v>11646</v>
      </c>
      <c r="C6227" s="1">
        <v>44083</v>
      </c>
      <c r="D6227" t="b">
        <v>1</v>
      </c>
      <c r="E6227" t="s">
        <v>10</v>
      </c>
      <c r="F6227">
        <v>12358</v>
      </c>
    </row>
    <row r="6228" spans="1:6" x14ac:dyDescent="0.25">
      <c r="A6228" t="s">
        <v>11647</v>
      </c>
      <c r="C6228" s="1">
        <v>44083</v>
      </c>
      <c r="D6228" t="b">
        <v>1</v>
      </c>
      <c r="E6228" t="s">
        <v>10</v>
      </c>
      <c r="F6228">
        <v>13386</v>
      </c>
    </row>
    <row r="6229" spans="1:6" x14ac:dyDescent="0.25">
      <c r="A6229" t="s">
        <v>11648</v>
      </c>
      <c r="B6229" t="s">
        <v>11649</v>
      </c>
      <c r="C6229" s="1">
        <v>44083</v>
      </c>
      <c r="D6229" t="b">
        <v>1</v>
      </c>
      <c r="E6229" t="s">
        <v>10</v>
      </c>
      <c r="F6229">
        <v>5338</v>
      </c>
    </row>
    <row r="6230" spans="1:6" x14ac:dyDescent="0.25">
      <c r="A6230" t="s">
        <v>11650</v>
      </c>
      <c r="B6230" t="s">
        <v>11651</v>
      </c>
      <c r="C6230" s="1">
        <v>44083</v>
      </c>
      <c r="D6230" t="b">
        <v>1</v>
      </c>
      <c r="E6230" t="s">
        <v>10</v>
      </c>
      <c r="F6230">
        <v>5339</v>
      </c>
    </row>
    <row r="6231" spans="1:6" x14ac:dyDescent="0.25">
      <c r="A6231" t="s">
        <v>11652</v>
      </c>
      <c r="B6231" t="s">
        <v>11653</v>
      </c>
      <c r="C6231" s="1">
        <v>44083</v>
      </c>
      <c r="D6231" t="b">
        <v>1</v>
      </c>
      <c r="E6231" t="s">
        <v>10</v>
      </c>
      <c r="F6231">
        <v>10467</v>
      </c>
    </row>
    <row r="6232" spans="1:6" x14ac:dyDescent="0.25">
      <c r="A6232" t="s">
        <v>11654</v>
      </c>
      <c r="B6232" t="s">
        <v>11655</v>
      </c>
      <c r="C6232" s="1">
        <v>44083</v>
      </c>
      <c r="D6232" t="b">
        <v>1</v>
      </c>
      <c r="E6232" t="s">
        <v>10</v>
      </c>
      <c r="F6232">
        <v>5342</v>
      </c>
    </row>
    <row r="6233" spans="1:6" x14ac:dyDescent="0.25">
      <c r="A6233" t="s">
        <v>11656</v>
      </c>
      <c r="B6233" t="s">
        <v>11657</v>
      </c>
      <c r="C6233" s="1">
        <v>44083</v>
      </c>
      <c r="D6233" t="b">
        <v>1</v>
      </c>
      <c r="E6233" t="s">
        <v>10</v>
      </c>
      <c r="F6233">
        <v>5344</v>
      </c>
    </row>
    <row r="6234" spans="1:6" x14ac:dyDescent="0.25">
      <c r="A6234" t="s">
        <v>11658</v>
      </c>
      <c r="B6234" t="s">
        <v>11659</v>
      </c>
      <c r="C6234" s="1">
        <v>44083</v>
      </c>
      <c r="D6234" t="b">
        <v>1</v>
      </c>
      <c r="E6234" t="s">
        <v>10</v>
      </c>
      <c r="F6234">
        <v>5346</v>
      </c>
    </row>
    <row r="6235" spans="1:6" x14ac:dyDescent="0.25">
      <c r="A6235" t="s">
        <v>11660</v>
      </c>
      <c r="B6235" t="s">
        <v>11661</v>
      </c>
      <c r="C6235" s="1">
        <v>44083</v>
      </c>
      <c r="D6235" t="b">
        <v>1</v>
      </c>
      <c r="E6235" t="s">
        <v>10</v>
      </c>
      <c r="F6235">
        <v>5349</v>
      </c>
    </row>
    <row r="6236" spans="1:6" x14ac:dyDescent="0.25">
      <c r="A6236" t="s">
        <v>11662</v>
      </c>
      <c r="B6236" t="s">
        <v>11663</v>
      </c>
      <c r="C6236" s="1">
        <v>44083</v>
      </c>
      <c r="D6236" t="b">
        <v>1</v>
      </c>
      <c r="E6236" t="s">
        <v>10</v>
      </c>
      <c r="F6236">
        <v>5353</v>
      </c>
    </row>
    <row r="6237" spans="1:6" x14ac:dyDescent="0.25">
      <c r="A6237" t="s">
        <v>11664</v>
      </c>
      <c r="B6237" t="s">
        <v>11665</v>
      </c>
      <c r="C6237" s="1">
        <v>44083</v>
      </c>
      <c r="D6237" t="b">
        <v>1</v>
      </c>
      <c r="E6237" t="s">
        <v>10</v>
      </c>
      <c r="F6237">
        <v>13070</v>
      </c>
    </row>
    <row r="6238" spans="1:6" x14ac:dyDescent="0.25">
      <c r="A6238" t="s">
        <v>11666</v>
      </c>
      <c r="B6238" t="s">
        <v>11667</v>
      </c>
      <c r="C6238" s="1">
        <v>44083</v>
      </c>
      <c r="D6238" t="b">
        <v>1</v>
      </c>
      <c r="E6238" t="s">
        <v>10</v>
      </c>
      <c r="F6238">
        <v>5355</v>
      </c>
    </row>
    <row r="6239" spans="1:6" x14ac:dyDescent="0.25">
      <c r="A6239" t="s">
        <v>11668</v>
      </c>
      <c r="B6239" t="s">
        <v>11669</v>
      </c>
      <c r="C6239" s="1">
        <v>44083</v>
      </c>
      <c r="D6239" t="b">
        <v>1</v>
      </c>
      <c r="E6239" t="s">
        <v>10</v>
      </c>
      <c r="F6239">
        <v>13331</v>
      </c>
    </row>
    <row r="6240" spans="1:6" x14ac:dyDescent="0.25">
      <c r="A6240" t="s">
        <v>11670</v>
      </c>
      <c r="B6240" t="s">
        <v>11671</v>
      </c>
      <c r="C6240" s="1">
        <v>44083</v>
      </c>
      <c r="D6240" t="b">
        <v>1</v>
      </c>
      <c r="E6240" t="s">
        <v>10</v>
      </c>
      <c r="F6240">
        <v>5357</v>
      </c>
    </row>
    <row r="6241" spans="1:6" x14ac:dyDescent="0.25">
      <c r="A6241" t="s">
        <v>11672</v>
      </c>
      <c r="B6241" t="s">
        <v>11673</v>
      </c>
      <c r="C6241" s="1">
        <v>44083</v>
      </c>
      <c r="D6241" t="b">
        <v>1</v>
      </c>
      <c r="E6241" t="s">
        <v>10</v>
      </c>
      <c r="F6241">
        <v>14859</v>
      </c>
    </row>
    <row r="6242" spans="1:6" x14ac:dyDescent="0.25">
      <c r="A6242" t="s">
        <v>11674</v>
      </c>
      <c r="B6242" t="s">
        <v>11675</v>
      </c>
      <c r="C6242" s="1">
        <v>44083</v>
      </c>
      <c r="D6242" t="b">
        <v>1</v>
      </c>
      <c r="E6242" t="s">
        <v>10</v>
      </c>
      <c r="F6242">
        <v>5358</v>
      </c>
    </row>
    <row r="6243" spans="1:6" x14ac:dyDescent="0.25">
      <c r="A6243" t="s">
        <v>11676</v>
      </c>
      <c r="B6243" t="s">
        <v>11677</v>
      </c>
      <c r="C6243" s="1">
        <v>44083</v>
      </c>
      <c r="D6243" t="b">
        <v>1</v>
      </c>
      <c r="E6243" t="s">
        <v>10</v>
      </c>
      <c r="F6243">
        <v>5359</v>
      </c>
    </row>
    <row r="6244" spans="1:6" x14ac:dyDescent="0.25">
      <c r="A6244" t="s">
        <v>11678</v>
      </c>
      <c r="B6244" t="s">
        <v>11679</v>
      </c>
      <c r="C6244" s="1">
        <v>44083</v>
      </c>
      <c r="D6244" t="b">
        <v>1</v>
      </c>
      <c r="E6244" t="s">
        <v>10</v>
      </c>
      <c r="F6244">
        <v>5361</v>
      </c>
    </row>
    <row r="6245" spans="1:6" x14ac:dyDescent="0.25">
      <c r="A6245" t="s">
        <v>11680</v>
      </c>
      <c r="B6245" t="s">
        <v>11681</v>
      </c>
      <c r="C6245" s="1">
        <v>44083</v>
      </c>
      <c r="D6245" t="b">
        <v>1</v>
      </c>
      <c r="E6245" t="s">
        <v>10</v>
      </c>
      <c r="F6245">
        <v>5362</v>
      </c>
    </row>
    <row r="6246" spans="1:6" x14ac:dyDescent="0.25">
      <c r="A6246" t="s">
        <v>11682</v>
      </c>
      <c r="B6246" t="s">
        <v>11683</v>
      </c>
      <c r="C6246" s="1">
        <v>44083</v>
      </c>
      <c r="D6246" t="b">
        <v>1</v>
      </c>
      <c r="E6246" t="s">
        <v>10</v>
      </c>
      <c r="F6246">
        <v>2455</v>
      </c>
    </row>
    <row r="6247" spans="1:6" x14ac:dyDescent="0.25">
      <c r="A6247" t="s">
        <v>11684</v>
      </c>
      <c r="B6247" t="s">
        <v>5410</v>
      </c>
      <c r="C6247" s="1">
        <v>44083</v>
      </c>
      <c r="D6247" t="b">
        <v>1</v>
      </c>
      <c r="E6247" t="s">
        <v>10</v>
      </c>
      <c r="F6247">
        <v>5364</v>
      </c>
    </row>
    <row r="6248" spans="1:6" x14ac:dyDescent="0.25">
      <c r="A6248" t="s">
        <v>11685</v>
      </c>
      <c r="B6248" t="s">
        <v>11686</v>
      </c>
      <c r="C6248" s="1">
        <v>44083</v>
      </c>
      <c r="D6248" t="b">
        <v>1</v>
      </c>
      <c r="E6248" t="s">
        <v>10</v>
      </c>
      <c r="F6248">
        <v>5365</v>
      </c>
    </row>
    <row r="6249" spans="1:6" x14ac:dyDescent="0.25">
      <c r="A6249" t="s">
        <v>11687</v>
      </c>
      <c r="B6249" t="s">
        <v>11688</v>
      </c>
      <c r="C6249" s="1">
        <v>44083</v>
      </c>
      <c r="D6249" t="b">
        <v>1</v>
      </c>
      <c r="E6249" t="s">
        <v>10</v>
      </c>
      <c r="F6249">
        <v>16497</v>
      </c>
    </row>
    <row r="6250" spans="1:6" x14ac:dyDescent="0.25">
      <c r="A6250" t="s">
        <v>11689</v>
      </c>
      <c r="B6250" t="s">
        <v>11690</v>
      </c>
      <c r="C6250" s="1">
        <v>44083</v>
      </c>
      <c r="D6250" t="b">
        <v>1</v>
      </c>
      <c r="E6250" t="s">
        <v>10</v>
      </c>
      <c r="F6250">
        <v>5367</v>
      </c>
    </row>
    <row r="6251" spans="1:6" x14ac:dyDescent="0.25">
      <c r="A6251" t="s">
        <v>11691</v>
      </c>
      <c r="B6251" t="s">
        <v>11692</v>
      </c>
      <c r="C6251" s="1">
        <v>44083</v>
      </c>
      <c r="D6251" t="b">
        <v>1</v>
      </c>
      <c r="E6251" t="s">
        <v>10</v>
      </c>
      <c r="F6251">
        <v>14547</v>
      </c>
    </row>
    <row r="6252" spans="1:6" x14ac:dyDescent="0.25">
      <c r="A6252" t="s">
        <v>11693</v>
      </c>
      <c r="B6252" t="s">
        <v>11694</v>
      </c>
      <c r="C6252" s="1">
        <v>44083</v>
      </c>
      <c r="D6252" t="b">
        <v>1</v>
      </c>
      <c r="E6252" t="s">
        <v>10</v>
      </c>
      <c r="F6252">
        <v>13369</v>
      </c>
    </row>
    <row r="6253" spans="1:6" x14ac:dyDescent="0.25">
      <c r="A6253" t="s">
        <v>11695</v>
      </c>
      <c r="B6253" t="s">
        <v>11696</v>
      </c>
      <c r="C6253" s="1">
        <v>44083</v>
      </c>
      <c r="D6253" t="b">
        <v>1</v>
      </c>
      <c r="E6253" t="s">
        <v>10</v>
      </c>
      <c r="F6253">
        <v>15075</v>
      </c>
    </row>
    <row r="6254" spans="1:6" x14ac:dyDescent="0.25">
      <c r="A6254" t="s">
        <v>11697</v>
      </c>
      <c r="B6254" t="s">
        <v>11698</v>
      </c>
      <c r="C6254" s="1">
        <v>44083</v>
      </c>
      <c r="D6254" t="b">
        <v>1</v>
      </c>
      <c r="E6254" t="s">
        <v>10</v>
      </c>
      <c r="F6254">
        <v>12366</v>
      </c>
    </row>
    <row r="6255" spans="1:6" x14ac:dyDescent="0.25">
      <c r="A6255" t="s">
        <v>11699</v>
      </c>
      <c r="B6255" t="s">
        <v>11700</v>
      </c>
      <c r="C6255" s="1">
        <v>44083</v>
      </c>
      <c r="D6255" t="b">
        <v>1</v>
      </c>
      <c r="E6255" t="s">
        <v>10</v>
      </c>
      <c r="F6255">
        <v>16871</v>
      </c>
    </row>
    <row r="6256" spans="1:6" x14ac:dyDescent="0.25">
      <c r="A6256" t="s">
        <v>11701</v>
      </c>
      <c r="B6256" t="s">
        <v>11702</v>
      </c>
      <c r="C6256" s="1">
        <v>44083</v>
      </c>
      <c r="D6256" t="b">
        <v>1</v>
      </c>
      <c r="E6256" t="s">
        <v>10</v>
      </c>
      <c r="F6256">
        <v>5368</v>
      </c>
    </row>
    <row r="6257" spans="1:6" x14ac:dyDescent="0.25">
      <c r="A6257" t="s">
        <v>11703</v>
      </c>
      <c r="B6257" t="s">
        <v>11704</v>
      </c>
      <c r="C6257" s="1">
        <v>44083</v>
      </c>
      <c r="D6257" t="b">
        <v>1</v>
      </c>
      <c r="E6257" t="s">
        <v>10</v>
      </c>
      <c r="F6257">
        <v>10468</v>
      </c>
    </row>
    <row r="6258" spans="1:6" x14ac:dyDescent="0.25">
      <c r="A6258" t="s">
        <v>11705</v>
      </c>
      <c r="C6258" s="1">
        <v>44083</v>
      </c>
      <c r="D6258" t="b">
        <v>1</v>
      </c>
      <c r="E6258" t="s">
        <v>10</v>
      </c>
      <c r="F6258">
        <v>17183</v>
      </c>
    </row>
    <row r="6259" spans="1:6" x14ac:dyDescent="0.25">
      <c r="A6259" t="s">
        <v>11706</v>
      </c>
      <c r="B6259" t="s">
        <v>11707</v>
      </c>
      <c r="C6259" s="1">
        <v>44083</v>
      </c>
      <c r="D6259" t="b">
        <v>1</v>
      </c>
      <c r="E6259" t="s">
        <v>10</v>
      </c>
      <c r="F6259">
        <v>16511</v>
      </c>
    </row>
    <row r="6260" spans="1:6" x14ac:dyDescent="0.25">
      <c r="A6260" t="s">
        <v>11708</v>
      </c>
      <c r="B6260" t="s">
        <v>11709</v>
      </c>
      <c r="C6260" s="1">
        <v>44083</v>
      </c>
      <c r="D6260" t="b">
        <v>1</v>
      </c>
      <c r="E6260" t="s">
        <v>10</v>
      </c>
      <c r="F6260">
        <v>5371</v>
      </c>
    </row>
    <row r="6261" spans="1:6" x14ac:dyDescent="0.25">
      <c r="A6261" t="s">
        <v>11710</v>
      </c>
      <c r="B6261" t="s">
        <v>11711</v>
      </c>
      <c r="C6261" s="1">
        <v>44083</v>
      </c>
      <c r="D6261" t="b">
        <v>1</v>
      </c>
      <c r="E6261" t="s">
        <v>10</v>
      </c>
      <c r="F6261">
        <v>8506</v>
      </c>
    </row>
    <row r="6262" spans="1:6" x14ac:dyDescent="0.25">
      <c r="A6262" t="s">
        <v>11712</v>
      </c>
      <c r="B6262" t="s">
        <v>11713</v>
      </c>
      <c r="C6262" s="1">
        <v>44083</v>
      </c>
      <c r="D6262" t="b">
        <v>1</v>
      </c>
      <c r="E6262" t="s">
        <v>10</v>
      </c>
      <c r="F6262">
        <v>5372</v>
      </c>
    </row>
    <row r="6263" spans="1:6" x14ac:dyDescent="0.25">
      <c r="A6263" t="s">
        <v>11714</v>
      </c>
      <c r="B6263" t="s">
        <v>11715</v>
      </c>
      <c r="C6263" s="1">
        <v>44083</v>
      </c>
      <c r="D6263" t="b">
        <v>1</v>
      </c>
      <c r="E6263" t="s">
        <v>10</v>
      </c>
      <c r="F6263">
        <v>5373</v>
      </c>
    </row>
    <row r="6264" spans="1:6" x14ac:dyDescent="0.25">
      <c r="A6264" t="s">
        <v>11716</v>
      </c>
      <c r="B6264" t="s">
        <v>11717</v>
      </c>
      <c r="C6264" s="1">
        <v>44083</v>
      </c>
      <c r="D6264" t="b">
        <v>1</v>
      </c>
      <c r="E6264" t="s">
        <v>10</v>
      </c>
      <c r="F6264">
        <v>8519</v>
      </c>
    </row>
    <row r="6265" spans="1:6" x14ac:dyDescent="0.25">
      <c r="A6265" t="s">
        <v>11718</v>
      </c>
      <c r="B6265" t="s">
        <v>11719</v>
      </c>
      <c r="C6265" s="1">
        <v>44083</v>
      </c>
      <c r="D6265" t="b">
        <v>1</v>
      </c>
      <c r="E6265" t="s">
        <v>10</v>
      </c>
      <c r="F6265">
        <v>5375</v>
      </c>
    </row>
    <row r="6266" spans="1:6" x14ac:dyDescent="0.25">
      <c r="A6266" t="s">
        <v>11720</v>
      </c>
      <c r="B6266" t="s">
        <v>11721</v>
      </c>
      <c r="C6266" s="1">
        <v>44083</v>
      </c>
      <c r="D6266" t="b">
        <v>1</v>
      </c>
      <c r="E6266" t="s">
        <v>10</v>
      </c>
      <c r="F6266">
        <v>16314</v>
      </c>
    </row>
    <row r="6267" spans="1:6" x14ac:dyDescent="0.25">
      <c r="A6267" t="s">
        <v>11722</v>
      </c>
      <c r="B6267" t="s">
        <v>11723</v>
      </c>
      <c r="C6267" s="1">
        <v>44083</v>
      </c>
      <c r="D6267" t="b">
        <v>1</v>
      </c>
      <c r="E6267" t="s">
        <v>10</v>
      </c>
      <c r="F6267">
        <v>5376</v>
      </c>
    </row>
    <row r="6268" spans="1:6" x14ac:dyDescent="0.25">
      <c r="A6268" t="s">
        <v>11724</v>
      </c>
      <c r="B6268" t="s">
        <v>11725</v>
      </c>
      <c r="C6268" s="1">
        <v>44083</v>
      </c>
      <c r="D6268" t="b">
        <v>1</v>
      </c>
      <c r="E6268" t="s">
        <v>10</v>
      </c>
      <c r="F6268">
        <v>5377</v>
      </c>
    </row>
    <row r="6269" spans="1:6" x14ac:dyDescent="0.25">
      <c r="A6269" t="s">
        <v>11726</v>
      </c>
      <c r="B6269" t="s">
        <v>11727</v>
      </c>
      <c r="C6269" s="1">
        <v>44083</v>
      </c>
      <c r="D6269" t="b">
        <v>1</v>
      </c>
      <c r="E6269" t="s">
        <v>10</v>
      </c>
      <c r="F6269">
        <v>5378</v>
      </c>
    </row>
    <row r="6270" spans="1:6" x14ac:dyDescent="0.25">
      <c r="A6270" t="s">
        <v>11728</v>
      </c>
      <c r="B6270" t="s">
        <v>11729</v>
      </c>
      <c r="C6270" s="1">
        <v>44083</v>
      </c>
      <c r="D6270" t="b">
        <v>1</v>
      </c>
      <c r="E6270" t="s">
        <v>10</v>
      </c>
      <c r="F6270">
        <v>5379</v>
      </c>
    </row>
    <row r="6271" spans="1:6" x14ac:dyDescent="0.25">
      <c r="A6271" t="s">
        <v>11730</v>
      </c>
      <c r="B6271" t="s">
        <v>11731</v>
      </c>
      <c r="C6271" s="1">
        <v>44083</v>
      </c>
      <c r="D6271" t="b">
        <v>1</v>
      </c>
      <c r="E6271" t="s">
        <v>10</v>
      </c>
      <c r="F6271">
        <v>8702</v>
      </c>
    </row>
    <row r="6272" spans="1:6" x14ac:dyDescent="0.25">
      <c r="A6272" t="s">
        <v>11732</v>
      </c>
      <c r="B6272" t="s">
        <v>5410</v>
      </c>
      <c r="C6272" s="1">
        <v>44083</v>
      </c>
      <c r="D6272" t="b">
        <v>1</v>
      </c>
      <c r="E6272" t="s">
        <v>10</v>
      </c>
      <c r="F6272">
        <v>5380</v>
      </c>
    </row>
    <row r="6273" spans="1:6" x14ac:dyDescent="0.25">
      <c r="A6273" t="s">
        <v>11733</v>
      </c>
      <c r="B6273" t="s">
        <v>11734</v>
      </c>
      <c r="C6273" s="1">
        <v>44083</v>
      </c>
      <c r="D6273" t="b">
        <v>1</v>
      </c>
      <c r="E6273" t="s">
        <v>10</v>
      </c>
      <c r="F6273">
        <v>5381</v>
      </c>
    </row>
    <row r="6274" spans="1:6" x14ac:dyDescent="0.25">
      <c r="A6274" t="s">
        <v>11735</v>
      </c>
      <c r="B6274" t="s">
        <v>11736</v>
      </c>
      <c r="C6274" s="1">
        <v>44083</v>
      </c>
      <c r="D6274" t="b">
        <v>1</v>
      </c>
      <c r="E6274" t="s">
        <v>10</v>
      </c>
      <c r="F6274">
        <v>5382</v>
      </c>
    </row>
    <row r="6275" spans="1:6" x14ac:dyDescent="0.25">
      <c r="A6275" t="s">
        <v>11737</v>
      </c>
      <c r="B6275" t="s">
        <v>11738</v>
      </c>
      <c r="C6275" s="1">
        <v>44083</v>
      </c>
      <c r="D6275" t="b">
        <v>1</v>
      </c>
      <c r="E6275" t="s">
        <v>10</v>
      </c>
      <c r="F6275">
        <v>15202</v>
      </c>
    </row>
    <row r="6276" spans="1:6" x14ac:dyDescent="0.25">
      <c r="A6276" t="s">
        <v>11739</v>
      </c>
      <c r="B6276" t="s">
        <v>11740</v>
      </c>
      <c r="C6276" s="1">
        <v>44083</v>
      </c>
      <c r="D6276" t="b">
        <v>1</v>
      </c>
      <c r="E6276" t="s">
        <v>10</v>
      </c>
      <c r="F6276">
        <v>5384</v>
      </c>
    </row>
    <row r="6277" spans="1:6" x14ac:dyDescent="0.25">
      <c r="A6277" t="s">
        <v>11741</v>
      </c>
      <c r="B6277" t="s">
        <v>11742</v>
      </c>
      <c r="C6277" s="1">
        <v>44083</v>
      </c>
      <c r="D6277" t="b">
        <v>1</v>
      </c>
      <c r="E6277" t="s">
        <v>10</v>
      </c>
      <c r="F6277">
        <v>5386</v>
      </c>
    </row>
    <row r="6278" spans="1:6" x14ac:dyDescent="0.25">
      <c r="A6278" t="s">
        <v>11743</v>
      </c>
      <c r="B6278" t="s">
        <v>11744</v>
      </c>
      <c r="C6278" s="1">
        <v>44083</v>
      </c>
      <c r="D6278" t="b">
        <v>1</v>
      </c>
      <c r="E6278" t="s">
        <v>10</v>
      </c>
      <c r="F6278">
        <v>5387</v>
      </c>
    </row>
    <row r="6279" spans="1:6" x14ac:dyDescent="0.25">
      <c r="A6279" t="s">
        <v>11745</v>
      </c>
      <c r="B6279" t="s">
        <v>11746</v>
      </c>
      <c r="C6279" s="1">
        <v>44083</v>
      </c>
      <c r="D6279" t="b">
        <v>1</v>
      </c>
      <c r="E6279" t="s">
        <v>10</v>
      </c>
      <c r="F6279">
        <v>8101</v>
      </c>
    </row>
    <row r="6280" spans="1:6" x14ac:dyDescent="0.25">
      <c r="A6280" t="s">
        <v>11747</v>
      </c>
      <c r="B6280" t="s">
        <v>11748</v>
      </c>
      <c r="C6280" s="1">
        <v>44083</v>
      </c>
      <c r="D6280" t="b">
        <v>1</v>
      </c>
      <c r="E6280" t="s">
        <v>10</v>
      </c>
      <c r="F6280">
        <v>5388</v>
      </c>
    </row>
    <row r="6281" spans="1:6" x14ac:dyDescent="0.25">
      <c r="A6281" t="s">
        <v>11749</v>
      </c>
      <c r="B6281" t="s">
        <v>11750</v>
      </c>
      <c r="C6281" s="1">
        <v>44083</v>
      </c>
      <c r="D6281" t="b">
        <v>1</v>
      </c>
      <c r="E6281" t="s">
        <v>10</v>
      </c>
      <c r="F6281">
        <v>7715</v>
      </c>
    </row>
    <row r="6282" spans="1:6" x14ac:dyDescent="0.25">
      <c r="A6282" t="s">
        <v>11751</v>
      </c>
      <c r="B6282" t="s">
        <v>11752</v>
      </c>
      <c r="C6282" s="1">
        <v>44083</v>
      </c>
      <c r="D6282" t="b">
        <v>1</v>
      </c>
      <c r="E6282" t="s">
        <v>10</v>
      </c>
      <c r="F6282">
        <v>5391</v>
      </c>
    </row>
    <row r="6283" spans="1:6" x14ac:dyDescent="0.25">
      <c r="A6283" t="s">
        <v>11753</v>
      </c>
      <c r="B6283" t="s">
        <v>11754</v>
      </c>
      <c r="C6283" s="1">
        <v>44083</v>
      </c>
      <c r="D6283" t="b">
        <v>1</v>
      </c>
      <c r="E6283" t="s">
        <v>10</v>
      </c>
      <c r="F6283">
        <v>5393</v>
      </c>
    </row>
    <row r="6284" spans="1:6" x14ac:dyDescent="0.25">
      <c r="A6284" t="s">
        <v>11755</v>
      </c>
      <c r="B6284" t="s">
        <v>11756</v>
      </c>
      <c r="C6284" s="1">
        <v>44083</v>
      </c>
      <c r="D6284" t="b">
        <v>1</v>
      </c>
      <c r="E6284" t="s">
        <v>10</v>
      </c>
      <c r="F6284">
        <v>5395</v>
      </c>
    </row>
    <row r="6285" spans="1:6" x14ac:dyDescent="0.25">
      <c r="A6285" t="s">
        <v>11757</v>
      </c>
      <c r="B6285" t="s">
        <v>11758</v>
      </c>
      <c r="C6285" s="1">
        <v>44083</v>
      </c>
      <c r="D6285" t="b">
        <v>1</v>
      </c>
      <c r="E6285" t="s">
        <v>10</v>
      </c>
      <c r="F6285">
        <v>14059</v>
      </c>
    </row>
    <row r="6286" spans="1:6" x14ac:dyDescent="0.25">
      <c r="A6286" t="s">
        <v>11759</v>
      </c>
      <c r="B6286" t="s">
        <v>11760</v>
      </c>
      <c r="C6286" s="1">
        <v>44083</v>
      </c>
      <c r="D6286" t="b">
        <v>1</v>
      </c>
      <c r="E6286" t="s">
        <v>10</v>
      </c>
      <c r="F6286">
        <v>16130</v>
      </c>
    </row>
    <row r="6287" spans="1:6" x14ac:dyDescent="0.25">
      <c r="A6287" t="s">
        <v>11761</v>
      </c>
      <c r="B6287" t="s">
        <v>11762</v>
      </c>
      <c r="C6287" s="1">
        <v>44083</v>
      </c>
      <c r="D6287" t="b">
        <v>1</v>
      </c>
      <c r="E6287" t="s">
        <v>10</v>
      </c>
      <c r="F6287">
        <v>5398</v>
      </c>
    </row>
    <row r="6288" spans="1:6" x14ac:dyDescent="0.25">
      <c r="A6288" t="s">
        <v>11763</v>
      </c>
      <c r="B6288" t="s">
        <v>11764</v>
      </c>
      <c r="C6288" s="1">
        <v>44083</v>
      </c>
      <c r="D6288" t="b">
        <v>1</v>
      </c>
      <c r="E6288" t="s">
        <v>10</v>
      </c>
      <c r="F6288">
        <v>5399</v>
      </c>
    </row>
    <row r="6289" spans="1:6" x14ac:dyDescent="0.25">
      <c r="A6289" t="s">
        <v>11765</v>
      </c>
      <c r="B6289" t="s">
        <v>11766</v>
      </c>
      <c r="C6289" s="1">
        <v>44083</v>
      </c>
      <c r="D6289" t="b">
        <v>1</v>
      </c>
      <c r="E6289" t="s">
        <v>10</v>
      </c>
      <c r="F6289">
        <v>9205</v>
      </c>
    </row>
    <row r="6290" spans="1:6" x14ac:dyDescent="0.25">
      <c r="A6290" t="s">
        <v>11767</v>
      </c>
      <c r="B6290" t="s">
        <v>11768</v>
      </c>
      <c r="C6290" s="1">
        <v>44083</v>
      </c>
      <c r="D6290" t="b">
        <v>1</v>
      </c>
      <c r="E6290" t="s">
        <v>10</v>
      </c>
      <c r="F6290">
        <v>5401</v>
      </c>
    </row>
    <row r="6291" spans="1:6" x14ac:dyDescent="0.25">
      <c r="A6291" t="s">
        <v>11769</v>
      </c>
      <c r="B6291" t="s">
        <v>11770</v>
      </c>
      <c r="C6291" s="1">
        <v>44083</v>
      </c>
      <c r="D6291" t="b">
        <v>1</v>
      </c>
      <c r="E6291" t="s">
        <v>10</v>
      </c>
      <c r="F6291">
        <v>5402</v>
      </c>
    </row>
    <row r="6292" spans="1:6" x14ac:dyDescent="0.25">
      <c r="A6292" t="s">
        <v>11771</v>
      </c>
      <c r="B6292" t="s">
        <v>11772</v>
      </c>
      <c r="C6292" s="1">
        <v>44083</v>
      </c>
      <c r="D6292" t="b">
        <v>1</v>
      </c>
      <c r="E6292" t="s">
        <v>10</v>
      </c>
      <c r="F6292">
        <v>5403</v>
      </c>
    </row>
    <row r="6293" spans="1:6" x14ac:dyDescent="0.25">
      <c r="A6293" t="s">
        <v>11773</v>
      </c>
      <c r="B6293" t="s">
        <v>11774</v>
      </c>
      <c r="C6293" s="1">
        <v>44083</v>
      </c>
      <c r="D6293" t="b">
        <v>1</v>
      </c>
      <c r="E6293" t="s">
        <v>10</v>
      </c>
      <c r="F6293">
        <v>5404</v>
      </c>
    </row>
    <row r="6294" spans="1:6" x14ac:dyDescent="0.25">
      <c r="A6294" t="s">
        <v>11775</v>
      </c>
      <c r="B6294" t="s">
        <v>11776</v>
      </c>
      <c r="C6294" s="1">
        <v>44083</v>
      </c>
      <c r="D6294" t="b">
        <v>1</v>
      </c>
      <c r="E6294" t="s">
        <v>10</v>
      </c>
      <c r="F6294">
        <v>15063</v>
      </c>
    </row>
    <row r="6295" spans="1:6" x14ac:dyDescent="0.25">
      <c r="A6295" t="s">
        <v>11777</v>
      </c>
      <c r="B6295" t="s">
        <v>11778</v>
      </c>
      <c r="C6295" s="1">
        <v>44083</v>
      </c>
      <c r="D6295" t="b">
        <v>1</v>
      </c>
      <c r="E6295" t="s">
        <v>10</v>
      </c>
      <c r="F6295">
        <v>16144</v>
      </c>
    </row>
    <row r="6296" spans="1:6" x14ac:dyDescent="0.25">
      <c r="A6296" t="s">
        <v>11779</v>
      </c>
      <c r="B6296" t="s">
        <v>11780</v>
      </c>
      <c r="C6296" s="1">
        <v>44083</v>
      </c>
      <c r="D6296" t="b">
        <v>1</v>
      </c>
      <c r="E6296" t="s">
        <v>10</v>
      </c>
      <c r="F6296">
        <v>5406</v>
      </c>
    </row>
    <row r="6297" spans="1:6" x14ac:dyDescent="0.25">
      <c r="A6297" t="s">
        <v>11781</v>
      </c>
      <c r="B6297" t="s">
        <v>11782</v>
      </c>
      <c r="C6297" s="1">
        <v>44083</v>
      </c>
      <c r="D6297" t="b">
        <v>1</v>
      </c>
      <c r="E6297" t="s">
        <v>10</v>
      </c>
      <c r="F6297">
        <v>14659</v>
      </c>
    </row>
    <row r="6298" spans="1:6" x14ac:dyDescent="0.25">
      <c r="A6298" t="s">
        <v>11783</v>
      </c>
      <c r="B6298" t="s">
        <v>11784</v>
      </c>
      <c r="C6298" s="1">
        <v>44083</v>
      </c>
      <c r="D6298" t="b">
        <v>1</v>
      </c>
      <c r="E6298" t="s">
        <v>10</v>
      </c>
      <c r="F6298">
        <v>5407</v>
      </c>
    </row>
    <row r="6299" spans="1:6" x14ac:dyDescent="0.25">
      <c r="A6299" t="s">
        <v>11785</v>
      </c>
      <c r="B6299" t="s">
        <v>11786</v>
      </c>
      <c r="C6299" s="1">
        <v>44083</v>
      </c>
      <c r="D6299" t="b">
        <v>1</v>
      </c>
      <c r="E6299" t="s">
        <v>10</v>
      </c>
      <c r="F6299">
        <v>5408</v>
      </c>
    </row>
    <row r="6300" spans="1:6" x14ac:dyDescent="0.25">
      <c r="A6300" t="s">
        <v>11787</v>
      </c>
      <c r="B6300" t="s">
        <v>11788</v>
      </c>
      <c r="C6300" s="1">
        <v>44083</v>
      </c>
      <c r="D6300" t="b">
        <v>1</v>
      </c>
      <c r="E6300" t="s">
        <v>10</v>
      </c>
      <c r="F6300">
        <v>5410</v>
      </c>
    </row>
    <row r="6301" spans="1:6" x14ac:dyDescent="0.25">
      <c r="A6301" t="s">
        <v>11789</v>
      </c>
      <c r="B6301" t="s">
        <v>11790</v>
      </c>
      <c r="C6301" s="1">
        <v>44083</v>
      </c>
      <c r="D6301" t="b">
        <v>1</v>
      </c>
      <c r="E6301" t="s">
        <v>10</v>
      </c>
      <c r="F6301">
        <v>15472</v>
      </c>
    </row>
    <row r="6302" spans="1:6" x14ac:dyDescent="0.25">
      <c r="A6302" t="s">
        <v>11791</v>
      </c>
      <c r="C6302" s="1">
        <v>44083</v>
      </c>
      <c r="D6302" t="b">
        <v>1</v>
      </c>
      <c r="E6302" t="s">
        <v>10</v>
      </c>
      <c r="F6302">
        <v>15516</v>
      </c>
    </row>
    <row r="6303" spans="1:6" x14ac:dyDescent="0.25">
      <c r="A6303" t="s">
        <v>11792</v>
      </c>
      <c r="B6303" t="s">
        <v>11790</v>
      </c>
      <c r="C6303" s="1">
        <v>44083</v>
      </c>
      <c r="D6303" t="b">
        <v>1</v>
      </c>
      <c r="E6303" t="s">
        <v>10</v>
      </c>
      <c r="F6303">
        <v>15259</v>
      </c>
    </row>
    <row r="6304" spans="1:6" x14ac:dyDescent="0.25">
      <c r="A6304" t="s">
        <v>11793</v>
      </c>
      <c r="B6304" t="s">
        <v>11794</v>
      </c>
      <c r="C6304" s="1">
        <v>44083</v>
      </c>
      <c r="D6304" t="b">
        <v>1</v>
      </c>
      <c r="E6304" t="s">
        <v>10</v>
      </c>
      <c r="F6304">
        <v>5412</v>
      </c>
    </row>
    <row r="6305" spans="1:6" x14ac:dyDescent="0.25">
      <c r="A6305" t="s">
        <v>11795</v>
      </c>
      <c r="B6305" t="s">
        <v>11796</v>
      </c>
      <c r="C6305" s="1">
        <v>44083</v>
      </c>
      <c r="D6305" t="b">
        <v>1</v>
      </c>
      <c r="E6305" t="s">
        <v>10</v>
      </c>
      <c r="F6305">
        <v>8281</v>
      </c>
    </row>
    <row r="6306" spans="1:6" x14ac:dyDescent="0.25">
      <c r="A6306" t="s">
        <v>11797</v>
      </c>
      <c r="C6306" s="1">
        <v>44083</v>
      </c>
      <c r="D6306" t="b">
        <v>1</v>
      </c>
      <c r="E6306" t="s">
        <v>10</v>
      </c>
      <c r="F6306">
        <v>12213</v>
      </c>
    </row>
    <row r="6307" spans="1:6" x14ac:dyDescent="0.25">
      <c r="A6307" t="s">
        <v>11798</v>
      </c>
      <c r="B6307" t="s">
        <v>11799</v>
      </c>
      <c r="C6307" s="1">
        <v>44083</v>
      </c>
      <c r="D6307" t="b">
        <v>1</v>
      </c>
      <c r="E6307" t="s">
        <v>10</v>
      </c>
      <c r="F6307">
        <v>5415</v>
      </c>
    </row>
    <row r="6308" spans="1:6" x14ac:dyDescent="0.25">
      <c r="A6308" t="s">
        <v>11800</v>
      </c>
      <c r="B6308" t="s">
        <v>11801</v>
      </c>
      <c r="C6308" s="1">
        <v>44083</v>
      </c>
      <c r="D6308" t="b">
        <v>1</v>
      </c>
      <c r="E6308" t="s">
        <v>10</v>
      </c>
      <c r="F6308">
        <v>5416</v>
      </c>
    </row>
    <row r="6309" spans="1:6" x14ac:dyDescent="0.25">
      <c r="A6309" t="s">
        <v>11802</v>
      </c>
      <c r="B6309" t="s">
        <v>11803</v>
      </c>
      <c r="C6309" s="1">
        <v>44083</v>
      </c>
      <c r="D6309" t="b">
        <v>1</v>
      </c>
      <c r="E6309" t="s">
        <v>10</v>
      </c>
      <c r="F6309">
        <v>5418</v>
      </c>
    </row>
    <row r="6310" spans="1:6" x14ac:dyDescent="0.25">
      <c r="A6310" t="s">
        <v>11804</v>
      </c>
      <c r="B6310" t="s">
        <v>11805</v>
      </c>
      <c r="C6310" s="1">
        <v>44083</v>
      </c>
      <c r="D6310" t="b">
        <v>1</v>
      </c>
      <c r="E6310" t="s">
        <v>10</v>
      </c>
      <c r="F6310">
        <v>15868</v>
      </c>
    </row>
    <row r="6311" spans="1:6" x14ac:dyDescent="0.25">
      <c r="A6311" t="s">
        <v>11806</v>
      </c>
      <c r="B6311" t="s">
        <v>11807</v>
      </c>
      <c r="C6311" s="1">
        <v>44083</v>
      </c>
      <c r="D6311" t="b">
        <v>1</v>
      </c>
      <c r="E6311" t="s">
        <v>10</v>
      </c>
      <c r="F6311">
        <v>5419</v>
      </c>
    </row>
    <row r="6312" spans="1:6" x14ac:dyDescent="0.25">
      <c r="A6312" t="s">
        <v>11808</v>
      </c>
      <c r="B6312" t="s">
        <v>11809</v>
      </c>
      <c r="C6312" s="1">
        <v>44083</v>
      </c>
      <c r="D6312" t="b">
        <v>1</v>
      </c>
      <c r="E6312" t="s">
        <v>10</v>
      </c>
      <c r="F6312">
        <v>11932</v>
      </c>
    </row>
    <row r="6313" spans="1:6" x14ac:dyDescent="0.25">
      <c r="A6313" t="s">
        <v>11810</v>
      </c>
      <c r="C6313" s="1">
        <v>44083</v>
      </c>
      <c r="D6313" t="b">
        <v>1</v>
      </c>
      <c r="E6313" t="s">
        <v>10</v>
      </c>
      <c r="F6313">
        <v>11939</v>
      </c>
    </row>
    <row r="6314" spans="1:6" x14ac:dyDescent="0.25">
      <c r="A6314" t="s">
        <v>11811</v>
      </c>
      <c r="B6314" t="s">
        <v>11812</v>
      </c>
      <c r="C6314" s="1">
        <v>44083</v>
      </c>
      <c r="D6314" t="b">
        <v>1</v>
      </c>
      <c r="E6314" t="s">
        <v>10</v>
      </c>
      <c r="F6314">
        <v>5420</v>
      </c>
    </row>
    <row r="6315" spans="1:6" x14ac:dyDescent="0.25">
      <c r="A6315" t="s">
        <v>11813</v>
      </c>
      <c r="B6315" t="s">
        <v>11814</v>
      </c>
      <c r="C6315" s="1">
        <v>44083</v>
      </c>
      <c r="D6315" t="b">
        <v>1</v>
      </c>
      <c r="E6315" t="s">
        <v>10</v>
      </c>
      <c r="F6315">
        <v>15081</v>
      </c>
    </row>
    <row r="6316" spans="1:6" x14ac:dyDescent="0.25">
      <c r="A6316" t="s">
        <v>11815</v>
      </c>
      <c r="B6316" t="s">
        <v>11816</v>
      </c>
      <c r="C6316" s="1">
        <v>44083</v>
      </c>
      <c r="D6316" t="b">
        <v>1</v>
      </c>
      <c r="E6316" t="s">
        <v>10</v>
      </c>
      <c r="F6316">
        <v>5421</v>
      </c>
    </row>
    <row r="6317" spans="1:6" x14ac:dyDescent="0.25">
      <c r="A6317" t="s">
        <v>11817</v>
      </c>
      <c r="B6317" t="s">
        <v>11818</v>
      </c>
      <c r="C6317" s="1">
        <v>44083</v>
      </c>
      <c r="D6317" t="b">
        <v>1</v>
      </c>
      <c r="E6317" t="s">
        <v>10</v>
      </c>
      <c r="F6317">
        <v>11594</v>
      </c>
    </row>
    <row r="6318" spans="1:6" x14ac:dyDescent="0.25">
      <c r="A6318" t="s">
        <v>11819</v>
      </c>
      <c r="C6318" s="1">
        <v>44083</v>
      </c>
      <c r="D6318" t="b">
        <v>1</v>
      </c>
      <c r="E6318" t="s">
        <v>10</v>
      </c>
      <c r="F6318">
        <v>17215</v>
      </c>
    </row>
    <row r="6319" spans="1:6" x14ac:dyDescent="0.25">
      <c r="A6319" t="s">
        <v>11820</v>
      </c>
      <c r="B6319" t="s">
        <v>11821</v>
      </c>
      <c r="C6319" s="1">
        <v>44083</v>
      </c>
      <c r="D6319" t="b">
        <v>1</v>
      </c>
      <c r="E6319" t="s">
        <v>10</v>
      </c>
      <c r="F6319">
        <v>15923</v>
      </c>
    </row>
    <row r="6320" spans="1:6" x14ac:dyDescent="0.25">
      <c r="A6320" t="s">
        <v>11822</v>
      </c>
      <c r="C6320" s="1">
        <v>44083</v>
      </c>
      <c r="D6320" t="b">
        <v>1</v>
      </c>
      <c r="E6320" t="s">
        <v>10</v>
      </c>
      <c r="F6320">
        <v>16040</v>
      </c>
    </row>
    <row r="6321" spans="1:6" x14ac:dyDescent="0.25">
      <c r="A6321" t="s">
        <v>11823</v>
      </c>
      <c r="B6321" t="s">
        <v>11824</v>
      </c>
      <c r="C6321" s="1">
        <v>44083</v>
      </c>
      <c r="D6321" t="b">
        <v>1</v>
      </c>
      <c r="E6321" t="s">
        <v>10</v>
      </c>
      <c r="F6321">
        <v>15825</v>
      </c>
    </row>
    <row r="6322" spans="1:6" x14ac:dyDescent="0.25">
      <c r="A6322" t="s">
        <v>11825</v>
      </c>
      <c r="B6322" t="s">
        <v>11826</v>
      </c>
      <c r="C6322" s="1">
        <v>44083</v>
      </c>
      <c r="D6322" t="b">
        <v>1</v>
      </c>
      <c r="E6322" t="s">
        <v>10</v>
      </c>
      <c r="F6322">
        <v>5422</v>
      </c>
    </row>
    <row r="6323" spans="1:6" x14ac:dyDescent="0.25">
      <c r="A6323" t="s">
        <v>11827</v>
      </c>
      <c r="B6323" t="s">
        <v>11828</v>
      </c>
      <c r="C6323" s="1">
        <v>44083</v>
      </c>
      <c r="D6323" t="b">
        <v>1</v>
      </c>
      <c r="E6323" t="s">
        <v>10</v>
      </c>
      <c r="F6323">
        <v>5423</v>
      </c>
    </row>
    <row r="6324" spans="1:6" x14ac:dyDescent="0.25">
      <c r="A6324" t="s">
        <v>11829</v>
      </c>
      <c r="B6324" t="s">
        <v>11830</v>
      </c>
      <c r="C6324" s="1">
        <v>44083</v>
      </c>
      <c r="D6324" t="b">
        <v>1</v>
      </c>
      <c r="E6324" t="s">
        <v>10</v>
      </c>
      <c r="F6324">
        <v>5424</v>
      </c>
    </row>
    <row r="6325" spans="1:6" x14ac:dyDescent="0.25">
      <c r="A6325" t="s">
        <v>11831</v>
      </c>
      <c r="B6325" t="s">
        <v>11832</v>
      </c>
      <c r="C6325" s="1">
        <v>44083</v>
      </c>
      <c r="D6325" t="b">
        <v>1</v>
      </c>
      <c r="E6325" t="s">
        <v>10</v>
      </c>
      <c r="F6325">
        <v>5425</v>
      </c>
    </row>
    <row r="6326" spans="1:6" x14ac:dyDescent="0.25">
      <c r="A6326" t="s">
        <v>11833</v>
      </c>
      <c r="B6326" t="s">
        <v>11834</v>
      </c>
      <c r="C6326" s="1">
        <v>44083</v>
      </c>
      <c r="D6326" t="b">
        <v>1</v>
      </c>
      <c r="E6326" t="s">
        <v>10</v>
      </c>
      <c r="F6326">
        <v>5426</v>
      </c>
    </row>
    <row r="6327" spans="1:6" x14ac:dyDescent="0.25">
      <c r="A6327" t="s">
        <v>11835</v>
      </c>
      <c r="B6327" t="s">
        <v>11836</v>
      </c>
      <c r="C6327" s="1">
        <v>44083</v>
      </c>
      <c r="D6327" t="b">
        <v>1</v>
      </c>
      <c r="E6327" t="s">
        <v>10</v>
      </c>
      <c r="F6327">
        <v>8419</v>
      </c>
    </row>
    <row r="6328" spans="1:6" x14ac:dyDescent="0.25">
      <c r="A6328" t="s">
        <v>11837</v>
      </c>
      <c r="C6328" s="1">
        <v>44083</v>
      </c>
      <c r="D6328" t="b">
        <v>1</v>
      </c>
      <c r="E6328" t="s">
        <v>10</v>
      </c>
      <c r="F6328">
        <v>14285</v>
      </c>
    </row>
    <row r="6329" spans="1:6" x14ac:dyDescent="0.25">
      <c r="A6329" t="s">
        <v>11838</v>
      </c>
      <c r="B6329" t="s">
        <v>11839</v>
      </c>
      <c r="C6329" s="1">
        <v>44083</v>
      </c>
      <c r="D6329" t="b">
        <v>1</v>
      </c>
      <c r="E6329" t="s">
        <v>10</v>
      </c>
      <c r="F6329">
        <v>5428</v>
      </c>
    </row>
    <row r="6330" spans="1:6" x14ac:dyDescent="0.25">
      <c r="A6330" t="s">
        <v>11840</v>
      </c>
      <c r="B6330" t="s">
        <v>11841</v>
      </c>
      <c r="C6330" s="1">
        <v>44083</v>
      </c>
      <c r="D6330" t="b">
        <v>1</v>
      </c>
      <c r="E6330" t="s">
        <v>10</v>
      </c>
      <c r="F6330">
        <v>13787</v>
      </c>
    </row>
    <row r="6331" spans="1:6" x14ac:dyDescent="0.25">
      <c r="A6331" t="s">
        <v>11842</v>
      </c>
      <c r="B6331" t="s">
        <v>11843</v>
      </c>
      <c r="C6331" s="1">
        <v>44083</v>
      </c>
      <c r="D6331" t="b">
        <v>1</v>
      </c>
      <c r="E6331" t="s">
        <v>10</v>
      </c>
      <c r="F6331">
        <v>5430</v>
      </c>
    </row>
    <row r="6332" spans="1:6" x14ac:dyDescent="0.25">
      <c r="A6332" t="s">
        <v>11844</v>
      </c>
      <c r="B6332" t="s">
        <v>11845</v>
      </c>
      <c r="C6332" s="1">
        <v>44083</v>
      </c>
      <c r="D6332" t="b">
        <v>1</v>
      </c>
      <c r="E6332" t="s">
        <v>10</v>
      </c>
      <c r="F6332">
        <v>5431</v>
      </c>
    </row>
    <row r="6333" spans="1:6" x14ac:dyDescent="0.25">
      <c r="A6333" t="s">
        <v>11846</v>
      </c>
      <c r="B6333" t="s">
        <v>11847</v>
      </c>
      <c r="C6333" s="1">
        <v>44083</v>
      </c>
      <c r="D6333" t="b">
        <v>1</v>
      </c>
      <c r="E6333" t="s">
        <v>10</v>
      </c>
      <c r="F6333">
        <v>7795</v>
      </c>
    </row>
    <row r="6334" spans="1:6" x14ac:dyDescent="0.25">
      <c r="A6334" t="s">
        <v>11848</v>
      </c>
      <c r="B6334" t="s">
        <v>11849</v>
      </c>
      <c r="C6334" s="1">
        <v>44083</v>
      </c>
      <c r="D6334" t="b">
        <v>1</v>
      </c>
      <c r="E6334" t="s">
        <v>10</v>
      </c>
      <c r="F6334">
        <v>16219</v>
      </c>
    </row>
    <row r="6335" spans="1:6" x14ac:dyDescent="0.25">
      <c r="A6335" t="s">
        <v>11850</v>
      </c>
      <c r="B6335" t="s">
        <v>11851</v>
      </c>
      <c r="C6335" s="1">
        <v>44083</v>
      </c>
      <c r="D6335" t="b">
        <v>1</v>
      </c>
      <c r="E6335" t="s">
        <v>10</v>
      </c>
      <c r="F6335">
        <v>16027</v>
      </c>
    </row>
    <row r="6336" spans="1:6" x14ac:dyDescent="0.25">
      <c r="A6336" t="s">
        <v>11852</v>
      </c>
      <c r="B6336" t="s">
        <v>11853</v>
      </c>
      <c r="C6336" s="1">
        <v>44083</v>
      </c>
      <c r="D6336" t="b">
        <v>1</v>
      </c>
      <c r="E6336" t="s">
        <v>10</v>
      </c>
      <c r="F6336">
        <v>15552</v>
      </c>
    </row>
    <row r="6337" spans="1:6" x14ac:dyDescent="0.25">
      <c r="A6337" t="s">
        <v>11854</v>
      </c>
      <c r="B6337" t="s">
        <v>11855</v>
      </c>
      <c r="C6337" s="1">
        <v>44083</v>
      </c>
      <c r="D6337" t="b">
        <v>1</v>
      </c>
      <c r="E6337" t="s">
        <v>10</v>
      </c>
      <c r="F6337">
        <v>5432</v>
      </c>
    </row>
    <row r="6338" spans="1:6" x14ac:dyDescent="0.25">
      <c r="A6338" t="s">
        <v>11856</v>
      </c>
      <c r="B6338" t="s">
        <v>11857</v>
      </c>
      <c r="C6338" s="1">
        <v>44083</v>
      </c>
      <c r="D6338" t="b">
        <v>1</v>
      </c>
      <c r="E6338" t="s">
        <v>10</v>
      </c>
      <c r="F6338">
        <v>5439</v>
      </c>
    </row>
    <row r="6339" spans="1:6" x14ac:dyDescent="0.25">
      <c r="A6339" t="s">
        <v>11858</v>
      </c>
      <c r="B6339" t="s">
        <v>11859</v>
      </c>
      <c r="C6339" s="1">
        <v>44083</v>
      </c>
      <c r="D6339" t="b">
        <v>1</v>
      </c>
      <c r="E6339" t="s">
        <v>10</v>
      </c>
      <c r="F6339">
        <v>10233</v>
      </c>
    </row>
    <row r="6340" spans="1:6" x14ac:dyDescent="0.25">
      <c r="A6340" t="s">
        <v>11860</v>
      </c>
      <c r="B6340" t="s">
        <v>11861</v>
      </c>
      <c r="C6340" s="1">
        <v>44083</v>
      </c>
      <c r="D6340" t="b">
        <v>1</v>
      </c>
      <c r="E6340" t="s">
        <v>10</v>
      </c>
      <c r="F6340">
        <v>12172</v>
      </c>
    </row>
    <row r="6341" spans="1:6" x14ac:dyDescent="0.25">
      <c r="A6341" t="s">
        <v>11862</v>
      </c>
      <c r="B6341" t="s">
        <v>11863</v>
      </c>
      <c r="C6341" s="1">
        <v>44083</v>
      </c>
      <c r="D6341" t="b">
        <v>1</v>
      </c>
      <c r="E6341" t="s">
        <v>10</v>
      </c>
      <c r="F6341">
        <v>5437</v>
      </c>
    </row>
    <row r="6342" spans="1:6" x14ac:dyDescent="0.25">
      <c r="A6342" t="s">
        <v>11864</v>
      </c>
      <c r="B6342" t="s">
        <v>11865</v>
      </c>
      <c r="C6342" s="1">
        <v>44083</v>
      </c>
      <c r="D6342" t="b">
        <v>1</v>
      </c>
      <c r="E6342" t="s">
        <v>10</v>
      </c>
      <c r="F6342">
        <v>15346</v>
      </c>
    </row>
    <row r="6343" spans="1:6" x14ac:dyDescent="0.25">
      <c r="A6343" t="s">
        <v>11866</v>
      </c>
      <c r="C6343" s="1">
        <v>44083</v>
      </c>
      <c r="D6343" t="b">
        <v>1</v>
      </c>
      <c r="E6343" t="s">
        <v>10</v>
      </c>
      <c r="F6343">
        <v>5440</v>
      </c>
    </row>
    <row r="6344" spans="1:6" x14ac:dyDescent="0.25">
      <c r="A6344" t="s">
        <v>11867</v>
      </c>
      <c r="B6344" t="s">
        <v>11868</v>
      </c>
      <c r="C6344" s="1">
        <v>44083</v>
      </c>
      <c r="D6344" t="b">
        <v>1</v>
      </c>
      <c r="E6344" t="s">
        <v>10</v>
      </c>
      <c r="F6344">
        <v>5442</v>
      </c>
    </row>
    <row r="6345" spans="1:6" x14ac:dyDescent="0.25">
      <c r="A6345" t="s">
        <v>11869</v>
      </c>
      <c r="B6345" t="s">
        <v>11870</v>
      </c>
      <c r="C6345" s="1">
        <v>44083</v>
      </c>
      <c r="D6345" t="b">
        <v>1</v>
      </c>
      <c r="E6345" t="s">
        <v>10</v>
      </c>
      <c r="F6345">
        <v>10561</v>
      </c>
    </row>
    <row r="6346" spans="1:6" x14ac:dyDescent="0.25">
      <c r="A6346" t="s">
        <v>11871</v>
      </c>
      <c r="B6346" t="s">
        <v>11441</v>
      </c>
      <c r="C6346" s="1">
        <v>44083</v>
      </c>
      <c r="D6346" t="b">
        <v>1</v>
      </c>
      <c r="E6346" t="s">
        <v>10</v>
      </c>
      <c r="F6346">
        <v>14900</v>
      </c>
    </row>
    <row r="6347" spans="1:6" x14ac:dyDescent="0.25">
      <c r="A6347" t="s">
        <v>11872</v>
      </c>
      <c r="B6347" t="s">
        <v>11873</v>
      </c>
      <c r="C6347" s="1">
        <v>44083</v>
      </c>
      <c r="D6347" t="b">
        <v>1</v>
      </c>
      <c r="E6347" t="s">
        <v>10</v>
      </c>
      <c r="F6347">
        <v>15798</v>
      </c>
    </row>
    <row r="6348" spans="1:6" x14ac:dyDescent="0.25">
      <c r="A6348" t="s">
        <v>11874</v>
      </c>
      <c r="B6348" t="s">
        <v>11875</v>
      </c>
      <c r="C6348" s="1">
        <v>44083</v>
      </c>
      <c r="D6348" t="b">
        <v>1</v>
      </c>
      <c r="E6348" t="s">
        <v>10</v>
      </c>
      <c r="F6348">
        <v>12193</v>
      </c>
    </row>
    <row r="6349" spans="1:6" x14ac:dyDescent="0.25">
      <c r="A6349" t="s">
        <v>11876</v>
      </c>
      <c r="B6349" t="s">
        <v>11877</v>
      </c>
      <c r="C6349" s="1">
        <v>44083</v>
      </c>
      <c r="D6349" t="b">
        <v>1</v>
      </c>
      <c r="E6349" t="s">
        <v>10</v>
      </c>
      <c r="F6349">
        <v>5444</v>
      </c>
    </row>
    <row r="6350" spans="1:6" x14ac:dyDescent="0.25">
      <c r="A6350" t="s">
        <v>11878</v>
      </c>
      <c r="B6350" t="s">
        <v>11879</v>
      </c>
      <c r="C6350" s="1">
        <v>44083</v>
      </c>
      <c r="D6350" t="b">
        <v>1</v>
      </c>
      <c r="E6350" t="s">
        <v>10</v>
      </c>
      <c r="F6350">
        <v>5445</v>
      </c>
    </row>
    <row r="6351" spans="1:6" x14ac:dyDescent="0.25">
      <c r="A6351" t="s">
        <v>11880</v>
      </c>
      <c r="B6351" t="s">
        <v>11881</v>
      </c>
      <c r="C6351" s="1">
        <v>44083</v>
      </c>
      <c r="D6351" t="b">
        <v>1</v>
      </c>
      <c r="E6351" t="s">
        <v>10</v>
      </c>
      <c r="F6351">
        <v>5447</v>
      </c>
    </row>
    <row r="6352" spans="1:6" x14ac:dyDescent="0.25">
      <c r="A6352" t="s">
        <v>11882</v>
      </c>
      <c r="B6352" t="s">
        <v>11883</v>
      </c>
      <c r="C6352" s="1">
        <v>44083</v>
      </c>
      <c r="D6352" t="b">
        <v>1</v>
      </c>
      <c r="E6352" t="s">
        <v>10</v>
      </c>
      <c r="F6352">
        <v>5448</v>
      </c>
    </row>
    <row r="6353" spans="1:6" x14ac:dyDescent="0.25">
      <c r="A6353" t="s">
        <v>11884</v>
      </c>
      <c r="B6353" t="s">
        <v>11885</v>
      </c>
      <c r="C6353" s="1">
        <v>44083</v>
      </c>
      <c r="D6353" t="b">
        <v>1</v>
      </c>
      <c r="E6353" t="s">
        <v>10</v>
      </c>
      <c r="F6353">
        <v>5450</v>
      </c>
    </row>
    <row r="6354" spans="1:6" x14ac:dyDescent="0.25">
      <c r="A6354" t="s">
        <v>11886</v>
      </c>
      <c r="B6354" t="s">
        <v>11887</v>
      </c>
      <c r="C6354" s="1">
        <v>44083</v>
      </c>
      <c r="D6354" t="b">
        <v>1</v>
      </c>
      <c r="E6354" t="s">
        <v>10</v>
      </c>
      <c r="F6354">
        <v>5451</v>
      </c>
    </row>
    <row r="6355" spans="1:6" x14ac:dyDescent="0.25">
      <c r="A6355" t="s">
        <v>11888</v>
      </c>
      <c r="B6355" t="s">
        <v>11889</v>
      </c>
      <c r="C6355" s="1">
        <v>44083</v>
      </c>
      <c r="D6355" t="b">
        <v>1</v>
      </c>
      <c r="E6355" t="s">
        <v>10</v>
      </c>
      <c r="F6355">
        <v>5452</v>
      </c>
    </row>
    <row r="6356" spans="1:6" x14ac:dyDescent="0.25">
      <c r="A6356" t="s">
        <v>11890</v>
      </c>
      <c r="B6356" t="s">
        <v>11891</v>
      </c>
      <c r="C6356" s="1">
        <v>44083</v>
      </c>
      <c r="D6356" t="b">
        <v>1</v>
      </c>
      <c r="E6356" t="s">
        <v>10</v>
      </c>
      <c r="F6356">
        <v>5454</v>
      </c>
    </row>
    <row r="6357" spans="1:6" x14ac:dyDescent="0.25">
      <c r="A6357" t="s">
        <v>11892</v>
      </c>
      <c r="B6357" t="s">
        <v>11893</v>
      </c>
      <c r="C6357" s="1">
        <v>44083</v>
      </c>
      <c r="D6357" t="b">
        <v>1</v>
      </c>
      <c r="E6357" t="s">
        <v>10</v>
      </c>
      <c r="F6357">
        <v>5455</v>
      </c>
    </row>
    <row r="6358" spans="1:6" x14ac:dyDescent="0.25">
      <c r="A6358" t="s">
        <v>11894</v>
      </c>
      <c r="B6358" t="s">
        <v>11895</v>
      </c>
      <c r="C6358" s="1">
        <v>44083</v>
      </c>
      <c r="D6358" t="b">
        <v>1</v>
      </c>
      <c r="E6358" t="s">
        <v>10</v>
      </c>
      <c r="F6358">
        <v>5461</v>
      </c>
    </row>
    <row r="6359" spans="1:6" x14ac:dyDescent="0.25">
      <c r="A6359" t="s">
        <v>11896</v>
      </c>
      <c r="B6359" t="s">
        <v>11897</v>
      </c>
      <c r="C6359" s="1">
        <v>44083</v>
      </c>
      <c r="D6359" t="b">
        <v>1</v>
      </c>
      <c r="E6359" t="s">
        <v>10</v>
      </c>
      <c r="F6359">
        <v>252</v>
      </c>
    </row>
    <row r="6360" spans="1:6" x14ac:dyDescent="0.25">
      <c r="A6360" t="s">
        <v>11898</v>
      </c>
      <c r="B6360" t="s">
        <v>11899</v>
      </c>
      <c r="C6360" s="1">
        <v>44083</v>
      </c>
      <c r="D6360" t="b">
        <v>1</v>
      </c>
      <c r="E6360" t="s">
        <v>10</v>
      </c>
      <c r="F6360">
        <v>15101</v>
      </c>
    </row>
    <row r="6361" spans="1:6" x14ac:dyDescent="0.25">
      <c r="A6361" t="s">
        <v>11900</v>
      </c>
      <c r="B6361" t="s">
        <v>11901</v>
      </c>
      <c r="C6361" s="1">
        <v>44083</v>
      </c>
      <c r="D6361" t="b">
        <v>1</v>
      </c>
      <c r="E6361" t="s">
        <v>10</v>
      </c>
      <c r="F6361">
        <v>15746</v>
      </c>
    </row>
    <row r="6362" spans="1:6" x14ac:dyDescent="0.25">
      <c r="A6362" t="s">
        <v>11902</v>
      </c>
      <c r="B6362" t="s">
        <v>11903</v>
      </c>
      <c r="C6362" s="1">
        <v>44083</v>
      </c>
      <c r="D6362" t="b">
        <v>1</v>
      </c>
      <c r="E6362" t="s">
        <v>10</v>
      </c>
      <c r="F6362">
        <v>9363</v>
      </c>
    </row>
    <row r="6363" spans="1:6" x14ac:dyDescent="0.25">
      <c r="A6363" t="s">
        <v>11904</v>
      </c>
      <c r="B6363" t="s">
        <v>11905</v>
      </c>
      <c r="C6363" s="1">
        <v>44083</v>
      </c>
      <c r="D6363" t="b">
        <v>1</v>
      </c>
      <c r="E6363" t="s">
        <v>10</v>
      </c>
      <c r="F6363">
        <v>5462</v>
      </c>
    </row>
    <row r="6364" spans="1:6" x14ac:dyDescent="0.25">
      <c r="A6364" t="s">
        <v>11906</v>
      </c>
      <c r="B6364" t="s">
        <v>11907</v>
      </c>
      <c r="C6364" s="1">
        <v>44083</v>
      </c>
      <c r="D6364" t="b">
        <v>1</v>
      </c>
      <c r="E6364" t="s">
        <v>10</v>
      </c>
      <c r="F6364">
        <v>15957</v>
      </c>
    </row>
    <row r="6365" spans="1:6" x14ac:dyDescent="0.25">
      <c r="A6365" t="s">
        <v>11908</v>
      </c>
      <c r="B6365" t="s">
        <v>11909</v>
      </c>
      <c r="C6365" s="1">
        <v>44083</v>
      </c>
      <c r="D6365" t="b">
        <v>1</v>
      </c>
      <c r="E6365" t="s">
        <v>10</v>
      </c>
      <c r="F6365">
        <v>5464</v>
      </c>
    </row>
    <row r="6366" spans="1:6" x14ac:dyDescent="0.25">
      <c r="A6366" t="s">
        <v>11910</v>
      </c>
      <c r="B6366" t="s">
        <v>11911</v>
      </c>
      <c r="C6366" s="1">
        <v>44083</v>
      </c>
      <c r="D6366" t="b">
        <v>1</v>
      </c>
      <c r="E6366" t="s">
        <v>10</v>
      </c>
      <c r="F6366">
        <v>5466</v>
      </c>
    </row>
    <row r="6367" spans="1:6" x14ac:dyDescent="0.25">
      <c r="A6367" t="s">
        <v>11912</v>
      </c>
      <c r="B6367" t="s">
        <v>11913</v>
      </c>
      <c r="C6367" s="1">
        <v>44083</v>
      </c>
      <c r="D6367" t="b">
        <v>1</v>
      </c>
      <c r="E6367" t="s">
        <v>10</v>
      </c>
      <c r="F6367">
        <v>5467</v>
      </c>
    </row>
    <row r="6368" spans="1:6" x14ac:dyDescent="0.25">
      <c r="A6368" t="s">
        <v>11914</v>
      </c>
      <c r="B6368" t="s">
        <v>11915</v>
      </c>
      <c r="C6368" s="1">
        <v>44083</v>
      </c>
      <c r="D6368" t="b">
        <v>1</v>
      </c>
      <c r="E6368" t="s">
        <v>10</v>
      </c>
      <c r="F6368">
        <v>14964</v>
      </c>
    </row>
    <row r="6369" spans="1:6" x14ac:dyDescent="0.25">
      <c r="A6369" t="s">
        <v>11916</v>
      </c>
      <c r="B6369" t="s">
        <v>11917</v>
      </c>
      <c r="C6369" s="1">
        <v>44083</v>
      </c>
      <c r="D6369" t="b">
        <v>1</v>
      </c>
      <c r="E6369" t="s">
        <v>10</v>
      </c>
      <c r="F6369">
        <v>14529</v>
      </c>
    </row>
    <row r="6370" spans="1:6" x14ac:dyDescent="0.25">
      <c r="A6370" t="s">
        <v>11918</v>
      </c>
      <c r="B6370" t="s">
        <v>11919</v>
      </c>
      <c r="C6370" s="1">
        <v>44083</v>
      </c>
      <c r="D6370" t="b">
        <v>1</v>
      </c>
      <c r="E6370" t="s">
        <v>10</v>
      </c>
      <c r="F6370">
        <v>5469</v>
      </c>
    </row>
    <row r="6371" spans="1:6" x14ac:dyDescent="0.25">
      <c r="A6371" t="s">
        <v>11920</v>
      </c>
      <c r="B6371" t="s">
        <v>11921</v>
      </c>
      <c r="C6371" s="1">
        <v>44083</v>
      </c>
      <c r="D6371" t="b">
        <v>1</v>
      </c>
      <c r="E6371" t="s">
        <v>10</v>
      </c>
      <c r="F6371">
        <v>15527</v>
      </c>
    </row>
    <row r="6372" spans="1:6" x14ac:dyDescent="0.25">
      <c r="A6372" t="s">
        <v>11922</v>
      </c>
      <c r="B6372" t="s">
        <v>11923</v>
      </c>
      <c r="C6372" s="1">
        <v>44083</v>
      </c>
      <c r="D6372" t="b">
        <v>1</v>
      </c>
      <c r="E6372" t="s">
        <v>10</v>
      </c>
      <c r="F6372">
        <v>10226</v>
      </c>
    </row>
    <row r="6373" spans="1:6" x14ac:dyDescent="0.25">
      <c r="A6373" t="s">
        <v>11924</v>
      </c>
      <c r="B6373" t="s">
        <v>11925</v>
      </c>
      <c r="C6373" s="1">
        <v>44083</v>
      </c>
      <c r="D6373" t="b">
        <v>1</v>
      </c>
      <c r="E6373" t="s">
        <v>10</v>
      </c>
      <c r="F6373">
        <v>5473</v>
      </c>
    </row>
    <row r="6374" spans="1:6" x14ac:dyDescent="0.25">
      <c r="A6374" t="s">
        <v>11926</v>
      </c>
      <c r="B6374" t="s">
        <v>11927</v>
      </c>
      <c r="C6374" s="1">
        <v>44083</v>
      </c>
      <c r="D6374" t="b">
        <v>1</v>
      </c>
      <c r="E6374" t="s">
        <v>10</v>
      </c>
      <c r="F6374">
        <v>5475</v>
      </c>
    </row>
    <row r="6375" spans="1:6" x14ac:dyDescent="0.25">
      <c r="A6375" t="s">
        <v>11928</v>
      </c>
      <c r="B6375" t="s">
        <v>11929</v>
      </c>
      <c r="C6375" s="1">
        <v>44083</v>
      </c>
      <c r="D6375" t="b">
        <v>1</v>
      </c>
      <c r="E6375" t="s">
        <v>10</v>
      </c>
      <c r="F6375">
        <v>16727</v>
      </c>
    </row>
    <row r="6376" spans="1:6" x14ac:dyDescent="0.25">
      <c r="A6376" t="s">
        <v>11930</v>
      </c>
      <c r="B6376" t="s">
        <v>11931</v>
      </c>
      <c r="C6376" s="1">
        <v>44083</v>
      </c>
      <c r="D6376" t="b">
        <v>1</v>
      </c>
      <c r="E6376" t="s">
        <v>10</v>
      </c>
      <c r="F6376">
        <v>11133</v>
      </c>
    </row>
    <row r="6377" spans="1:6" x14ac:dyDescent="0.25">
      <c r="A6377" t="s">
        <v>11932</v>
      </c>
      <c r="B6377" t="s">
        <v>11933</v>
      </c>
      <c r="C6377" s="1">
        <v>44083</v>
      </c>
      <c r="D6377" t="b">
        <v>1</v>
      </c>
      <c r="E6377" t="s">
        <v>10</v>
      </c>
      <c r="F6377">
        <v>5477</v>
      </c>
    </row>
    <row r="6378" spans="1:6" x14ac:dyDescent="0.25">
      <c r="A6378" t="s">
        <v>11934</v>
      </c>
      <c r="B6378" t="s">
        <v>11935</v>
      </c>
      <c r="C6378" s="1">
        <v>44083</v>
      </c>
      <c r="D6378" t="b">
        <v>1</v>
      </c>
      <c r="E6378" t="s">
        <v>10</v>
      </c>
      <c r="F6378">
        <v>14067</v>
      </c>
    </row>
    <row r="6379" spans="1:6" x14ac:dyDescent="0.25">
      <c r="A6379" t="s">
        <v>11936</v>
      </c>
      <c r="B6379" t="s">
        <v>11937</v>
      </c>
      <c r="C6379" s="1">
        <v>44083</v>
      </c>
      <c r="D6379" t="b">
        <v>1</v>
      </c>
      <c r="E6379" t="s">
        <v>10</v>
      </c>
      <c r="F6379">
        <v>5479</v>
      </c>
    </row>
    <row r="6380" spans="1:6" x14ac:dyDescent="0.25">
      <c r="A6380" t="s">
        <v>11938</v>
      </c>
      <c r="B6380" t="s">
        <v>11939</v>
      </c>
      <c r="C6380" s="1">
        <v>44083</v>
      </c>
      <c r="D6380" t="b">
        <v>1</v>
      </c>
      <c r="E6380" t="s">
        <v>10</v>
      </c>
      <c r="F6380">
        <v>5480</v>
      </c>
    </row>
    <row r="6381" spans="1:6" x14ac:dyDescent="0.25">
      <c r="A6381" t="s">
        <v>11940</v>
      </c>
      <c r="B6381" t="s">
        <v>11941</v>
      </c>
      <c r="C6381" s="1">
        <v>44083</v>
      </c>
      <c r="D6381" t="b">
        <v>1</v>
      </c>
      <c r="E6381" t="s">
        <v>10</v>
      </c>
      <c r="F6381">
        <v>5481</v>
      </c>
    </row>
    <row r="6382" spans="1:6" x14ac:dyDescent="0.25">
      <c r="A6382" t="s">
        <v>11942</v>
      </c>
      <c r="B6382" t="s">
        <v>11943</v>
      </c>
      <c r="C6382" s="1">
        <v>44083</v>
      </c>
      <c r="D6382" t="b">
        <v>1</v>
      </c>
      <c r="E6382" t="s">
        <v>10</v>
      </c>
      <c r="F6382">
        <v>5482</v>
      </c>
    </row>
    <row r="6383" spans="1:6" x14ac:dyDescent="0.25">
      <c r="A6383" t="s">
        <v>11944</v>
      </c>
      <c r="B6383" t="s">
        <v>11945</v>
      </c>
      <c r="C6383" s="1">
        <v>44083</v>
      </c>
      <c r="D6383" t="b">
        <v>1</v>
      </c>
      <c r="E6383" t="s">
        <v>10</v>
      </c>
      <c r="F6383">
        <v>8314</v>
      </c>
    </row>
    <row r="6384" spans="1:6" x14ac:dyDescent="0.25">
      <c r="A6384" t="s">
        <v>11946</v>
      </c>
      <c r="B6384" t="s">
        <v>11947</v>
      </c>
      <c r="C6384" s="1">
        <v>44083</v>
      </c>
      <c r="D6384" t="b">
        <v>1</v>
      </c>
      <c r="E6384" t="s">
        <v>10</v>
      </c>
      <c r="F6384">
        <v>5483</v>
      </c>
    </row>
    <row r="6385" spans="1:6" x14ac:dyDescent="0.25">
      <c r="A6385" t="s">
        <v>11948</v>
      </c>
      <c r="B6385" t="s">
        <v>11949</v>
      </c>
      <c r="C6385" s="1">
        <v>44083</v>
      </c>
      <c r="D6385" t="b">
        <v>1</v>
      </c>
      <c r="E6385" t="s">
        <v>10</v>
      </c>
      <c r="F6385">
        <v>11901</v>
      </c>
    </row>
    <row r="6386" spans="1:6" x14ac:dyDescent="0.25">
      <c r="A6386" t="s">
        <v>11950</v>
      </c>
      <c r="B6386" t="s">
        <v>11951</v>
      </c>
      <c r="C6386" s="1">
        <v>44083</v>
      </c>
      <c r="D6386" t="b">
        <v>1</v>
      </c>
      <c r="E6386" t="s">
        <v>10</v>
      </c>
      <c r="F6386">
        <v>8838</v>
      </c>
    </row>
    <row r="6387" spans="1:6" x14ac:dyDescent="0.25">
      <c r="A6387" t="s">
        <v>11952</v>
      </c>
      <c r="C6387" s="1">
        <v>44083</v>
      </c>
      <c r="D6387" t="b">
        <v>1</v>
      </c>
      <c r="E6387" t="s">
        <v>10</v>
      </c>
      <c r="F6387">
        <v>13671</v>
      </c>
    </row>
    <row r="6388" spans="1:6" x14ac:dyDescent="0.25">
      <c r="A6388" t="s">
        <v>11953</v>
      </c>
      <c r="B6388" t="s">
        <v>11954</v>
      </c>
      <c r="C6388" s="1">
        <v>44083</v>
      </c>
      <c r="D6388" t="b">
        <v>1</v>
      </c>
      <c r="E6388" t="s">
        <v>10</v>
      </c>
      <c r="F6388">
        <v>5485</v>
      </c>
    </row>
    <row r="6389" spans="1:6" x14ac:dyDescent="0.25">
      <c r="A6389" t="s">
        <v>11955</v>
      </c>
      <c r="B6389" t="s">
        <v>11441</v>
      </c>
      <c r="C6389" s="1">
        <v>44083</v>
      </c>
      <c r="D6389" t="b">
        <v>1</v>
      </c>
      <c r="E6389" t="s">
        <v>10</v>
      </c>
      <c r="F6389">
        <v>16570</v>
      </c>
    </row>
    <row r="6390" spans="1:6" x14ac:dyDescent="0.25">
      <c r="A6390" t="s">
        <v>11956</v>
      </c>
      <c r="B6390" t="s">
        <v>11957</v>
      </c>
      <c r="C6390" s="1">
        <v>44083</v>
      </c>
      <c r="D6390" t="b">
        <v>1</v>
      </c>
      <c r="E6390" t="s">
        <v>10</v>
      </c>
      <c r="F6390">
        <v>16700</v>
      </c>
    </row>
    <row r="6391" spans="1:6" x14ac:dyDescent="0.25">
      <c r="A6391" t="s">
        <v>11958</v>
      </c>
      <c r="B6391" t="s">
        <v>11959</v>
      </c>
      <c r="C6391" s="1">
        <v>44083</v>
      </c>
      <c r="D6391" t="b">
        <v>1</v>
      </c>
      <c r="E6391" t="s">
        <v>10</v>
      </c>
      <c r="F6391">
        <v>5486</v>
      </c>
    </row>
    <row r="6392" spans="1:6" x14ac:dyDescent="0.25">
      <c r="A6392" t="s">
        <v>11960</v>
      </c>
      <c r="B6392" t="s">
        <v>11961</v>
      </c>
      <c r="C6392" s="1">
        <v>44083</v>
      </c>
      <c r="D6392" t="b">
        <v>1</v>
      </c>
      <c r="E6392" t="s">
        <v>10</v>
      </c>
      <c r="F6392">
        <v>5489</v>
      </c>
    </row>
    <row r="6393" spans="1:6" x14ac:dyDescent="0.25">
      <c r="A6393" t="s">
        <v>11962</v>
      </c>
      <c r="B6393" t="s">
        <v>11963</v>
      </c>
      <c r="C6393" s="1">
        <v>44083</v>
      </c>
      <c r="D6393" t="b">
        <v>1</v>
      </c>
      <c r="E6393" t="s">
        <v>10</v>
      </c>
      <c r="F6393">
        <v>5490</v>
      </c>
    </row>
    <row r="6394" spans="1:6" x14ac:dyDescent="0.25">
      <c r="A6394" t="s">
        <v>11964</v>
      </c>
      <c r="B6394" t="s">
        <v>11965</v>
      </c>
      <c r="C6394" s="1">
        <v>44083</v>
      </c>
      <c r="D6394" t="b">
        <v>1</v>
      </c>
      <c r="E6394" t="s">
        <v>10</v>
      </c>
      <c r="F6394">
        <v>5491</v>
      </c>
    </row>
    <row r="6395" spans="1:6" x14ac:dyDescent="0.25">
      <c r="A6395" t="s">
        <v>11966</v>
      </c>
      <c r="B6395" t="s">
        <v>11967</v>
      </c>
      <c r="C6395" s="1">
        <v>44083</v>
      </c>
      <c r="D6395" t="b">
        <v>1</v>
      </c>
      <c r="E6395" t="s">
        <v>10</v>
      </c>
      <c r="F6395">
        <v>5493</v>
      </c>
    </row>
    <row r="6396" spans="1:6" x14ac:dyDescent="0.25">
      <c r="A6396" t="s">
        <v>11968</v>
      </c>
      <c r="B6396" t="s">
        <v>11969</v>
      </c>
      <c r="C6396" s="1">
        <v>44083</v>
      </c>
      <c r="D6396" t="b">
        <v>1</v>
      </c>
      <c r="E6396" t="s">
        <v>10</v>
      </c>
      <c r="F6396">
        <v>5494</v>
      </c>
    </row>
    <row r="6397" spans="1:6" x14ac:dyDescent="0.25">
      <c r="A6397" t="s">
        <v>11970</v>
      </c>
      <c r="B6397" t="s">
        <v>11971</v>
      </c>
      <c r="C6397" s="1">
        <v>44083</v>
      </c>
      <c r="D6397" t="b">
        <v>1</v>
      </c>
      <c r="E6397" t="s">
        <v>10</v>
      </c>
      <c r="F6397">
        <v>5496</v>
      </c>
    </row>
    <row r="6398" spans="1:6" x14ac:dyDescent="0.25">
      <c r="A6398" t="s">
        <v>11972</v>
      </c>
      <c r="B6398" t="s">
        <v>11973</v>
      </c>
      <c r="C6398" s="1">
        <v>44083</v>
      </c>
      <c r="D6398" t="b">
        <v>1</v>
      </c>
      <c r="E6398" t="s">
        <v>10</v>
      </c>
      <c r="F6398">
        <v>5498</v>
      </c>
    </row>
    <row r="6399" spans="1:6" x14ac:dyDescent="0.25">
      <c r="A6399" t="s">
        <v>11974</v>
      </c>
      <c r="C6399" s="1">
        <v>44083</v>
      </c>
      <c r="D6399" t="b">
        <v>1</v>
      </c>
      <c r="E6399" t="s">
        <v>10</v>
      </c>
      <c r="F6399">
        <v>12470</v>
      </c>
    </row>
    <row r="6400" spans="1:6" x14ac:dyDescent="0.25">
      <c r="A6400" t="s">
        <v>11975</v>
      </c>
      <c r="C6400" s="1">
        <v>44083</v>
      </c>
      <c r="D6400" t="b">
        <v>1</v>
      </c>
      <c r="E6400" t="s">
        <v>10</v>
      </c>
      <c r="F6400">
        <v>13105</v>
      </c>
    </row>
    <row r="6401" spans="1:6" x14ac:dyDescent="0.25">
      <c r="A6401" t="s">
        <v>11976</v>
      </c>
      <c r="B6401" t="s">
        <v>11977</v>
      </c>
      <c r="C6401" s="1">
        <v>44083</v>
      </c>
      <c r="D6401" t="b">
        <v>1</v>
      </c>
      <c r="E6401" t="s">
        <v>10</v>
      </c>
      <c r="F6401">
        <v>5500</v>
      </c>
    </row>
    <row r="6402" spans="1:6" x14ac:dyDescent="0.25">
      <c r="A6402" t="s">
        <v>11978</v>
      </c>
      <c r="B6402" t="s">
        <v>11979</v>
      </c>
      <c r="C6402" s="1">
        <v>44083</v>
      </c>
      <c r="D6402" t="b">
        <v>1</v>
      </c>
      <c r="E6402" t="s">
        <v>10</v>
      </c>
      <c r="F6402">
        <v>5501</v>
      </c>
    </row>
    <row r="6403" spans="1:6" x14ac:dyDescent="0.25">
      <c r="A6403" t="s">
        <v>11980</v>
      </c>
      <c r="B6403" t="s">
        <v>11981</v>
      </c>
      <c r="C6403" s="1">
        <v>44083</v>
      </c>
      <c r="D6403" t="b">
        <v>1</v>
      </c>
      <c r="E6403" t="s">
        <v>10</v>
      </c>
      <c r="F6403">
        <v>5502</v>
      </c>
    </row>
    <row r="6404" spans="1:6" x14ac:dyDescent="0.25">
      <c r="A6404" t="s">
        <v>11982</v>
      </c>
      <c r="C6404" s="1">
        <v>44083</v>
      </c>
      <c r="D6404" t="b">
        <v>1</v>
      </c>
      <c r="E6404" t="s">
        <v>10</v>
      </c>
      <c r="F6404">
        <v>5503</v>
      </c>
    </row>
    <row r="6405" spans="1:6" x14ac:dyDescent="0.25">
      <c r="A6405" t="s">
        <v>11983</v>
      </c>
      <c r="B6405" t="s">
        <v>11984</v>
      </c>
      <c r="C6405" s="1">
        <v>44083</v>
      </c>
      <c r="D6405" t="b">
        <v>1</v>
      </c>
      <c r="E6405" t="s">
        <v>10</v>
      </c>
      <c r="F6405">
        <v>5505</v>
      </c>
    </row>
    <row r="6406" spans="1:6" x14ac:dyDescent="0.25">
      <c r="A6406" t="s">
        <v>11985</v>
      </c>
      <c r="B6406" t="s">
        <v>11986</v>
      </c>
      <c r="C6406" s="1">
        <v>44083</v>
      </c>
      <c r="D6406" t="b">
        <v>1</v>
      </c>
      <c r="E6406" t="s">
        <v>10</v>
      </c>
      <c r="F6406">
        <v>5506</v>
      </c>
    </row>
    <row r="6407" spans="1:6" x14ac:dyDescent="0.25">
      <c r="A6407" t="s">
        <v>11987</v>
      </c>
      <c r="C6407" s="1">
        <v>44083</v>
      </c>
      <c r="D6407" t="b">
        <v>1</v>
      </c>
      <c r="E6407" t="s">
        <v>10</v>
      </c>
      <c r="F6407">
        <v>16789</v>
      </c>
    </row>
    <row r="6408" spans="1:6" x14ac:dyDescent="0.25">
      <c r="A6408" t="s">
        <v>11988</v>
      </c>
      <c r="B6408" t="s">
        <v>11989</v>
      </c>
      <c r="C6408" s="1">
        <v>44083</v>
      </c>
      <c r="D6408" t="b">
        <v>1</v>
      </c>
      <c r="E6408" t="s">
        <v>10</v>
      </c>
      <c r="F6408">
        <v>5508</v>
      </c>
    </row>
    <row r="6409" spans="1:6" x14ac:dyDescent="0.25">
      <c r="A6409" t="s">
        <v>11990</v>
      </c>
      <c r="B6409" t="s">
        <v>11991</v>
      </c>
      <c r="C6409" s="1">
        <v>44083</v>
      </c>
      <c r="D6409" t="b">
        <v>1</v>
      </c>
      <c r="E6409" t="s">
        <v>10</v>
      </c>
      <c r="F6409">
        <v>5510</v>
      </c>
    </row>
    <row r="6410" spans="1:6" x14ac:dyDescent="0.25">
      <c r="A6410" t="s">
        <v>11992</v>
      </c>
      <c r="B6410" t="s">
        <v>11993</v>
      </c>
      <c r="C6410" s="1">
        <v>44083</v>
      </c>
      <c r="D6410" t="b">
        <v>1</v>
      </c>
      <c r="E6410" t="s">
        <v>10</v>
      </c>
      <c r="F6410">
        <v>5511</v>
      </c>
    </row>
    <row r="6411" spans="1:6" x14ac:dyDescent="0.25">
      <c r="A6411" t="s">
        <v>11994</v>
      </c>
      <c r="C6411" s="1">
        <v>44083</v>
      </c>
      <c r="D6411" t="b">
        <v>1</v>
      </c>
      <c r="E6411" t="s">
        <v>10</v>
      </c>
      <c r="F6411">
        <v>16145</v>
      </c>
    </row>
    <row r="6412" spans="1:6" x14ac:dyDescent="0.25">
      <c r="A6412" t="s">
        <v>11995</v>
      </c>
      <c r="B6412" t="s">
        <v>11996</v>
      </c>
      <c r="C6412" s="1">
        <v>44083</v>
      </c>
      <c r="D6412" t="b">
        <v>1</v>
      </c>
      <c r="E6412" t="s">
        <v>10</v>
      </c>
      <c r="F6412">
        <v>16250</v>
      </c>
    </row>
    <row r="6413" spans="1:6" x14ac:dyDescent="0.25">
      <c r="A6413" t="s">
        <v>11997</v>
      </c>
      <c r="B6413" t="s">
        <v>11998</v>
      </c>
      <c r="C6413" s="1">
        <v>44083</v>
      </c>
      <c r="D6413" t="b">
        <v>1</v>
      </c>
      <c r="E6413" t="s">
        <v>10</v>
      </c>
      <c r="F6413">
        <v>5512</v>
      </c>
    </row>
    <row r="6414" spans="1:6" x14ac:dyDescent="0.25">
      <c r="A6414" t="s">
        <v>11999</v>
      </c>
      <c r="B6414" t="s">
        <v>12000</v>
      </c>
      <c r="C6414" s="1">
        <v>44083</v>
      </c>
      <c r="D6414" t="b">
        <v>1</v>
      </c>
      <c r="E6414" t="s">
        <v>10</v>
      </c>
      <c r="F6414">
        <v>5513</v>
      </c>
    </row>
    <row r="6415" spans="1:6" x14ac:dyDescent="0.25">
      <c r="A6415" t="s">
        <v>12001</v>
      </c>
      <c r="B6415" t="s">
        <v>12002</v>
      </c>
      <c r="C6415" s="1">
        <v>44083</v>
      </c>
      <c r="D6415" t="b">
        <v>1</v>
      </c>
      <c r="E6415" t="s">
        <v>10</v>
      </c>
      <c r="F6415">
        <v>5515</v>
      </c>
    </row>
    <row r="6416" spans="1:6" x14ac:dyDescent="0.25">
      <c r="A6416" t="s">
        <v>12003</v>
      </c>
      <c r="B6416" t="s">
        <v>12004</v>
      </c>
      <c r="C6416" s="1">
        <v>44083</v>
      </c>
      <c r="D6416" t="b">
        <v>1</v>
      </c>
      <c r="E6416" t="s">
        <v>10</v>
      </c>
      <c r="F6416">
        <v>16035</v>
      </c>
    </row>
    <row r="6417" spans="1:6" x14ac:dyDescent="0.25">
      <c r="A6417" t="s">
        <v>12005</v>
      </c>
      <c r="B6417" t="s">
        <v>12006</v>
      </c>
      <c r="C6417" s="1">
        <v>44083</v>
      </c>
      <c r="D6417" t="b">
        <v>1</v>
      </c>
      <c r="E6417" t="s">
        <v>10</v>
      </c>
      <c r="F6417">
        <v>5518</v>
      </c>
    </row>
    <row r="6418" spans="1:6" x14ac:dyDescent="0.25">
      <c r="A6418" t="s">
        <v>12007</v>
      </c>
      <c r="B6418" t="s">
        <v>12008</v>
      </c>
      <c r="C6418" s="1">
        <v>44083</v>
      </c>
      <c r="D6418" t="b">
        <v>1</v>
      </c>
      <c r="E6418" t="s">
        <v>10</v>
      </c>
      <c r="F6418">
        <v>9594</v>
      </c>
    </row>
    <row r="6419" spans="1:6" x14ac:dyDescent="0.25">
      <c r="A6419" t="s">
        <v>12009</v>
      </c>
      <c r="B6419" t="s">
        <v>12010</v>
      </c>
      <c r="C6419" s="1">
        <v>44083</v>
      </c>
      <c r="D6419" t="b">
        <v>1</v>
      </c>
      <c r="E6419" t="s">
        <v>10</v>
      </c>
      <c r="F6419">
        <v>15093</v>
      </c>
    </row>
    <row r="6420" spans="1:6" x14ac:dyDescent="0.25">
      <c r="A6420" t="s">
        <v>12011</v>
      </c>
      <c r="B6420" t="s">
        <v>12012</v>
      </c>
      <c r="C6420" s="1">
        <v>44083</v>
      </c>
      <c r="D6420" t="b">
        <v>1</v>
      </c>
      <c r="E6420" t="s">
        <v>10</v>
      </c>
      <c r="F6420">
        <v>5521</v>
      </c>
    </row>
    <row r="6421" spans="1:6" x14ac:dyDescent="0.25">
      <c r="A6421" t="s">
        <v>12013</v>
      </c>
      <c r="B6421" t="s">
        <v>12014</v>
      </c>
      <c r="C6421" s="1">
        <v>44083</v>
      </c>
      <c r="D6421" t="b">
        <v>1</v>
      </c>
      <c r="E6421" t="s">
        <v>10</v>
      </c>
      <c r="F6421">
        <v>11902</v>
      </c>
    </row>
    <row r="6422" spans="1:6" x14ac:dyDescent="0.25">
      <c r="A6422" t="s">
        <v>12015</v>
      </c>
      <c r="B6422" t="s">
        <v>12016</v>
      </c>
      <c r="C6422" s="1">
        <v>44083</v>
      </c>
      <c r="D6422" t="b">
        <v>1</v>
      </c>
      <c r="E6422" t="s">
        <v>10</v>
      </c>
      <c r="F6422">
        <v>5524</v>
      </c>
    </row>
    <row r="6423" spans="1:6" x14ac:dyDescent="0.25">
      <c r="A6423" t="s">
        <v>12017</v>
      </c>
      <c r="B6423" t="s">
        <v>12018</v>
      </c>
      <c r="C6423" s="1">
        <v>44083</v>
      </c>
      <c r="D6423" t="b">
        <v>1</v>
      </c>
      <c r="E6423" t="s">
        <v>10</v>
      </c>
      <c r="F6423">
        <v>5526</v>
      </c>
    </row>
    <row r="6424" spans="1:6" x14ac:dyDescent="0.25">
      <c r="A6424" t="s">
        <v>12019</v>
      </c>
      <c r="B6424" t="s">
        <v>12020</v>
      </c>
      <c r="C6424" s="1">
        <v>44083</v>
      </c>
      <c r="D6424" t="b">
        <v>1</v>
      </c>
      <c r="E6424" t="s">
        <v>10</v>
      </c>
      <c r="F6424">
        <v>5527</v>
      </c>
    </row>
    <row r="6425" spans="1:6" x14ac:dyDescent="0.25">
      <c r="A6425" t="s">
        <v>12021</v>
      </c>
      <c r="B6425" t="s">
        <v>12022</v>
      </c>
      <c r="C6425" s="1">
        <v>44083</v>
      </c>
      <c r="D6425" t="b">
        <v>1</v>
      </c>
      <c r="E6425" t="s">
        <v>10</v>
      </c>
      <c r="F6425">
        <v>16082</v>
      </c>
    </row>
    <row r="6426" spans="1:6" x14ac:dyDescent="0.25">
      <c r="A6426" t="s">
        <v>12023</v>
      </c>
      <c r="B6426" t="s">
        <v>12024</v>
      </c>
      <c r="C6426" s="1">
        <v>44083</v>
      </c>
      <c r="D6426" t="b">
        <v>1</v>
      </c>
      <c r="E6426" t="s">
        <v>10</v>
      </c>
      <c r="F6426">
        <v>5529</v>
      </c>
    </row>
    <row r="6427" spans="1:6" x14ac:dyDescent="0.25">
      <c r="A6427" t="s">
        <v>12025</v>
      </c>
      <c r="B6427" t="s">
        <v>12026</v>
      </c>
      <c r="C6427" s="1">
        <v>44083</v>
      </c>
      <c r="D6427" t="b">
        <v>1</v>
      </c>
      <c r="E6427" t="s">
        <v>10</v>
      </c>
      <c r="F6427">
        <v>5530</v>
      </c>
    </row>
    <row r="6428" spans="1:6" x14ac:dyDescent="0.25">
      <c r="A6428" t="s">
        <v>12027</v>
      </c>
      <c r="B6428" t="s">
        <v>12028</v>
      </c>
      <c r="C6428" s="1">
        <v>44083</v>
      </c>
      <c r="D6428" t="b">
        <v>1</v>
      </c>
      <c r="E6428" t="s">
        <v>10</v>
      </c>
      <c r="F6428">
        <v>5533</v>
      </c>
    </row>
    <row r="6429" spans="1:6" x14ac:dyDescent="0.25">
      <c r="A6429" t="s">
        <v>12029</v>
      </c>
      <c r="B6429" t="s">
        <v>12030</v>
      </c>
      <c r="C6429" s="1">
        <v>44083</v>
      </c>
      <c r="D6429" t="b">
        <v>1</v>
      </c>
      <c r="E6429" t="s">
        <v>10</v>
      </c>
      <c r="F6429">
        <v>5534</v>
      </c>
    </row>
    <row r="6430" spans="1:6" x14ac:dyDescent="0.25">
      <c r="A6430" t="s">
        <v>12031</v>
      </c>
      <c r="B6430" t="s">
        <v>12032</v>
      </c>
      <c r="C6430" s="1">
        <v>44083</v>
      </c>
      <c r="D6430" t="b">
        <v>1</v>
      </c>
      <c r="E6430" t="s">
        <v>10</v>
      </c>
      <c r="F6430">
        <v>5535</v>
      </c>
    </row>
    <row r="6431" spans="1:6" x14ac:dyDescent="0.25">
      <c r="A6431" t="s">
        <v>12033</v>
      </c>
      <c r="B6431" t="s">
        <v>12034</v>
      </c>
      <c r="C6431" s="1">
        <v>44083</v>
      </c>
      <c r="D6431" t="b">
        <v>1</v>
      </c>
      <c r="E6431" t="s">
        <v>10</v>
      </c>
      <c r="F6431">
        <v>16470</v>
      </c>
    </row>
    <row r="6432" spans="1:6" x14ac:dyDescent="0.25">
      <c r="A6432" t="s">
        <v>12035</v>
      </c>
      <c r="B6432" t="s">
        <v>12036</v>
      </c>
      <c r="C6432" s="1">
        <v>44083</v>
      </c>
      <c r="D6432" t="b">
        <v>1</v>
      </c>
      <c r="E6432" t="s">
        <v>10</v>
      </c>
      <c r="F6432">
        <v>14159</v>
      </c>
    </row>
    <row r="6433" spans="1:6" x14ac:dyDescent="0.25">
      <c r="A6433" t="s">
        <v>12037</v>
      </c>
      <c r="B6433" t="s">
        <v>12038</v>
      </c>
      <c r="C6433" s="1">
        <v>44083</v>
      </c>
      <c r="D6433" t="b">
        <v>1</v>
      </c>
      <c r="E6433" t="s">
        <v>10</v>
      </c>
      <c r="F6433">
        <v>14160</v>
      </c>
    </row>
    <row r="6434" spans="1:6" x14ac:dyDescent="0.25">
      <c r="A6434" t="s">
        <v>12039</v>
      </c>
      <c r="B6434" t="s">
        <v>12040</v>
      </c>
      <c r="C6434" s="1">
        <v>44083</v>
      </c>
      <c r="D6434" t="b">
        <v>1</v>
      </c>
      <c r="E6434" t="s">
        <v>10</v>
      </c>
      <c r="F6434">
        <v>5536</v>
      </c>
    </row>
    <row r="6435" spans="1:6" x14ac:dyDescent="0.25">
      <c r="A6435" t="s">
        <v>12041</v>
      </c>
      <c r="B6435" t="s">
        <v>12042</v>
      </c>
      <c r="C6435" s="1">
        <v>44083</v>
      </c>
      <c r="D6435" t="b">
        <v>1</v>
      </c>
      <c r="E6435" t="s">
        <v>10</v>
      </c>
      <c r="F6435">
        <v>5537</v>
      </c>
    </row>
    <row r="6436" spans="1:6" x14ac:dyDescent="0.25">
      <c r="A6436" t="s">
        <v>12043</v>
      </c>
      <c r="B6436" t="s">
        <v>12044</v>
      </c>
      <c r="C6436" s="1">
        <v>44083</v>
      </c>
      <c r="D6436" t="b">
        <v>1</v>
      </c>
      <c r="E6436" t="s">
        <v>10</v>
      </c>
      <c r="F6436">
        <v>4354</v>
      </c>
    </row>
    <row r="6437" spans="1:6" x14ac:dyDescent="0.25">
      <c r="A6437" t="s">
        <v>12045</v>
      </c>
      <c r="B6437" t="s">
        <v>12046</v>
      </c>
      <c r="C6437" s="1">
        <v>44083</v>
      </c>
      <c r="D6437" t="b">
        <v>1</v>
      </c>
      <c r="E6437" t="s">
        <v>10</v>
      </c>
      <c r="F6437">
        <v>5539</v>
      </c>
    </row>
    <row r="6438" spans="1:6" x14ac:dyDescent="0.25">
      <c r="A6438" t="s">
        <v>12047</v>
      </c>
      <c r="B6438" t="s">
        <v>12048</v>
      </c>
      <c r="C6438" s="1">
        <v>44083</v>
      </c>
      <c r="D6438" t="b">
        <v>1</v>
      </c>
      <c r="E6438" t="s">
        <v>10</v>
      </c>
      <c r="F6438">
        <v>9643</v>
      </c>
    </row>
    <row r="6439" spans="1:6" x14ac:dyDescent="0.25">
      <c r="A6439" t="s">
        <v>12049</v>
      </c>
      <c r="B6439" t="s">
        <v>6494</v>
      </c>
      <c r="C6439" s="1">
        <v>44083</v>
      </c>
      <c r="D6439" t="b">
        <v>1</v>
      </c>
      <c r="E6439" t="s">
        <v>10</v>
      </c>
      <c r="F6439">
        <v>5541</v>
      </c>
    </row>
    <row r="6440" spans="1:6" x14ac:dyDescent="0.25">
      <c r="A6440" t="s">
        <v>12050</v>
      </c>
      <c r="B6440" t="s">
        <v>12051</v>
      </c>
      <c r="C6440" s="1">
        <v>44083</v>
      </c>
      <c r="D6440" t="b">
        <v>1</v>
      </c>
      <c r="E6440" t="s">
        <v>10</v>
      </c>
      <c r="F6440">
        <v>14161</v>
      </c>
    </row>
    <row r="6441" spans="1:6" x14ac:dyDescent="0.25">
      <c r="A6441" t="s">
        <v>12052</v>
      </c>
      <c r="B6441" t="s">
        <v>12053</v>
      </c>
      <c r="C6441" s="1">
        <v>44083</v>
      </c>
      <c r="D6441" t="b">
        <v>1</v>
      </c>
      <c r="E6441" t="s">
        <v>10</v>
      </c>
      <c r="F6441">
        <v>5544</v>
      </c>
    </row>
    <row r="6442" spans="1:6" x14ac:dyDescent="0.25">
      <c r="A6442" t="s">
        <v>12054</v>
      </c>
      <c r="B6442" t="s">
        <v>12055</v>
      </c>
      <c r="C6442" s="1">
        <v>44083</v>
      </c>
      <c r="D6442" t="b">
        <v>1</v>
      </c>
      <c r="E6442" t="s">
        <v>10</v>
      </c>
      <c r="F6442">
        <v>9642</v>
      </c>
    </row>
    <row r="6443" spans="1:6" x14ac:dyDescent="0.25">
      <c r="A6443" t="s">
        <v>12056</v>
      </c>
      <c r="B6443" t="s">
        <v>12057</v>
      </c>
      <c r="C6443" s="1">
        <v>44083</v>
      </c>
      <c r="D6443" t="b">
        <v>1</v>
      </c>
      <c r="E6443" t="s">
        <v>10</v>
      </c>
      <c r="F6443">
        <v>7779</v>
      </c>
    </row>
    <row r="6444" spans="1:6" x14ac:dyDescent="0.25">
      <c r="A6444" t="s">
        <v>12058</v>
      </c>
      <c r="B6444" t="s">
        <v>12059</v>
      </c>
      <c r="C6444" s="1">
        <v>44083</v>
      </c>
      <c r="D6444" t="b">
        <v>1</v>
      </c>
      <c r="E6444" t="s">
        <v>10</v>
      </c>
      <c r="F6444">
        <v>5547</v>
      </c>
    </row>
    <row r="6445" spans="1:6" x14ac:dyDescent="0.25">
      <c r="A6445" t="s">
        <v>12060</v>
      </c>
      <c r="B6445" t="s">
        <v>12061</v>
      </c>
      <c r="C6445" s="1">
        <v>44083</v>
      </c>
      <c r="D6445" t="b">
        <v>1</v>
      </c>
      <c r="E6445" t="s">
        <v>10</v>
      </c>
      <c r="F6445">
        <v>14290</v>
      </c>
    </row>
    <row r="6446" spans="1:6" x14ac:dyDescent="0.25">
      <c r="A6446" t="s">
        <v>12062</v>
      </c>
      <c r="C6446" s="1">
        <v>44083</v>
      </c>
      <c r="D6446" t="b">
        <v>1</v>
      </c>
      <c r="E6446" t="s">
        <v>10</v>
      </c>
      <c r="F6446">
        <v>5548</v>
      </c>
    </row>
    <row r="6447" spans="1:6" x14ac:dyDescent="0.25">
      <c r="A6447" t="s">
        <v>12063</v>
      </c>
      <c r="B6447" t="s">
        <v>12064</v>
      </c>
      <c r="C6447" s="1">
        <v>44083</v>
      </c>
      <c r="D6447" t="b">
        <v>1</v>
      </c>
      <c r="E6447" t="s">
        <v>10</v>
      </c>
      <c r="F6447">
        <v>16823</v>
      </c>
    </row>
    <row r="6448" spans="1:6" x14ac:dyDescent="0.25">
      <c r="A6448" t="s">
        <v>12065</v>
      </c>
      <c r="B6448" t="s">
        <v>12066</v>
      </c>
      <c r="C6448" s="1">
        <v>44083</v>
      </c>
      <c r="D6448" t="b">
        <v>1</v>
      </c>
      <c r="E6448" t="s">
        <v>10</v>
      </c>
      <c r="F6448">
        <v>13013</v>
      </c>
    </row>
    <row r="6449" spans="1:6" x14ac:dyDescent="0.25">
      <c r="A6449" t="s">
        <v>12067</v>
      </c>
      <c r="B6449" t="s">
        <v>12068</v>
      </c>
      <c r="C6449" s="1">
        <v>44083</v>
      </c>
      <c r="D6449" t="b">
        <v>1</v>
      </c>
      <c r="E6449" t="s">
        <v>10</v>
      </c>
      <c r="F6449">
        <v>15288</v>
      </c>
    </row>
    <row r="6450" spans="1:6" x14ac:dyDescent="0.25">
      <c r="A6450" t="s">
        <v>12069</v>
      </c>
      <c r="B6450" t="s">
        <v>12070</v>
      </c>
      <c r="C6450" s="1">
        <v>44083</v>
      </c>
      <c r="D6450" t="b">
        <v>1</v>
      </c>
      <c r="E6450" t="s">
        <v>10</v>
      </c>
      <c r="F6450">
        <v>15147</v>
      </c>
    </row>
    <row r="6451" spans="1:6" x14ac:dyDescent="0.25">
      <c r="A6451" t="s">
        <v>12071</v>
      </c>
      <c r="B6451" t="s">
        <v>12072</v>
      </c>
      <c r="C6451" s="1">
        <v>44083</v>
      </c>
      <c r="D6451" t="b">
        <v>1</v>
      </c>
      <c r="E6451" t="s">
        <v>10</v>
      </c>
      <c r="F6451">
        <v>15229</v>
      </c>
    </row>
    <row r="6452" spans="1:6" x14ac:dyDescent="0.25">
      <c r="A6452" t="s">
        <v>12073</v>
      </c>
      <c r="B6452" t="s">
        <v>12072</v>
      </c>
      <c r="C6452" s="1">
        <v>44083</v>
      </c>
      <c r="D6452" t="b">
        <v>1</v>
      </c>
      <c r="E6452" t="s">
        <v>10</v>
      </c>
      <c r="F6452">
        <v>15230</v>
      </c>
    </row>
    <row r="6453" spans="1:6" x14ac:dyDescent="0.25">
      <c r="A6453" t="s">
        <v>12074</v>
      </c>
      <c r="B6453" t="s">
        <v>12075</v>
      </c>
      <c r="C6453" s="1">
        <v>44083</v>
      </c>
      <c r="D6453" t="b">
        <v>1</v>
      </c>
      <c r="E6453" t="s">
        <v>10</v>
      </c>
      <c r="F6453">
        <v>5550</v>
      </c>
    </row>
    <row r="6454" spans="1:6" x14ac:dyDescent="0.25">
      <c r="A6454" t="s">
        <v>12076</v>
      </c>
      <c r="B6454" t="s">
        <v>12077</v>
      </c>
      <c r="C6454" s="1">
        <v>44083</v>
      </c>
      <c r="D6454" t="b">
        <v>1</v>
      </c>
      <c r="E6454" t="s">
        <v>10</v>
      </c>
      <c r="F6454">
        <v>5551</v>
      </c>
    </row>
    <row r="6455" spans="1:6" x14ac:dyDescent="0.25">
      <c r="A6455" t="s">
        <v>12078</v>
      </c>
      <c r="B6455" t="s">
        <v>12079</v>
      </c>
      <c r="C6455" s="1">
        <v>44083</v>
      </c>
      <c r="D6455" t="b">
        <v>1</v>
      </c>
      <c r="E6455" t="s">
        <v>10</v>
      </c>
      <c r="F6455">
        <v>9462</v>
      </c>
    </row>
    <row r="6456" spans="1:6" x14ac:dyDescent="0.25">
      <c r="A6456" t="s">
        <v>12080</v>
      </c>
      <c r="B6456" t="s">
        <v>12081</v>
      </c>
      <c r="C6456" s="1">
        <v>44083</v>
      </c>
      <c r="D6456" t="b">
        <v>1</v>
      </c>
      <c r="E6456" t="s">
        <v>10</v>
      </c>
      <c r="F6456">
        <v>5555</v>
      </c>
    </row>
    <row r="6457" spans="1:6" x14ac:dyDescent="0.25">
      <c r="A6457" t="s">
        <v>12082</v>
      </c>
      <c r="B6457" t="s">
        <v>12083</v>
      </c>
      <c r="C6457" s="1">
        <v>44083</v>
      </c>
      <c r="D6457" t="b">
        <v>1</v>
      </c>
      <c r="E6457" t="s">
        <v>10</v>
      </c>
      <c r="F6457">
        <v>1143</v>
      </c>
    </row>
    <row r="6458" spans="1:6" x14ac:dyDescent="0.25">
      <c r="A6458" t="s">
        <v>12084</v>
      </c>
      <c r="C6458" s="1">
        <v>44083</v>
      </c>
      <c r="D6458" t="b">
        <v>1</v>
      </c>
      <c r="E6458" t="s">
        <v>10</v>
      </c>
      <c r="F6458">
        <v>14612</v>
      </c>
    </row>
    <row r="6459" spans="1:6" x14ac:dyDescent="0.25">
      <c r="A6459" t="s">
        <v>12085</v>
      </c>
      <c r="C6459" s="1">
        <v>44083</v>
      </c>
      <c r="D6459" t="b">
        <v>1</v>
      </c>
      <c r="E6459" t="s">
        <v>10</v>
      </c>
      <c r="F6459">
        <v>14613</v>
      </c>
    </row>
    <row r="6460" spans="1:6" x14ac:dyDescent="0.25">
      <c r="A6460" t="s">
        <v>12086</v>
      </c>
      <c r="C6460" s="1">
        <v>44083</v>
      </c>
      <c r="D6460" t="b">
        <v>1</v>
      </c>
      <c r="E6460" t="s">
        <v>10</v>
      </c>
      <c r="F6460">
        <v>14614</v>
      </c>
    </row>
    <row r="6461" spans="1:6" x14ac:dyDescent="0.25">
      <c r="A6461" t="s">
        <v>12087</v>
      </c>
      <c r="C6461" s="1">
        <v>44083</v>
      </c>
      <c r="D6461" t="b">
        <v>1</v>
      </c>
      <c r="E6461" t="s">
        <v>10</v>
      </c>
      <c r="F6461">
        <v>14615</v>
      </c>
    </row>
    <row r="6462" spans="1:6" x14ac:dyDescent="0.25">
      <c r="A6462" t="s">
        <v>12088</v>
      </c>
      <c r="B6462" t="s">
        <v>12089</v>
      </c>
      <c r="C6462" s="1">
        <v>44083</v>
      </c>
      <c r="D6462" t="b">
        <v>1</v>
      </c>
      <c r="E6462" t="s">
        <v>10</v>
      </c>
      <c r="F6462">
        <v>13106</v>
      </c>
    </row>
    <row r="6463" spans="1:6" x14ac:dyDescent="0.25">
      <c r="A6463" t="s">
        <v>12090</v>
      </c>
      <c r="B6463" t="s">
        <v>12091</v>
      </c>
      <c r="C6463" s="1">
        <v>44083</v>
      </c>
      <c r="D6463" t="b">
        <v>1</v>
      </c>
      <c r="E6463" t="s">
        <v>10</v>
      </c>
      <c r="F6463">
        <v>5557</v>
      </c>
    </row>
    <row r="6464" spans="1:6" x14ac:dyDescent="0.25">
      <c r="A6464" t="s">
        <v>12092</v>
      </c>
      <c r="B6464" t="s">
        <v>12093</v>
      </c>
      <c r="C6464" s="1">
        <v>44083</v>
      </c>
      <c r="D6464" t="b">
        <v>1</v>
      </c>
      <c r="E6464" t="s">
        <v>10</v>
      </c>
      <c r="F6464">
        <v>5558</v>
      </c>
    </row>
    <row r="6465" spans="1:6" x14ac:dyDescent="0.25">
      <c r="A6465" t="s">
        <v>12094</v>
      </c>
      <c r="B6465" t="s">
        <v>12095</v>
      </c>
      <c r="C6465" s="1">
        <v>44083</v>
      </c>
      <c r="D6465" t="b">
        <v>1</v>
      </c>
      <c r="E6465" t="s">
        <v>10</v>
      </c>
      <c r="F6465">
        <v>16919</v>
      </c>
    </row>
    <row r="6466" spans="1:6" x14ac:dyDescent="0.25">
      <c r="A6466" t="s">
        <v>12096</v>
      </c>
      <c r="B6466" t="s">
        <v>12097</v>
      </c>
      <c r="C6466" s="1">
        <v>44083</v>
      </c>
      <c r="D6466" t="b">
        <v>1</v>
      </c>
      <c r="E6466" t="s">
        <v>10</v>
      </c>
      <c r="F6466">
        <v>5559</v>
      </c>
    </row>
    <row r="6467" spans="1:6" x14ac:dyDescent="0.25">
      <c r="A6467" t="s">
        <v>12098</v>
      </c>
      <c r="B6467" t="s">
        <v>12099</v>
      </c>
      <c r="C6467" s="1">
        <v>44083</v>
      </c>
      <c r="D6467" t="b">
        <v>1</v>
      </c>
      <c r="E6467" t="s">
        <v>10</v>
      </c>
      <c r="F6467">
        <v>5561</v>
      </c>
    </row>
    <row r="6468" spans="1:6" x14ac:dyDescent="0.25">
      <c r="A6468" t="s">
        <v>12100</v>
      </c>
      <c r="B6468" t="s">
        <v>12101</v>
      </c>
      <c r="C6468" s="1">
        <v>44083</v>
      </c>
      <c r="D6468" t="b">
        <v>1</v>
      </c>
      <c r="E6468" t="s">
        <v>10</v>
      </c>
      <c r="F6468">
        <v>5562</v>
      </c>
    </row>
    <row r="6469" spans="1:6" x14ac:dyDescent="0.25">
      <c r="A6469" t="s">
        <v>12102</v>
      </c>
      <c r="B6469" t="s">
        <v>12103</v>
      </c>
      <c r="C6469" s="1">
        <v>44083</v>
      </c>
      <c r="D6469" t="b">
        <v>1</v>
      </c>
      <c r="E6469" t="s">
        <v>10</v>
      </c>
      <c r="F6469">
        <v>5563</v>
      </c>
    </row>
    <row r="6470" spans="1:6" x14ac:dyDescent="0.25">
      <c r="A6470" t="s">
        <v>12104</v>
      </c>
      <c r="C6470" s="1">
        <v>44083</v>
      </c>
      <c r="D6470" t="b">
        <v>1</v>
      </c>
      <c r="E6470" t="s">
        <v>10</v>
      </c>
      <c r="F6470">
        <v>5564</v>
      </c>
    </row>
    <row r="6471" spans="1:6" x14ac:dyDescent="0.25">
      <c r="A6471" t="s">
        <v>12105</v>
      </c>
      <c r="B6471" t="s">
        <v>12106</v>
      </c>
      <c r="C6471" s="1">
        <v>44083</v>
      </c>
      <c r="D6471" t="b">
        <v>1</v>
      </c>
      <c r="E6471" t="s">
        <v>10</v>
      </c>
      <c r="F6471">
        <v>5565</v>
      </c>
    </row>
    <row r="6472" spans="1:6" x14ac:dyDescent="0.25">
      <c r="A6472" t="s">
        <v>12107</v>
      </c>
      <c r="C6472" s="1">
        <v>44083</v>
      </c>
      <c r="D6472" t="b">
        <v>1</v>
      </c>
      <c r="E6472" t="s">
        <v>10</v>
      </c>
      <c r="F6472">
        <v>14821</v>
      </c>
    </row>
    <row r="6473" spans="1:6" x14ac:dyDescent="0.25">
      <c r="A6473" t="s">
        <v>12108</v>
      </c>
      <c r="C6473" s="1">
        <v>44083</v>
      </c>
      <c r="D6473" t="b">
        <v>1</v>
      </c>
      <c r="E6473" t="s">
        <v>10</v>
      </c>
      <c r="F6473">
        <v>15160</v>
      </c>
    </row>
    <row r="6474" spans="1:6" x14ac:dyDescent="0.25">
      <c r="A6474" t="s">
        <v>12109</v>
      </c>
      <c r="C6474" s="1">
        <v>44083</v>
      </c>
      <c r="D6474" t="b">
        <v>1</v>
      </c>
      <c r="E6474" t="s">
        <v>10</v>
      </c>
      <c r="F6474">
        <v>15470</v>
      </c>
    </row>
    <row r="6475" spans="1:6" x14ac:dyDescent="0.25">
      <c r="A6475" t="s">
        <v>12110</v>
      </c>
      <c r="C6475" s="1">
        <v>44083</v>
      </c>
      <c r="D6475" t="b">
        <v>1</v>
      </c>
      <c r="E6475" t="s">
        <v>10</v>
      </c>
      <c r="F6475">
        <v>15681</v>
      </c>
    </row>
    <row r="6476" spans="1:6" x14ac:dyDescent="0.25">
      <c r="A6476" t="s">
        <v>12111</v>
      </c>
      <c r="C6476" s="1">
        <v>44083</v>
      </c>
      <c r="D6476" t="b">
        <v>1</v>
      </c>
      <c r="E6476" t="s">
        <v>10</v>
      </c>
      <c r="F6476">
        <v>16195</v>
      </c>
    </row>
    <row r="6477" spans="1:6" x14ac:dyDescent="0.25">
      <c r="A6477" t="s">
        <v>12112</v>
      </c>
      <c r="C6477" s="1">
        <v>44083</v>
      </c>
      <c r="D6477" t="b">
        <v>1</v>
      </c>
      <c r="E6477" t="s">
        <v>10</v>
      </c>
      <c r="F6477">
        <v>16573</v>
      </c>
    </row>
    <row r="6478" spans="1:6" x14ac:dyDescent="0.25">
      <c r="A6478" t="s">
        <v>12113</v>
      </c>
      <c r="B6478" t="s">
        <v>12114</v>
      </c>
      <c r="C6478" s="1">
        <v>44083</v>
      </c>
      <c r="D6478" t="b">
        <v>1</v>
      </c>
      <c r="E6478" t="s">
        <v>10</v>
      </c>
      <c r="F6478">
        <v>5566</v>
      </c>
    </row>
    <row r="6479" spans="1:6" x14ac:dyDescent="0.25">
      <c r="A6479" t="s">
        <v>12115</v>
      </c>
      <c r="B6479" t="s">
        <v>12116</v>
      </c>
      <c r="C6479" s="1">
        <v>44083</v>
      </c>
      <c r="D6479" t="b">
        <v>1</v>
      </c>
      <c r="E6479" t="s">
        <v>10</v>
      </c>
      <c r="F6479">
        <v>5569</v>
      </c>
    </row>
    <row r="6480" spans="1:6" x14ac:dyDescent="0.25">
      <c r="A6480" t="s">
        <v>12117</v>
      </c>
      <c r="B6480" t="s">
        <v>12118</v>
      </c>
      <c r="C6480" s="1">
        <v>44083</v>
      </c>
      <c r="D6480" t="b">
        <v>1</v>
      </c>
      <c r="E6480" t="s">
        <v>10</v>
      </c>
      <c r="F6480">
        <v>5571</v>
      </c>
    </row>
    <row r="6481" spans="1:6" x14ac:dyDescent="0.25">
      <c r="A6481" t="s">
        <v>12119</v>
      </c>
      <c r="B6481" t="s">
        <v>12120</v>
      </c>
      <c r="C6481" s="1">
        <v>44083</v>
      </c>
      <c r="D6481" t="b">
        <v>1</v>
      </c>
      <c r="E6481" t="s">
        <v>10</v>
      </c>
      <c r="F6481">
        <v>1413</v>
      </c>
    </row>
    <row r="6482" spans="1:6" x14ac:dyDescent="0.25">
      <c r="A6482" t="s">
        <v>12121</v>
      </c>
      <c r="B6482" t="s">
        <v>12122</v>
      </c>
      <c r="C6482" s="1">
        <v>44083</v>
      </c>
      <c r="D6482" t="b">
        <v>1</v>
      </c>
      <c r="E6482" t="s">
        <v>10</v>
      </c>
      <c r="F6482">
        <v>5574</v>
      </c>
    </row>
    <row r="6483" spans="1:6" x14ac:dyDescent="0.25">
      <c r="A6483" t="s">
        <v>12123</v>
      </c>
      <c r="B6483" t="s">
        <v>12124</v>
      </c>
      <c r="C6483" s="1">
        <v>44083</v>
      </c>
      <c r="D6483" t="b">
        <v>1</v>
      </c>
      <c r="E6483" t="s">
        <v>10</v>
      </c>
      <c r="F6483">
        <v>14941</v>
      </c>
    </row>
    <row r="6484" spans="1:6" x14ac:dyDescent="0.25">
      <c r="A6484" t="s">
        <v>12125</v>
      </c>
      <c r="B6484" t="s">
        <v>12126</v>
      </c>
      <c r="C6484" s="1">
        <v>44083</v>
      </c>
      <c r="D6484" t="b">
        <v>1</v>
      </c>
      <c r="E6484" t="s">
        <v>10</v>
      </c>
      <c r="F6484">
        <v>11624</v>
      </c>
    </row>
    <row r="6485" spans="1:6" x14ac:dyDescent="0.25">
      <c r="A6485" t="s">
        <v>12127</v>
      </c>
      <c r="B6485" t="s">
        <v>12128</v>
      </c>
      <c r="C6485" s="1">
        <v>44083</v>
      </c>
      <c r="D6485" t="b">
        <v>1</v>
      </c>
      <c r="E6485" t="s">
        <v>10</v>
      </c>
      <c r="F6485">
        <v>5575</v>
      </c>
    </row>
    <row r="6486" spans="1:6" x14ac:dyDescent="0.25">
      <c r="A6486" t="s">
        <v>12129</v>
      </c>
      <c r="B6486" t="s">
        <v>12130</v>
      </c>
      <c r="C6486" s="1">
        <v>44083</v>
      </c>
      <c r="D6486" t="b">
        <v>1</v>
      </c>
      <c r="E6486" t="s">
        <v>10</v>
      </c>
      <c r="F6486">
        <v>16237</v>
      </c>
    </row>
    <row r="6487" spans="1:6" x14ac:dyDescent="0.25">
      <c r="A6487" t="s">
        <v>12131</v>
      </c>
      <c r="B6487" t="s">
        <v>12132</v>
      </c>
      <c r="C6487" s="1">
        <v>44083</v>
      </c>
      <c r="D6487" t="b">
        <v>1</v>
      </c>
      <c r="E6487" t="s">
        <v>10</v>
      </c>
      <c r="F6487">
        <v>16757</v>
      </c>
    </row>
    <row r="6488" spans="1:6" x14ac:dyDescent="0.25">
      <c r="A6488" t="s">
        <v>12133</v>
      </c>
      <c r="B6488" t="s">
        <v>12134</v>
      </c>
      <c r="C6488" s="1">
        <v>44083</v>
      </c>
      <c r="D6488" t="b">
        <v>1</v>
      </c>
      <c r="E6488" t="s">
        <v>10</v>
      </c>
      <c r="F6488">
        <v>15892</v>
      </c>
    </row>
    <row r="6489" spans="1:6" x14ac:dyDescent="0.25">
      <c r="A6489" t="s">
        <v>12135</v>
      </c>
      <c r="B6489" t="s">
        <v>12136</v>
      </c>
      <c r="C6489" s="1">
        <v>44083</v>
      </c>
      <c r="D6489" t="b">
        <v>1</v>
      </c>
      <c r="E6489" t="s">
        <v>10</v>
      </c>
      <c r="F6489">
        <v>5576</v>
      </c>
    </row>
    <row r="6490" spans="1:6" x14ac:dyDescent="0.25">
      <c r="A6490" t="s">
        <v>12137</v>
      </c>
      <c r="B6490" t="s">
        <v>11566</v>
      </c>
      <c r="C6490" s="1">
        <v>44083</v>
      </c>
      <c r="D6490" t="b">
        <v>1</v>
      </c>
      <c r="E6490" t="s">
        <v>10</v>
      </c>
      <c r="F6490">
        <v>17013</v>
      </c>
    </row>
    <row r="6491" spans="1:6" x14ac:dyDescent="0.25">
      <c r="A6491" t="s">
        <v>12138</v>
      </c>
      <c r="B6491" t="s">
        <v>12139</v>
      </c>
      <c r="C6491" s="1">
        <v>44083</v>
      </c>
      <c r="D6491" t="b">
        <v>1</v>
      </c>
      <c r="E6491" t="s">
        <v>10</v>
      </c>
      <c r="F6491">
        <v>5577</v>
      </c>
    </row>
    <row r="6492" spans="1:6" x14ac:dyDescent="0.25">
      <c r="A6492" t="s">
        <v>12140</v>
      </c>
      <c r="B6492" t="s">
        <v>12141</v>
      </c>
      <c r="C6492" s="1">
        <v>44083</v>
      </c>
      <c r="D6492" t="b">
        <v>1</v>
      </c>
      <c r="E6492" t="s">
        <v>10</v>
      </c>
      <c r="F6492">
        <v>10398</v>
      </c>
    </row>
    <row r="6493" spans="1:6" x14ac:dyDescent="0.25">
      <c r="A6493" t="s">
        <v>12142</v>
      </c>
      <c r="C6493" s="1">
        <v>44083</v>
      </c>
      <c r="D6493" t="b">
        <v>1</v>
      </c>
      <c r="E6493" t="s">
        <v>10</v>
      </c>
      <c r="F6493">
        <v>10401</v>
      </c>
    </row>
    <row r="6494" spans="1:6" x14ac:dyDescent="0.25">
      <c r="A6494" t="s">
        <v>12143</v>
      </c>
      <c r="B6494" t="s">
        <v>12144</v>
      </c>
      <c r="C6494" s="1">
        <v>44083</v>
      </c>
      <c r="D6494" t="b">
        <v>1</v>
      </c>
      <c r="E6494" t="s">
        <v>10</v>
      </c>
      <c r="F6494">
        <v>8613</v>
      </c>
    </row>
    <row r="6495" spans="1:6" x14ac:dyDescent="0.25">
      <c r="A6495" t="s">
        <v>12145</v>
      </c>
      <c r="B6495" t="s">
        <v>12146</v>
      </c>
      <c r="C6495" s="1">
        <v>44083</v>
      </c>
      <c r="D6495" t="b">
        <v>1</v>
      </c>
      <c r="E6495" t="s">
        <v>10</v>
      </c>
      <c r="F6495">
        <v>9238</v>
      </c>
    </row>
    <row r="6496" spans="1:6" x14ac:dyDescent="0.25">
      <c r="A6496" t="s">
        <v>12147</v>
      </c>
      <c r="C6496" s="1">
        <v>44083</v>
      </c>
      <c r="D6496" t="b">
        <v>1</v>
      </c>
      <c r="E6496" t="s">
        <v>10</v>
      </c>
      <c r="F6496">
        <v>14945</v>
      </c>
    </row>
    <row r="6497" spans="1:6" x14ac:dyDescent="0.25">
      <c r="A6497" t="s">
        <v>12148</v>
      </c>
      <c r="B6497" t="s">
        <v>12149</v>
      </c>
      <c r="C6497" s="1">
        <v>44083</v>
      </c>
      <c r="D6497" t="b">
        <v>1</v>
      </c>
      <c r="E6497" t="s">
        <v>10</v>
      </c>
      <c r="F6497">
        <v>5578</v>
      </c>
    </row>
    <row r="6498" spans="1:6" x14ac:dyDescent="0.25">
      <c r="A6498" t="s">
        <v>12150</v>
      </c>
      <c r="B6498" t="s">
        <v>12151</v>
      </c>
      <c r="C6498" s="1">
        <v>44083</v>
      </c>
      <c r="D6498" t="b">
        <v>1</v>
      </c>
      <c r="E6498" t="s">
        <v>10</v>
      </c>
      <c r="F6498">
        <v>14672</v>
      </c>
    </row>
    <row r="6499" spans="1:6" x14ac:dyDescent="0.25">
      <c r="A6499" t="s">
        <v>12152</v>
      </c>
      <c r="B6499" t="s">
        <v>12153</v>
      </c>
      <c r="C6499" s="1">
        <v>44083</v>
      </c>
      <c r="D6499" t="b">
        <v>1</v>
      </c>
      <c r="E6499" t="s">
        <v>10</v>
      </c>
      <c r="F6499">
        <v>14401</v>
      </c>
    </row>
    <row r="6500" spans="1:6" x14ac:dyDescent="0.25">
      <c r="A6500" t="s">
        <v>12154</v>
      </c>
      <c r="B6500" t="s">
        <v>12155</v>
      </c>
      <c r="C6500" s="1">
        <v>44083</v>
      </c>
      <c r="D6500" t="b">
        <v>1</v>
      </c>
      <c r="E6500" t="s">
        <v>10</v>
      </c>
      <c r="F6500">
        <v>5580</v>
      </c>
    </row>
    <row r="6501" spans="1:6" x14ac:dyDescent="0.25">
      <c r="A6501" t="s">
        <v>12156</v>
      </c>
      <c r="B6501" t="s">
        <v>12157</v>
      </c>
      <c r="C6501" s="1">
        <v>44083</v>
      </c>
      <c r="D6501" t="b">
        <v>1</v>
      </c>
      <c r="E6501" t="s">
        <v>10</v>
      </c>
      <c r="F6501">
        <v>12080</v>
      </c>
    </row>
    <row r="6502" spans="1:6" x14ac:dyDescent="0.25">
      <c r="A6502" t="s">
        <v>12158</v>
      </c>
      <c r="B6502" t="s">
        <v>12159</v>
      </c>
      <c r="C6502" s="1">
        <v>44083</v>
      </c>
      <c r="D6502" t="b">
        <v>1</v>
      </c>
      <c r="E6502" t="s">
        <v>10</v>
      </c>
      <c r="F6502">
        <v>6928</v>
      </c>
    </row>
    <row r="6503" spans="1:6" x14ac:dyDescent="0.25">
      <c r="A6503" t="s">
        <v>12160</v>
      </c>
      <c r="B6503" t="s">
        <v>12161</v>
      </c>
      <c r="C6503" s="1">
        <v>44083</v>
      </c>
      <c r="D6503" t="b">
        <v>1</v>
      </c>
      <c r="E6503" t="s">
        <v>10</v>
      </c>
      <c r="F6503">
        <v>5582</v>
      </c>
    </row>
    <row r="6504" spans="1:6" x14ac:dyDescent="0.25">
      <c r="A6504" t="s">
        <v>12162</v>
      </c>
      <c r="B6504" t="s">
        <v>12163</v>
      </c>
      <c r="C6504" s="1">
        <v>44083</v>
      </c>
      <c r="D6504" t="b">
        <v>1</v>
      </c>
      <c r="E6504" t="s">
        <v>10</v>
      </c>
      <c r="F6504">
        <v>8983</v>
      </c>
    </row>
    <row r="6505" spans="1:6" x14ac:dyDescent="0.25">
      <c r="A6505" t="s">
        <v>12164</v>
      </c>
      <c r="B6505" t="s">
        <v>12165</v>
      </c>
      <c r="C6505" s="1">
        <v>44083</v>
      </c>
      <c r="D6505" t="b">
        <v>1</v>
      </c>
      <c r="E6505" t="s">
        <v>10</v>
      </c>
      <c r="F6505">
        <v>5583</v>
      </c>
    </row>
    <row r="6506" spans="1:6" x14ac:dyDescent="0.25">
      <c r="A6506" t="s">
        <v>12166</v>
      </c>
      <c r="B6506" t="s">
        <v>12167</v>
      </c>
      <c r="C6506" s="1">
        <v>44083</v>
      </c>
      <c r="D6506" t="b">
        <v>1</v>
      </c>
      <c r="E6506" t="s">
        <v>10</v>
      </c>
      <c r="F6506">
        <v>14537</v>
      </c>
    </row>
    <row r="6507" spans="1:6" x14ac:dyDescent="0.25">
      <c r="A6507" t="s">
        <v>12168</v>
      </c>
      <c r="B6507" t="s">
        <v>12169</v>
      </c>
      <c r="C6507" s="1">
        <v>44083</v>
      </c>
      <c r="D6507" t="b">
        <v>1</v>
      </c>
      <c r="E6507" t="s">
        <v>10</v>
      </c>
      <c r="F6507">
        <v>15759</v>
      </c>
    </row>
    <row r="6508" spans="1:6" x14ac:dyDescent="0.25">
      <c r="A6508" t="s">
        <v>12170</v>
      </c>
      <c r="B6508" t="s">
        <v>12171</v>
      </c>
      <c r="C6508" s="1">
        <v>44083</v>
      </c>
      <c r="D6508" t="b">
        <v>1</v>
      </c>
      <c r="E6508" t="s">
        <v>10</v>
      </c>
      <c r="F6508">
        <v>14450</v>
      </c>
    </row>
    <row r="6509" spans="1:6" x14ac:dyDescent="0.25">
      <c r="A6509" t="s">
        <v>12172</v>
      </c>
      <c r="B6509" t="s">
        <v>12173</v>
      </c>
      <c r="C6509" s="1">
        <v>44083</v>
      </c>
      <c r="D6509" t="b">
        <v>1</v>
      </c>
      <c r="E6509" t="s">
        <v>10</v>
      </c>
      <c r="F6509">
        <v>5587</v>
      </c>
    </row>
    <row r="6510" spans="1:6" x14ac:dyDescent="0.25">
      <c r="A6510" t="s">
        <v>12174</v>
      </c>
      <c r="C6510" s="1">
        <v>44083</v>
      </c>
      <c r="D6510" t="b">
        <v>1</v>
      </c>
      <c r="E6510" t="s">
        <v>10</v>
      </c>
      <c r="F6510">
        <v>11027</v>
      </c>
    </row>
    <row r="6511" spans="1:6" x14ac:dyDescent="0.25">
      <c r="A6511" t="s">
        <v>12175</v>
      </c>
      <c r="C6511" s="1">
        <v>44083</v>
      </c>
      <c r="D6511" t="b">
        <v>1</v>
      </c>
      <c r="E6511" t="s">
        <v>10</v>
      </c>
      <c r="F6511">
        <v>11397</v>
      </c>
    </row>
    <row r="6512" spans="1:6" x14ac:dyDescent="0.25">
      <c r="A6512" t="s">
        <v>12176</v>
      </c>
      <c r="C6512" s="1">
        <v>44083</v>
      </c>
      <c r="D6512" t="b">
        <v>1</v>
      </c>
      <c r="E6512" t="s">
        <v>10</v>
      </c>
      <c r="F6512">
        <v>11644</v>
      </c>
    </row>
    <row r="6513" spans="1:6" x14ac:dyDescent="0.25">
      <c r="A6513" t="s">
        <v>12177</v>
      </c>
      <c r="C6513" s="1">
        <v>44083</v>
      </c>
      <c r="D6513" t="b">
        <v>1</v>
      </c>
      <c r="E6513" t="s">
        <v>10</v>
      </c>
      <c r="F6513">
        <v>11986</v>
      </c>
    </row>
    <row r="6514" spans="1:6" x14ac:dyDescent="0.25">
      <c r="A6514" t="s">
        <v>12178</v>
      </c>
      <c r="C6514" s="1">
        <v>44083</v>
      </c>
      <c r="D6514" t="b">
        <v>1</v>
      </c>
      <c r="E6514" t="s">
        <v>10</v>
      </c>
      <c r="F6514">
        <v>12999</v>
      </c>
    </row>
    <row r="6515" spans="1:6" x14ac:dyDescent="0.25">
      <c r="A6515" t="s">
        <v>12179</v>
      </c>
      <c r="C6515" s="1">
        <v>44083</v>
      </c>
      <c r="D6515" t="b">
        <v>1</v>
      </c>
      <c r="E6515" t="s">
        <v>10</v>
      </c>
      <c r="F6515">
        <v>13249</v>
      </c>
    </row>
    <row r="6516" spans="1:6" x14ac:dyDescent="0.25">
      <c r="A6516" t="s">
        <v>12180</v>
      </c>
      <c r="C6516" s="1">
        <v>44083</v>
      </c>
      <c r="D6516" t="b">
        <v>1</v>
      </c>
      <c r="E6516" t="s">
        <v>10</v>
      </c>
      <c r="F6516">
        <v>15518</v>
      </c>
    </row>
    <row r="6517" spans="1:6" x14ac:dyDescent="0.25">
      <c r="A6517" t="s">
        <v>12181</v>
      </c>
      <c r="C6517" s="1">
        <v>44083</v>
      </c>
      <c r="D6517" t="b">
        <v>1</v>
      </c>
      <c r="E6517" t="s">
        <v>10</v>
      </c>
      <c r="F6517">
        <v>16077</v>
      </c>
    </row>
    <row r="6518" spans="1:6" x14ac:dyDescent="0.25">
      <c r="A6518" t="s">
        <v>12182</v>
      </c>
      <c r="C6518" s="1">
        <v>44083</v>
      </c>
      <c r="D6518" t="b">
        <v>1</v>
      </c>
      <c r="E6518" t="s">
        <v>10</v>
      </c>
      <c r="F6518">
        <v>16315</v>
      </c>
    </row>
    <row r="6519" spans="1:6" x14ac:dyDescent="0.25">
      <c r="A6519" t="s">
        <v>12183</v>
      </c>
      <c r="C6519" s="1">
        <v>44083</v>
      </c>
      <c r="D6519" t="b">
        <v>1</v>
      </c>
      <c r="E6519" t="s">
        <v>10</v>
      </c>
      <c r="F6519">
        <v>16406</v>
      </c>
    </row>
    <row r="6520" spans="1:6" x14ac:dyDescent="0.25">
      <c r="A6520" t="s">
        <v>12184</v>
      </c>
      <c r="C6520" s="1">
        <v>44083</v>
      </c>
      <c r="D6520" t="b">
        <v>1</v>
      </c>
      <c r="E6520" t="s">
        <v>10</v>
      </c>
      <c r="F6520">
        <v>16857</v>
      </c>
    </row>
    <row r="6521" spans="1:6" x14ac:dyDescent="0.25">
      <c r="A6521" t="s">
        <v>12185</v>
      </c>
      <c r="C6521" s="1">
        <v>44083</v>
      </c>
      <c r="D6521" t="b">
        <v>1</v>
      </c>
      <c r="E6521" t="s">
        <v>10</v>
      </c>
      <c r="F6521">
        <v>17116</v>
      </c>
    </row>
    <row r="6522" spans="1:6" x14ac:dyDescent="0.25">
      <c r="A6522" t="s">
        <v>12186</v>
      </c>
      <c r="C6522" s="1">
        <v>44083</v>
      </c>
      <c r="D6522" t="b">
        <v>1</v>
      </c>
      <c r="E6522" t="s">
        <v>10</v>
      </c>
      <c r="F6522">
        <v>5596</v>
      </c>
    </row>
    <row r="6523" spans="1:6" x14ac:dyDescent="0.25">
      <c r="A6523" t="s">
        <v>12187</v>
      </c>
      <c r="C6523" s="1">
        <v>44083</v>
      </c>
      <c r="D6523" t="b">
        <v>1</v>
      </c>
      <c r="E6523" t="s">
        <v>10</v>
      </c>
      <c r="F6523">
        <v>5597</v>
      </c>
    </row>
    <row r="6524" spans="1:6" x14ac:dyDescent="0.25">
      <c r="A6524" t="s">
        <v>12188</v>
      </c>
      <c r="B6524" t="s">
        <v>12189</v>
      </c>
      <c r="C6524" s="1">
        <v>44083</v>
      </c>
      <c r="D6524" t="b">
        <v>1</v>
      </c>
      <c r="E6524" t="s">
        <v>10</v>
      </c>
      <c r="F6524">
        <v>17147</v>
      </c>
    </row>
    <row r="6525" spans="1:6" x14ac:dyDescent="0.25">
      <c r="A6525" t="s">
        <v>12190</v>
      </c>
      <c r="B6525" t="s">
        <v>12189</v>
      </c>
      <c r="C6525" s="1">
        <v>44083</v>
      </c>
      <c r="D6525" t="b">
        <v>1</v>
      </c>
      <c r="E6525" t="s">
        <v>10</v>
      </c>
      <c r="F6525">
        <v>16933</v>
      </c>
    </row>
    <row r="6526" spans="1:6" x14ac:dyDescent="0.25">
      <c r="A6526" t="s">
        <v>12191</v>
      </c>
      <c r="C6526" s="1">
        <v>44083</v>
      </c>
      <c r="D6526" t="b">
        <v>1</v>
      </c>
      <c r="E6526" t="s">
        <v>10</v>
      </c>
      <c r="F6526">
        <v>17153</v>
      </c>
    </row>
    <row r="6527" spans="1:6" x14ac:dyDescent="0.25">
      <c r="A6527" t="s">
        <v>12192</v>
      </c>
      <c r="B6527" t="s">
        <v>12193</v>
      </c>
      <c r="C6527" s="1">
        <v>44083</v>
      </c>
      <c r="D6527" t="b">
        <v>1</v>
      </c>
      <c r="E6527" t="s">
        <v>10</v>
      </c>
      <c r="F6527">
        <v>5599</v>
      </c>
    </row>
    <row r="6528" spans="1:6" x14ac:dyDescent="0.25">
      <c r="A6528" t="s">
        <v>12194</v>
      </c>
      <c r="C6528" s="1">
        <v>44083</v>
      </c>
      <c r="D6528" t="b">
        <v>1</v>
      </c>
      <c r="E6528" t="s">
        <v>10</v>
      </c>
      <c r="F6528">
        <v>12011</v>
      </c>
    </row>
    <row r="6529" spans="1:6" x14ac:dyDescent="0.25">
      <c r="A6529" t="s">
        <v>12195</v>
      </c>
      <c r="C6529" s="1">
        <v>44083</v>
      </c>
      <c r="D6529" t="b">
        <v>1</v>
      </c>
      <c r="E6529" t="s">
        <v>10</v>
      </c>
      <c r="F6529">
        <v>13436</v>
      </c>
    </row>
    <row r="6530" spans="1:6" x14ac:dyDescent="0.25">
      <c r="A6530" t="s">
        <v>12196</v>
      </c>
      <c r="C6530" s="1">
        <v>44083</v>
      </c>
      <c r="D6530" t="b">
        <v>1</v>
      </c>
      <c r="E6530" t="s">
        <v>10</v>
      </c>
      <c r="F6530">
        <v>13893</v>
      </c>
    </row>
    <row r="6531" spans="1:6" x14ac:dyDescent="0.25">
      <c r="A6531" t="s">
        <v>12197</v>
      </c>
      <c r="C6531" s="1">
        <v>44083</v>
      </c>
      <c r="D6531" t="b">
        <v>1</v>
      </c>
      <c r="E6531" t="s">
        <v>10</v>
      </c>
      <c r="F6531">
        <v>16265</v>
      </c>
    </row>
    <row r="6532" spans="1:6" x14ac:dyDescent="0.25">
      <c r="A6532" t="s">
        <v>12198</v>
      </c>
      <c r="B6532" t="s">
        <v>12199</v>
      </c>
      <c r="C6532" s="1">
        <v>44083</v>
      </c>
      <c r="D6532" t="b">
        <v>1</v>
      </c>
      <c r="E6532" t="s">
        <v>10</v>
      </c>
      <c r="F6532">
        <v>11868</v>
      </c>
    </row>
    <row r="6533" spans="1:6" x14ac:dyDescent="0.25">
      <c r="A6533" t="s">
        <v>12200</v>
      </c>
      <c r="B6533" t="s">
        <v>12201</v>
      </c>
      <c r="C6533" s="1">
        <v>44083</v>
      </c>
      <c r="D6533" t="b">
        <v>1</v>
      </c>
      <c r="E6533" t="s">
        <v>10</v>
      </c>
      <c r="F6533">
        <v>5606</v>
      </c>
    </row>
    <row r="6534" spans="1:6" x14ac:dyDescent="0.25">
      <c r="A6534" t="s">
        <v>12202</v>
      </c>
      <c r="B6534" t="s">
        <v>12201</v>
      </c>
      <c r="C6534" s="1">
        <v>44083</v>
      </c>
      <c r="D6534" t="b">
        <v>1</v>
      </c>
      <c r="E6534" t="s">
        <v>10</v>
      </c>
      <c r="F6534">
        <v>5607</v>
      </c>
    </row>
    <row r="6535" spans="1:6" x14ac:dyDescent="0.25">
      <c r="A6535" t="s">
        <v>12203</v>
      </c>
      <c r="B6535" t="s">
        <v>12204</v>
      </c>
      <c r="C6535" s="1">
        <v>44083</v>
      </c>
      <c r="D6535" t="b">
        <v>1</v>
      </c>
      <c r="E6535" t="s">
        <v>10</v>
      </c>
      <c r="F6535">
        <v>5608</v>
      </c>
    </row>
    <row r="6536" spans="1:6" x14ac:dyDescent="0.25">
      <c r="A6536" t="s">
        <v>12205</v>
      </c>
      <c r="B6536" t="s">
        <v>12206</v>
      </c>
      <c r="C6536" s="1">
        <v>44083</v>
      </c>
      <c r="D6536" t="b">
        <v>1</v>
      </c>
      <c r="E6536" t="s">
        <v>10</v>
      </c>
      <c r="F6536">
        <v>5609</v>
      </c>
    </row>
    <row r="6537" spans="1:6" x14ac:dyDescent="0.25">
      <c r="A6537" t="s">
        <v>12207</v>
      </c>
      <c r="B6537" t="s">
        <v>12208</v>
      </c>
      <c r="C6537" s="1">
        <v>44083</v>
      </c>
      <c r="D6537" t="b">
        <v>1</v>
      </c>
      <c r="E6537" t="s">
        <v>10</v>
      </c>
      <c r="F6537">
        <v>5610</v>
      </c>
    </row>
    <row r="6538" spans="1:6" x14ac:dyDescent="0.25">
      <c r="A6538" t="s">
        <v>12209</v>
      </c>
      <c r="B6538" t="s">
        <v>12210</v>
      </c>
      <c r="C6538" s="1">
        <v>44083</v>
      </c>
      <c r="D6538" t="b">
        <v>1</v>
      </c>
      <c r="E6538" t="s">
        <v>10</v>
      </c>
      <c r="F6538">
        <v>5611</v>
      </c>
    </row>
    <row r="6539" spans="1:6" x14ac:dyDescent="0.25">
      <c r="A6539" t="s">
        <v>12211</v>
      </c>
      <c r="B6539" t="s">
        <v>12212</v>
      </c>
      <c r="C6539" s="1">
        <v>44083</v>
      </c>
      <c r="D6539" t="b">
        <v>1</v>
      </c>
      <c r="E6539" t="s">
        <v>10</v>
      </c>
      <c r="F6539">
        <v>5612</v>
      </c>
    </row>
    <row r="6540" spans="1:6" x14ac:dyDescent="0.25">
      <c r="A6540" t="s">
        <v>12213</v>
      </c>
      <c r="B6540" t="s">
        <v>12214</v>
      </c>
      <c r="C6540" s="1">
        <v>44083</v>
      </c>
      <c r="D6540" t="b">
        <v>1</v>
      </c>
      <c r="E6540" t="s">
        <v>10</v>
      </c>
      <c r="F6540">
        <v>5613</v>
      </c>
    </row>
    <row r="6541" spans="1:6" x14ac:dyDescent="0.25">
      <c r="A6541" t="s">
        <v>12215</v>
      </c>
      <c r="B6541" t="s">
        <v>12216</v>
      </c>
      <c r="C6541" s="1">
        <v>44083</v>
      </c>
      <c r="D6541" t="b">
        <v>1</v>
      </c>
      <c r="E6541" t="s">
        <v>10</v>
      </c>
      <c r="F6541">
        <v>5614</v>
      </c>
    </row>
    <row r="6542" spans="1:6" x14ac:dyDescent="0.25">
      <c r="A6542" t="s">
        <v>12217</v>
      </c>
      <c r="B6542" t="s">
        <v>12218</v>
      </c>
      <c r="C6542" s="1">
        <v>44083</v>
      </c>
      <c r="D6542" t="b">
        <v>1</v>
      </c>
      <c r="E6542" t="s">
        <v>10</v>
      </c>
      <c r="F6542">
        <v>5617</v>
      </c>
    </row>
    <row r="6543" spans="1:6" x14ac:dyDescent="0.25">
      <c r="A6543" t="s">
        <v>12219</v>
      </c>
      <c r="B6543" t="s">
        <v>12220</v>
      </c>
      <c r="C6543" s="1">
        <v>44083</v>
      </c>
      <c r="D6543" t="b">
        <v>1</v>
      </c>
      <c r="E6543" t="s">
        <v>10</v>
      </c>
      <c r="F6543">
        <v>16033</v>
      </c>
    </row>
    <row r="6544" spans="1:6" x14ac:dyDescent="0.25">
      <c r="A6544" t="s">
        <v>12221</v>
      </c>
      <c r="B6544" t="s">
        <v>12222</v>
      </c>
      <c r="C6544" s="1">
        <v>44083</v>
      </c>
      <c r="D6544" t="b">
        <v>1</v>
      </c>
      <c r="E6544" t="s">
        <v>10</v>
      </c>
      <c r="F6544">
        <v>11174</v>
      </c>
    </row>
    <row r="6545" spans="1:6" x14ac:dyDescent="0.25">
      <c r="A6545" t="s">
        <v>12223</v>
      </c>
      <c r="B6545" t="s">
        <v>12224</v>
      </c>
      <c r="C6545" s="1">
        <v>44083</v>
      </c>
      <c r="D6545" t="b">
        <v>1</v>
      </c>
      <c r="E6545" t="s">
        <v>10</v>
      </c>
      <c r="F6545">
        <v>5619</v>
      </c>
    </row>
    <row r="6546" spans="1:6" x14ac:dyDescent="0.25">
      <c r="A6546" t="s">
        <v>12225</v>
      </c>
      <c r="B6546" t="s">
        <v>12226</v>
      </c>
      <c r="C6546" s="1">
        <v>44083</v>
      </c>
      <c r="D6546" t="b">
        <v>1</v>
      </c>
      <c r="E6546" t="s">
        <v>10</v>
      </c>
      <c r="F6546">
        <v>1699</v>
      </c>
    </row>
    <row r="6547" spans="1:6" x14ac:dyDescent="0.25">
      <c r="A6547" t="s">
        <v>12227</v>
      </c>
      <c r="B6547" t="s">
        <v>12228</v>
      </c>
      <c r="C6547" s="1">
        <v>44083</v>
      </c>
      <c r="D6547" t="b">
        <v>1</v>
      </c>
      <c r="E6547" t="s">
        <v>10</v>
      </c>
      <c r="F6547">
        <v>5620</v>
      </c>
    </row>
    <row r="6548" spans="1:6" x14ac:dyDescent="0.25">
      <c r="A6548" t="s">
        <v>12229</v>
      </c>
      <c r="B6548" t="s">
        <v>12230</v>
      </c>
      <c r="C6548" s="1">
        <v>44083</v>
      </c>
      <c r="D6548" t="b">
        <v>1</v>
      </c>
      <c r="E6548" t="s">
        <v>10</v>
      </c>
      <c r="F6548">
        <v>5622</v>
      </c>
    </row>
    <row r="6549" spans="1:6" x14ac:dyDescent="0.25">
      <c r="A6549" t="s">
        <v>12231</v>
      </c>
      <c r="B6549" t="s">
        <v>12232</v>
      </c>
      <c r="C6549" s="1">
        <v>44083</v>
      </c>
      <c r="D6549" t="b">
        <v>1</v>
      </c>
      <c r="E6549" t="s">
        <v>10</v>
      </c>
      <c r="F6549">
        <v>5623</v>
      </c>
    </row>
    <row r="6550" spans="1:6" x14ac:dyDescent="0.25">
      <c r="A6550" t="s">
        <v>12233</v>
      </c>
      <c r="B6550" t="s">
        <v>12234</v>
      </c>
      <c r="C6550" s="1">
        <v>44083</v>
      </c>
      <c r="D6550" t="b">
        <v>1</v>
      </c>
      <c r="E6550" t="s">
        <v>10</v>
      </c>
      <c r="F6550">
        <v>5624</v>
      </c>
    </row>
    <row r="6551" spans="1:6" x14ac:dyDescent="0.25">
      <c r="A6551" t="s">
        <v>12235</v>
      </c>
      <c r="B6551" t="s">
        <v>12236</v>
      </c>
      <c r="C6551" s="1">
        <v>44083</v>
      </c>
      <c r="D6551" t="b">
        <v>1</v>
      </c>
      <c r="E6551" t="s">
        <v>10</v>
      </c>
      <c r="F6551">
        <v>5625</v>
      </c>
    </row>
    <row r="6552" spans="1:6" x14ac:dyDescent="0.25">
      <c r="A6552" t="s">
        <v>12237</v>
      </c>
      <c r="B6552" t="s">
        <v>12238</v>
      </c>
      <c r="C6552" s="1">
        <v>44083</v>
      </c>
      <c r="D6552" t="b">
        <v>1</v>
      </c>
      <c r="E6552" t="s">
        <v>10</v>
      </c>
      <c r="F6552">
        <v>15958</v>
      </c>
    </row>
    <row r="6553" spans="1:6" x14ac:dyDescent="0.25">
      <c r="A6553" t="s">
        <v>12239</v>
      </c>
      <c r="B6553" t="s">
        <v>12240</v>
      </c>
      <c r="C6553" s="1">
        <v>44083</v>
      </c>
      <c r="D6553" t="b">
        <v>1</v>
      </c>
      <c r="E6553" t="s">
        <v>10</v>
      </c>
      <c r="F6553">
        <v>12404</v>
      </c>
    </row>
    <row r="6554" spans="1:6" x14ac:dyDescent="0.25">
      <c r="A6554" t="s">
        <v>12241</v>
      </c>
      <c r="B6554" t="s">
        <v>12242</v>
      </c>
      <c r="C6554" s="1">
        <v>44083</v>
      </c>
      <c r="D6554" t="b">
        <v>1</v>
      </c>
      <c r="E6554" t="s">
        <v>10</v>
      </c>
      <c r="F6554">
        <v>12405</v>
      </c>
    </row>
    <row r="6555" spans="1:6" x14ac:dyDescent="0.25">
      <c r="A6555" t="s">
        <v>12243</v>
      </c>
      <c r="B6555" t="s">
        <v>12244</v>
      </c>
      <c r="C6555" s="1">
        <v>44083</v>
      </c>
      <c r="D6555" t="b">
        <v>1</v>
      </c>
      <c r="E6555" t="s">
        <v>10</v>
      </c>
      <c r="F6555">
        <v>12406</v>
      </c>
    </row>
    <row r="6556" spans="1:6" x14ac:dyDescent="0.25">
      <c r="A6556" t="s">
        <v>12245</v>
      </c>
      <c r="B6556" t="s">
        <v>12246</v>
      </c>
      <c r="C6556" s="1">
        <v>44083</v>
      </c>
      <c r="D6556" t="b">
        <v>1</v>
      </c>
      <c r="E6556" t="s">
        <v>10</v>
      </c>
      <c r="F6556">
        <v>12407</v>
      </c>
    </row>
    <row r="6557" spans="1:6" x14ac:dyDescent="0.25">
      <c r="A6557" t="s">
        <v>12247</v>
      </c>
      <c r="B6557" t="s">
        <v>12248</v>
      </c>
      <c r="C6557" s="1">
        <v>44083</v>
      </c>
      <c r="D6557" t="b">
        <v>1</v>
      </c>
      <c r="E6557" t="s">
        <v>10</v>
      </c>
      <c r="F6557">
        <v>5627</v>
      </c>
    </row>
    <row r="6558" spans="1:6" x14ac:dyDescent="0.25">
      <c r="A6558" t="s">
        <v>12249</v>
      </c>
      <c r="B6558" t="s">
        <v>12250</v>
      </c>
      <c r="C6558" s="1">
        <v>44083</v>
      </c>
      <c r="D6558" t="b">
        <v>1</v>
      </c>
      <c r="E6558" t="s">
        <v>10</v>
      </c>
      <c r="F6558">
        <v>15624</v>
      </c>
    </row>
    <row r="6559" spans="1:6" x14ac:dyDescent="0.25">
      <c r="A6559" t="s">
        <v>12251</v>
      </c>
      <c r="B6559" t="s">
        <v>12252</v>
      </c>
      <c r="C6559" s="1">
        <v>44083</v>
      </c>
      <c r="D6559" t="b">
        <v>1</v>
      </c>
      <c r="E6559" t="s">
        <v>10</v>
      </c>
      <c r="F6559">
        <v>15754</v>
      </c>
    </row>
    <row r="6560" spans="1:6" x14ac:dyDescent="0.25">
      <c r="A6560" t="s">
        <v>12253</v>
      </c>
      <c r="B6560" t="s">
        <v>12254</v>
      </c>
      <c r="C6560" s="1">
        <v>44083</v>
      </c>
      <c r="D6560" t="b">
        <v>1</v>
      </c>
      <c r="E6560" t="s">
        <v>10</v>
      </c>
      <c r="F6560">
        <v>5628</v>
      </c>
    </row>
    <row r="6561" spans="1:6" x14ac:dyDescent="0.25">
      <c r="A6561" t="s">
        <v>12255</v>
      </c>
      <c r="B6561" t="s">
        <v>12256</v>
      </c>
      <c r="C6561" s="1">
        <v>44083</v>
      </c>
      <c r="D6561" t="b">
        <v>1</v>
      </c>
      <c r="E6561" t="s">
        <v>10</v>
      </c>
      <c r="F6561">
        <v>5629</v>
      </c>
    </row>
    <row r="6562" spans="1:6" x14ac:dyDescent="0.25">
      <c r="A6562" t="s">
        <v>12257</v>
      </c>
      <c r="B6562" t="s">
        <v>12258</v>
      </c>
      <c r="C6562" s="1">
        <v>44083</v>
      </c>
      <c r="D6562" t="b">
        <v>1</v>
      </c>
      <c r="E6562" t="s">
        <v>10</v>
      </c>
      <c r="F6562">
        <v>5630</v>
      </c>
    </row>
    <row r="6563" spans="1:6" x14ac:dyDescent="0.25">
      <c r="A6563" t="s">
        <v>12259</v>
      </c>
      <c r="B6563" t="s">
        <v>12260</v>
      </c>
      <c r="C6563" s="1">
        <v>44083</v>
      </c>
      <c r="D6563" t="b">
        <v>1</v>
      </c>
      <c r="E6563" t="s">
        <v>10</v>
      </c>
      <c r="F6563">
        <v>5631</v>
      </c>
    </row>
    <row r="6564" spans="1:6" x14ac:dyDescent="0.25">
      <c r="A6564" t="s">
        <v>12261</v>
      </c>
      <c r="B6564" t="s">
        <v>12262</v>
      </c>
      <c r="C6564" s="1">
        <v>44083</v>
      </c>
      <c r="D6564" t="b">
        <v>1</v>
      </c>
      <c r="E6564" t="s">
        <v>10</v>
      </c>
      <c r="F6564">
        <v>5632</v>
      </c>
    </row>
    <row r="6565" spans="1:6" x14ac:dyDescent="0.25">
      <c r="A6565" t="s">
        <v>12263</v>
      </c>
      <c r="B6565" t="s">
        <v>12264</v>
      </c>
      <c r="C6565" s="1">
        <v>44083</v>
      </c>
      <c r="D6565" t="b">
        <v>1</v>
      </c>
      <c r="E6565" t="s">
        <v>10</v>
      </c>
      <c r="F6565">
        <v>10498</v>
      </c>
    </row>
    <row r="6566" spans="1:6" x14ac:dyDescent="0.25">
      <c r="A6566" t="s">
        <v>12265</v>
      </c>
      <c r="B6566" t="s">
        <v>12266</v>
      </c>
      <c r="C6566" s="1">
        <v>44083</v>
      </c>
      <c r="D6566" t="b">
        <v>1</v>
      </c>
      <c r="E6566" t="s">
        <v>10</v>
      </c>
      <c r="F6566">
        <v>16952</v>
      </c>
    </row>
    <row r="6567" spans="1:6" x14ac:dyDescent="0.25">
      <c r="A6567" t="s">
        <v>12267</v>
      </c>
      <c r="B6567" t="s">
        <v>12268</v>
      </c>
      <c r="C6567" s="1">
        <v>44083</v>
      </c>
      <c r="D6567" t="b">
        <v>1</v>
      </c>
      <c r="E6567" t="s">
        <v>10</v>
      </c>
      <c r="F6567">
        <v>5634</v>
      </c>
    </row>
    <row r="6568" spans="1:6" x14ac:dyDescent="0.25">
      <c r="A6568" t="s">
        <v>12269</v>
      </c>
      <c r="B6568" t="s">
        <v>12270</v>
      </c>
      <c r="C6568" s="1">
        <v>44083</v>
      </c>
      <c r="D6568" t="b">
        <v>1</v>
      </c>
      <c r="E6568" t="s">
        <v>10</v>
      </c>
      <c r="F6568">
        <v>15587</v>
      </c>
    </row>
    <row r="6569" spans="1:6" x14ac:dyDescent="0.25">
      <c r="A6569" t="s">
        <v>12271</v>
      </c>
      <c r="B6569" t="s">
        <v>12272</v>
      </c>
      <c r="C6569" s="1">
        <v>44083</v>
      </c>
      <c r="D6569" t="b">
        <v>1</v>
      </c>
      <c r="E6569" t="s">
        <v>10</v>
      </c>
      <c r="F6569">
        <v>1654</v>
      </c>
    </row>
    <row r="6570" spans="1:6" x14ac:dyDescent="0.25">
      <c r="A6570" t="s">
        <v>12273</v>
      </c>
      <c r="B6570" t="s">
        <v>12274</v>
      </c>
      <c r="C6570" s="1">
        <v>44083</v>
      </c>
      <c r="D6570" t="b">
        <v>1</v>
      </c>
      <c r="E6570" t="s">
        <v>10</v>
      </c>
      <c r="F6570">
        <v>15361</v>
      </c>
    </row>
    <row r="6571" spans="1:6" x14ac:dyDescent="0.25">
      <c r="A6571" t="s">
        <v>12275</v>
      </c>
      <c r="B6571" t="s">
        <v>12276</v>
      </c>
      <c r="C6571" s="1">
        <v>44083</v>
      </c>
      <c r="D6571" t="b">
        <v>1</v>
      </c>
      <c r="E6571" t="s">
        <v>10</v>
      </c>
      <c r="F6571">
        <v>8810</v>
      </c>
    </row>
    <row r="6572" spans="1:6" x14ac:dyDescent="0.25">
      <c r="A6572" t="s">
        <v>12277</v>
      </c>
      <c r="B6572" t="s">
        <v>12278</v>
      </c>
      <c r="C6572" s="1">
        <v>44083</v>
      </c>
      <c r="D6572" t="b">
        <v>1</v>
      </c>
      <c r="E6572" t="s">
        <v>10</v>
      </c>
      <c r="F6572">
        <v>5637</v>
      </c>
    </row>
    <row r="6573" spans="1:6" x14ac:dyDescent="0.25">
      <c r="A6573" t="s">
        <v>12279</v>
      </c>
      <c r="B6573" t="s">
        <v>12280</v>
      </c>
      <c r="C6573" s="1">
        <v>44083</v>
      </c>
      <c r="D6573" t="b">
        <v>1</v>
      </c>
      <c r="E6573" t="s">
        <v>10</v>
      </c>
      <c r="F6573">
        <v>5638</v>
      </c>
    </row>
    <row r="6574" spans="1:6" x14ac:dyDescent="0.25">
      <c r="A6574" t="s">
        <v>12281</v>
      </c>
      <c r="B6574" t="s">
        <v>12282</v>
      </c>
      <c r="C6574" s="1">
        <v>44083</v>
      </c>
      <c r="D6574" t="b">
        <v>1</v>
      </c>
      <c r="E6574" t="s">
        <v>10</v>
      </c>
      <c r="F6574">
        <v>14836</v>
      </c>
    </row>
    <row r="6575" spans="1:6" x14ac:dyDescent="0.25">
      <c r="A6575" t="s">
        <v>12283</v>
      </c>
      <c r="B6575" t="s">
        <v>12284</v>
      </c>
      <c r="C6575" s="1">
        <v>44083</v>
      </c>
      <c r="D6575" t="b">
        <v>1</v>
      </c>
      <c r="E6575" t="s">
        <v>10</v>
      </c>
      <c r="F6575">
        <v>16449</v>
      </c>
    </row>
    <row r="6576" spans="1:6" x14ac:dyDescent="0.25">
      <c r="A6576" t="s">
        <v>12285</v>
      </c>
      <c r="B6576" t="s">
        <v>12286</v>
      </c>
      <c r="C6576" s="1">
        <v>44083</v>
      </c>
      <c r="D6576" t="b">
        <v>1</v>
      </c>
      <c r="E6576" t="s">
        <v>10</v>
      </c>
      <c r="F6576">
        <v>16274</v>
      </c>
    </row>
    <row r="6577" spans="1:6" x14ac:dyDescent="0.25">
      <c r="A6577" t="s">
        <v>12287</v>
      </c>
      <c r="C6577" s="1">
        <v>44083</v>
      </c>
      <c r="D6577" t="b">
        <v>1</v>
      </c>
      <c r="E6577" t="s">
        <v>10</v>
      </c>
      <c r="F6577">
        <v>16457</v>
      </c>
    </row>
    <row r="6578" spans="1:6" x14ac:dyDescent="0.25">
      <c r="A6578" t="s">
        <v>12288</v>
      </c>
      <c r="B6578" t="s">
        <v>12289</v>
      </c>
      <c r="C6578" s="1">
        <v>44083</v>
      </c>
      <c r="D6578" t="b">
        <v>1</v>
      </c>
      <c r="E6578" t="s">
        <v>10</v>
      </c>
      <c r="F6578">
        <v>16211</v>
      </c>
    </row>
    <row r="6579" spans="1:6" x14ac:dyDescent="0.25">
      <c r="A6579" t="s">
        <v>12290</v>
      </c>
      <c r="B6579" t="s">
        <v>12291</v>
      </c>
      <c r="C6579" s="1">
        <v>44083</v>
      </c>
      <c r="D6579" t="b">
        <v>1</v>
      </c>
      <c r="E6579" t="s">
        <v>10</v>
      </c>
      <c r="F6579">
        <v>5499</v>
      </c>
    </row>
    <row r="6580" spans="1:6" x14ac:dyDescent="0.25">
      <c r="A6580" t="s">
        <v>12292</v>
      </c>
      <c r="B6580" t="s">
        <v>12293</v>
      </c>
      <c r="C6580" s="1">
        <v>44083</v>
      </c>
      <c r="D6580" t="b">
        <v>1</v>
      </c>
      <c r="E6580" t="s">
        <v>10</v>
      </c>
      <c r="F6580">
        <v>5640</v>
      </c>
    </row>
    <row r="6581" spans="1:6" x14ac:dyDescent="0.25">
      <c r="A6581" t="s">
        <v>12294</v>
      </c>
      <c r="B6581" t="s">
        <v>12295</v>
      </c>
      <c r="C6581" s="1">
        <v>44083</v>
      </c>
      <c r="D6581" t="b">
        <v>1</v>
      </c>
      <c r="E6581" t="s">
        <v>10</v>
      </c>
      <c r="F6581">
        <v>1401</v>
      </c>
    </row>
    <row r="6582" spans="1:6" x14ac:dyDescent="0.25">
      <c r="A6582" t="s">
        <v>12296</v>
      </c>
      <c r="B6582" t="s">
        <v>12297</v>
      </c>
      <c r="C6582" s="1">
        <v>44083</v>
      </c>
      <c r="D6582" t="b">
        <v>1</v>
      </c>
      <c r="E6582" t="s">
        <v>10</v>
      </c>
      <c r="F6582">
        <v>5642</v>
      </c>
    </row>
    <row r="6583" spans="1:6" x14ac:dyDescent="0.25">
      <c r="A6583" t="s">
        <v>12298</v>
      </c>
      <c r="B6583" t="s">
        <v>12299</v>
      </c>
      <c r="C6583" s="1">
        <v>44083</v>
      </c>
      <c r="D6583" t="b">
        <v>1</v>
      </c>
      <c r="E6583" t="s">
        <v>10</v>
      </c>
      <c r="F6583">
        <v>10923</v>
      </c>
    </row>
    <row r="6584" spans="1:6" x14ac:dyDescent="0.25">
      <c r="A6584" t="s">
        <v>12300</v>
      </c>
      <c r="B6584" t="s">
        <v>12301</v>
      </c>
      <c r="C6584" s="1">
        <v>44083</v>
      </c>
      <c r="D6584" t="b">
        <v>1</v>
      </c>
      <c r="E6584" t="s">
        <v>10</v>
      </c>
      <c r="F6584">
        <v>5643</v>
      </c>
    </row>
    <row r="6585" spans="1:6" x14ac:dyDescent="0.25">
      <c r="A6585" t="s">
        <v>12302</v>
      </c>
      <c r="B6585" t="s">
        <v>12303</v>
      </c>
      <c r="C6585" s="1">
        <v>44083</v>
      </c>
      <c r="D6585" t="b">
        <v>1</v>
      </c>
      <c r="E6585" t="s">
        <v>10</v>
      </c>
      <c r="F6585">
        <v>11604</v>
      </c>
    </row>
    <row r="6586" spans="1:6" x14ac:dyDescent="0.25">
      <c r="A6586" t="s">
        <v>12304</v>
      </c>
      <c r="B6586" t="s">
        <v>12305</v>
      </c>
      <c r="C6586" s="1">
        <v>44083</v>
      </c>
      <c r="D6586" t="b">
        <v>1</v>
      </c>
      <c r="E6586" t="s">
        <v>10</v>
      </c>
      <c r="F6586">
        <v>5645</v>
      </c>
    </row>
    <row r="6587" spans="1:6" x14ac:dyDescent="0.25">
      <c r="A6587" t="s">
        <v>12306</v>
      </c>
      <c r="B6587" t="s">
        <v>12307</v>
      </c>
      <c r="C6587" s="1">
        <v>44083</v>
      </c>
      <c r="D6587" t="b">
        <v>1</v>
      </c>
      <c r="E6587" t="s">
        <v>10</v>
      </c>
      <c r="F6587">
        <v>10964</v>
      </c>
    </row>
    <row r="6588" spans="1:6" x14ac:dyDescent="0.25">
      <c r="A6588" t="s">
        <v>12308</v>
      </c>
      <c r="B6588" t="s">
        <v>12309</v>
      </c>
      <c r="C6588" s="1">
        <v>44083</v>
      </c>
      <c r="D6588" t="b">
        <v>1</v>
      </c>
      <c r="E6588" t="s">
        <v>10</v>
      </c>
      <c r="F6588">
        <v>15687</v>
      </c>
    </row>
    <row r="6589" spans="1:6" x14ac:dyDescent="0.25">
      <c r="A6589" t="s">
        <v>12310</v>
      </c>
      <c r="B6589" t="s">
        <v>12311</v>
      </c>
      <c r="C6589" s="1">
        <v>44083</v>
      </c>
      <c r="D6589" t="b">
        <v>1</v>
      </c>
      <c r="E6589" t="s">
        <v>10</v>
      </c>
      <c r="F6589">
        <v>16824</v>
      </c>
    </row>
    <row r="6590" spans="1:6" x14ac:dyDescent="0.25">
      <c r="A6590" t="s">
        <v>12312</v>
      </c>
      <c r="B6590" t="s">
        <v>12313</v>
      </c>
      <c r="C6590" s="1">
        <v>44083</v>
      </c>
      <c r="D6590" t="b">
        <v>1</v>
      </c>
      <c r="E6590" t="s">
        <v>10</v>
      </c>
      <c r="F6590">
        <v>10061</v>
      </c>
    </row>
    <row r="6591" spans="1:6" x14ac:dyDescent="0.25">
      <c r="A6591" t="s">
        <v>12314</v>
      </c>
      <c r="B6591" t="s">
        <v>12315</v>
      </c>
      <c r="C6591" s="1">
        <v>44083</v>
      </c>
      <c r="D6591" t="b">
        <v>1</v>
      </c>
      <c r="E6591" t="s">
        <v>10</v>
      </c>
      <c r="F6591">
        <v>10062</v>
      </c>
    </row>
    <row r="6592" spans="1:6" x14ac:dyDescent="0.25">
      <c r="A6592" t="s">
        <v>12316</v>
      </c>
      <c r="B6592" t="s">
        <v>12317</v>
      </c>
      <c r="C6592" s="1">
        <v>44083</v>
      </c>
      <c r="D6592" t="b">
        <v>1</v>
      </c>
      <c r="E6592" t="s">
        <v>10</v>
      </c>
      <c r="F6592">
        <v>3882</v>
      </c>
    </row>
    <row r="6593" spans="1:6" x14ac:dyDescent="0.25">
      <c r="A6593" t="s">
        <v>12318</v>
      </c>
      <c r="B6593" t="s">
        <v>12319</v>
      </c>
      <c r="C6593" s="1">
        <v>44083</v>
      </c>
      <c r="D6593" t="b">
        <v>1</v>
      </c>
      <c r="E6593" t="s">
        <v>10</v>
      </c>
      <c r="F6593">
        <v>5650</v>
      </c>
    </row>
    <row r="6594" spans="1:6" x14ac:dyDescent="0.25">
      <c r="A6594" t="s">
        <v>12320</v>
      </c>
      <c r="B6594" t="s">
        <v>12321</v>
      </c>
      <c r="C6594" s="1">
        <v>44083</v>
      </c>
      <c r="D6594" t="b">
        <v>1</v>
      </c>
      <c r="E6594" t="s">
        <v>10</v>
      </c>
      <c r="F6594">
        <v>10063</v>
      </c>
    </row>
    <row r="6595" spans="1:6" x14ac:dyDescent="0.25">
      <c r="A6595" t="s">
        <v>12322</v>
      </c>
      <c r="B6595" t="s">
        <v>12323</v>
      </c>
      <c r="C6595" s="1">
        <v>44083</v>
      </c>
      <c r="D6595" t="b">
        <v>1</v>
      </c>
      <c r="E6595" t="s">
        <v>10</v>
      </c>
      <c r="F6595">
        <v>5651</v>
      </c>
    </row>
    <row r="6596" spans="1:6" x14ac:dyDescent="0.25">
      <c r="A6596" t="s">
        <v>12324</v>
      </c>
      <c r="B6596" t="s">
        <v>12325</v>
      </c>
      <c r="C6596" s="1">
        <v>44083</v>
      </c>
      <c r="D6596" t="b">
        <v>1</v>
      </c>
      <c r="E6596" t="s">
        <v>10</v>
      </c>
      <c r="F6596">
        <v>16036</v>
      </c>
    </row>
    <row r="6597" spans="1:6" x14ac:dyDescent="0.25">
      <c r="A6597" t="s">
        <v>12326</v>
      </c>
      <c r="B6597" t="s">
        <v>12327</v>
      </c>
      <c r="C6597" s="1">
        <v>44083</v>
      </c>
      <c r="D6597" t="b">
        <v>1</v>
      </c>
      <c r="E6597" t="s">
        <v>10</v>
      </c>
      <c r="F6597">
        <v>5654</v>
      </c>
    </row>
    <row r="6598" spans="1:6" x14ac:dyDescent="0.25">
      <c r="A6598" t="s">
        <v>12328</v>
      </c>
      <c r="B6598" t="s">
        <v>12329</v>
      </c>
      <c r="C6598" s="1">
        <v>44083</v>
      </c>
      <c r="D6598" t="b">
        <v>1</v>
      </c>
      <c r="E6598" t="s">
        <v>10</v>
      </c>
      <c r="F6598">
        <v>16709</v>
      </c>
    </row>
    <row r="6599" spans="1:6" x14ac:dyDescent="0.25">
      <c r="A6599" t="s">
        <v>12330</v>
      </c>
      <c r="B6599" t="s">
        <v>12331</v>
      </c>
      <c r="C6599" s="1">
        <v>44083</v>
      </c>
      <c r="D6599" t="b">
        <v>1</v>
      </c>
      <c r="E6599" t="s">
        <v>10</v>
      </c>
      <c r="F6599">
        <v>5656</v>
      </c>
    </row>
    <row r="6600" spans="1:6" x14ac:dyDescent="0.25">
      <c r="A6600" t="s">
        <v>12332</v>
      </c>
      <c r="B6600" t="s">
        <v>12333</v>
      </c>
      <c r="C6600" s="1">
        <v>44083</v>
      </c>
      <c r="D6600" t="b">
        <v>1</v>
      </c>
      <c r="E6600" t="s">
        <v>10</v>
      </c>
      <c r="F6600">
        <v>974</v>
      </c>
    </row>
    <row r="6601" spans="1:6" x14ac:dyDescent="0.25">
      <c r="A6601" t="s">
        <v>12334</v>
      </c>
      <c r="B6601" t="s">
        <v>12335</v>
      </c>
      <c r="C6601" s="1">
        <v>44083</v>
      </c>
      <c r="D6601" t="b">
        <v>1</v>
      </c>
      <c r="E6601" t="s">
        <v>10</v>
      </c>
      <c r="F6601">
        <v>975</v>
      </c>
    </row>
    <row r="6602" spans="1:6" x14ac:dyDescent="0.25">
      <c r="A6602" t="s">
        <v>12336</v>
      </c>
      <c r="B6602" t="s">
        <v>12337</v>
      </c>
      <c r="C6602" s="1">
        <v>44083</v>
      </c>
      <c r="D6602" t="b">
        <v>1</v>
      </c>
      <c r="E6602" t="s">
        <v>10</v>
      </c>
      <c r="F6602">
        <v>5659</v>
      </c>
    </row>
    <row r="6603" spans="1:6" x14ac:dyDescent="0.25">
      <c r="A6603" t="s">
        <v>12338</v>
      </c>
      <c r="B6603" t="s">
        <v>12339</v>
      </c>
      <c r="C6603" s="1">
        <v>44083</v>
      </c>
      <c r="D6603" t="b">
        <v>1</v>
      </c>
      <c r="E6603" t="s">
        <v>10</v>
      </c>
      <c r="F6603">
        <v>5660</v>
      </c>
    </row>
    <row r="6604" spans="1:6" x14ac:dyDescent="0.25">
      <c r="A6604" t="s">
        <v>12340</v>
      </c>
      <c r="B6604" t="s">
        <v>12341</v>
      </c>
      <c r="C6604" s="1">
        <v>44083</v>
      </c>
      <c r="D6604" t="b">
        <v>1</v>
      </c>
      <c r="E6604" t="s">
        <v>10</v>
      </c>
      <c r="F6604">
        <v>5661</v>
      </c>
    </row>
    <row r="6605" spans="1:6" x14ac:dyDescent="0.25">
      <c r="A6605" t="s">
        <v>12342</v>
      </c>
      <c r="C6605" s="1">
        <v>44083</v>
      </c>
      <c r="D6605" t="b">
        <v>1</v>
      </c>
      <c r="E6605" t="s">
        <v>10</v>
      </c>
      <c r="F6605">
        <v>14616</v>
      </c>
    </row>
    <row r="6606" spans="1:6" x14ac:dyDescent="0.25">
      <c r="A6606" t="s">
        <v>12343</v>
      </c>
      <c r="C6606" s="1">
        <v>44083</v>
      </c>
      <c r="D6606" t="b">
        <v>1</v>
      </c>
      <c r="E6606" t="s">
        <v>10</v>
      </c>
      <c r="F6606">
        <v>14617</v>
      </c>
    </row>
    <row r="6607" spans="1:6" x14ac:dyDescent="0.25">
      <c r="A6607" t="s">
        <v>12344</v>
      </c>
      <c r="B6607" t="s">
        <v>12345</v>
      </c>
      <c r="C6607" s="1">
        <v>44083</v>
      </c>
      <c r="D6607" t="b">
        <v>1</v>
      </c>
      <c r="E6607" t="s">
        <v>10</v>
      </c>
      <c r="F6607">
        <v>8116</v>
      </c>
    </row>
    <row r="6608" spans="1:6" x14ac:dyDescent="0.25">
      <c r="A6608" t="s">
        <v>12346</v>
      </c>
      <c r="B6608" t="s">
        <v>12347</v>
      </c>
      <c r="C6608" s="1">
        <v>44083</v>
      </c>
      <c r="D6608" t="b">
        <v>1</v>
      </c>
      <c r="E6608" t="s">
        <v>10</v>
      </c>
      <c r="F6608">
        <v>14350</v>
      </c>
    </row>
    <row r="6609" spans="1:6" x14ac:dyDescent="0.25">
      <c r="A6609" t="s">
        <v>12348</v>
      </c>
      <c r="B6609" t="s">
        <v>12349</v>
      </c>
      <c r="C6609" s="1">
        <v>44083</v>
      </c>
      <c r="D6609" t="b">
        <v>1</v>
      </c>
      <c r="E6609" t="s">
        <v>10</v>
      </c>
      <c r="F6609">
        <v>12471</v>
      </c>
    </row>
    <row r="6610" spans="1:6" x14ac:dyDescent="0.25">
      <c r="A6610" t="s">
        <v>12350</v>
      </c>
      <c r="B6610" t="s">
        <v>12351</v>
      </c>
      <c r="C6610" s="1">
        <v>44083</v>
      </c>
      <c r="D6610" t="b">
        <v>1</v>
      </c>
      <c r="E6610" t="s">
        <v>10</v>
      </c>
      <c r="F6610">
        <v>11097</v>
      </c>
    </row>
    <row r="6611" spans="1:6" x14ac:dyDescent="0.25">
      <c r="A6611" t="s">
        <v>12352</v>
      </c>
      <c r="B6611" t="s">
        <v>12353</v>
      </c>
      <c r="C6611" s="1">
        <v>44083</v>
      </c>
      <c r="D6611" t="b">
        <v>1</v>
      </c>
      <c r="E6611" t="s">
        <v>10</v>
      </c>
      <c r="F6611">
        <v>15253</v>
      </c>
    </row>
    <row r="6612" spans="1:6" x14ac:dyDescent="0.25">
      <c r="A6612" t="s">
        <v>12354</v>
      </c>
      <c r="B6612" t="s">
        <v>12355</v>
      </c>
      <c r="C6612" s="1">
        <v>44083</v>
      </c>
      <c r="D6612" t="b">
        <v>1</v>
      </c>
      <c r="E6612" t="s">
        <v>10</v>
      </c>
      <c r="F6612">
        <v>12232</v>
      </c>
    </row>
    <row r="6613" spans="1:6" x14ac:dyDescent="0.25">
      <c r="A6613" t="s">
        <v>12356</v>
      </c>
      <c r="B6613" t="s">
        <v>12357</v>
      </c>
      <c r="C6613" s="1">
        <v>44083</v>
      </c>
      <c r="D6613" t="b">
        <v>1</v>
      </c>
      <c r="E6613" t="s">
        <v>10</v>
      </c>
      <c r="F6613">
        <v>16207</v>
      </c>
    </row>
    <row r="6614" spans="1:6" x14ac:dyDescent="0.25">
      <c r="A6614" t="s">
        <v>12358</v>
      </c>
      <c r="B6614" t="s">
        <v>12359</v>
      </c>
      <c r="C6614" s="1">
        <v>44083</v>
      </c>
      <c r="D6614" t="b">
        <v>1</v>
      </c>
      <c r="E6614" t="s">
        <v>10</v>
      </c>
      <c r="F6614">
        <v>5668</v>
      </c>
    </row>
    <row r="6615" spans="1:6" x14ac:dyDescent="0.25">
      <c r="A6615" t="s">
        <v>12360</v>
      </c>
      <c r="B6615" t="s">
        <v>12361</v>
      </c>
      <c r="C6615" s="1">
        <v>44083</v>
      </c>
      <c r="D6615" t="b">
        <v>1</v>
      </c>
      <c r="E6615" t="s">
        <v>10</v>
      </c>
      <c r="F6615">
        <v>5669</v>
      </c>
    </row>
    <row r="6616" spans="1:6" x14ac:dyDescent="0.25">
      <c r="A6616" t="s">
        <v>12362</v>
      </c>
      <c r="B6616" t="s">
        <v>12363</v>
      </c>
      <c r="C6616" s="1">
        <v>44083</v>
      </c>
      <c r="D6616" t="b">
        <v>1</v>
      </c>
      <c r="E6616" t="s">
        <v>10</v>
      </c>
      <c r="F6616">
        <v>5670</v>
      </c>
    </row>
    <row r="6617" spans="1:6" x14ac:dyDescent="0.25">
      <c r="A6617" t="s">
        <v>12364</v>
      </c>
      <c r="B6617" t="s">
        <v>12365</v>
      </c>
      <c r="C6617" s="1">
        <v>44083</v>
      </c>
      <c r="D6617" t="b">
        <v>1</v>
      </c>
      <c r="E6617" t="s">
        <v>10</v>
      </c>
      <c r="F6617">
        <v>4749</v>
      </c>
    </row>
    <row r="6618" spans="1:6" x14ac:dyDescent="0.25">
      <c r="A6618" t="s">
        <v>12366</v>
      </c>
      <c r="B6618" t="s">
        <v>12367</v>
      </c>
      <c r="C6618" s="1">
        <v>44083</v>
      </c>
      <c r="D6618" t="b">
        <v>1</v>
      </c>
      <c r="E6618" t="s">
        <v>10</v>
      </c>
      <c r="F6618">
        <v>5676</v>
      </c>
    </row>
    <row r="6619" spans="1:6" x14ac:dyDescent="0.25">
      <c r="A6619" t="s">
        <v>12368</v>
      </c>
      <c r="C6619" s="1">
        <v>44083</v>
      </c>
      <c r="D6619" t="b">
        <v>1</v>
      </c>
      <c r="E6619" t="s">
        <v>10</v>
      </c>
      <c r="F6619">
        <v>8474</v>
      </c>
    </row>
    <row r="6620" spans="1:6" x14ac:dyDescent="0.25">
      <c r="A6620" t="s">
        <v>12369</v>
      </c>
      <c r="B6620" t="s">
        <v>12370</v>
      </c>
      <c r="C6620" s="1">
        <v>44083</v>
      </c>
      <c r="D6620" t="b">
        <v>1</v>
      </c>
      <c r="E6620" t="s">
        <v>10</v>
      </c>
      <c r="F6620">
        <v>5677</v>
      </c>
    </row>
    <row r="6621" spans="1:6" x14ac:dyDescent="0.25">
      <c r="A6621" t="s">
        <v>12371</v>
      </c>
      <c r="B6621" t="s">
        <v>12372</v>
      </c>
      <c r="C6621" s="1">
        <v>44083</v>
      </c>
      <c r="D6621" t="b">
        <v>1</v>
      </c>
      <c r="E6621" t="s">
        <v>10</v>
      </c>
      <c r="F6621">
        <v>5678</v>
      </c>
    </row>
    <row r="6622" spans="1:6" x14ac:dyDescent="0.25">
      <c r="A6622" t="s">
        <v>12373</v>
      </c>
      <c r="B6622" t="s">
        <v>12374</v>
      </c>
      <c r="C6622" s="1">
        <v>44083</v>
      </c>
      <c r="D6622" t="b">
        <v>1</v>
      </c>
      <c r="E6622" t="s">
        <v>10</v>
      </c>
      <c r="F6622">
        <v>15838</v>
      </c>
    </row>
    <row r="6623" spans="1:6" x14ac:dyDescent="0.25">
      <c r="A6623" t="s">
        <v>12375</v>
      </c>
      <c r="B6623" t="s">
        <v>12376</v>
      </c>
      <c r="C6623" s="1">
        <v>44083</v>
      </c>
      <c r="D6623" t="b">
        <v>1</v>
      </c>
      <c r="E6623" t="s">
        <v>10</v>
      </c>
      <c r="F6623">
        <v>5681</v>
      </c>
    </row>
    <row r="6624" spans="1:6" x14ac:dyDescent="0.25">
      <c r="A6624" t="s">
        <v>12377</v>
      </c>
      <c r="B6624" t="s">
        <v>12378</v>
      </c>
      <c r="C6624" s="1">
        <v>44083</v>
      </c>
      <c r="D6624" t="b">
        <v>1</v>
      </c>
      <c r="E6624" t="s">
        <v>10</v>
      </c>
      <c r="F6624">
        <v>5682</v>
      </c>
    </row>
    <row r="6625" spans="1:6" x14ac:dyDescent="0.25">
      <c r="A6625" t="s">
        <v>12379</v>
      </c>
      <c r="B6625" t="s">
        <v>12380</v>
      </c>
      <c r="C6625" s="1">
        <v>44083</v>
      </c>
      <c r="D6625" t="b">
        <v>1</v>
      </c>
      <c r="E6625" t="s">
        <v>10</v>
      </c>
      <c r="F6625">
        <v>13894</v>
      </c>
    </row>
    <row r="6626" spans="1:6" x14ac:dyDescent="0.25">
      <c r="A6626" t="s">
        <v>12381</v>
      </c>
      <c r="B6626" t="s">
        <v>12382</v>
      </c>
      <c r="C6626" s="1">
        <v>44083</v>
      </c>
      <c r="D6626" t="b">
        <v>1</v>
      </c>
      <c r="E6626" t="s">
        <v>10</v>
      </c>
      <c r="F6626">
        <v>5684</v>
      </c>
    </row>
    <row r="6627" spans="1:6" x14ac:dyDescent="0.25">
      <c r="A6627" t="s">
        <v>12383</v>
      </c>
      <c r="B6627" t="s">
        <v>12384</v>
      </c>
      <c r="C6627" s="1">
        <v>44083</v>
      </c>
      <c r="D6627" t="b">
        <v>1</v>
      </c>
      <c r="E6627" t="s">
        <v>10</v>
      </c>
      <c r="F6627">
        <v>5686</v>
      </c>
    </row>
    <row r="6628" spans="1:6" x14ac:dyDescent="0.25">
      <c r="A6628" t="s">
        <v>12385</v>
      </c>
      <c r="B6628" t="s">
        <v>12386</v>
      </c>
      <c r="C6628" s="1">
        <v>44083</v>
      </c>
      <c r="D6628" t="b">
        <v>1</v>
      </c>
      <c r="E6628" t="s">
        <v>10</v>
      </c>
      <c r="F6628">
        <v>5688</v>
      </c>
    </row>
    <row r="6629" spans="1:6" x14ac:dyDescent="0.25">
      <c r="A6629" t="s">
        <v>12387</v>
      </c>
      <c r="B6629" t="s">
        <v>12388</v>
      </c>
      <c r="C6629" s="1">
        <v>44083</v>
      </c>
      <c r="D6629" t="b">
        <v>1</v>
      </c>
      <c r="E6629" t="s">
        <v>10</v>
      </c>
      <c r="F6629">
        <v>5689</v>
      </c>
    </row>
    <row r="6630" spans="1:6" x14ac:dyDescent="0.25">
      <c r="A6630" t="s">
        <v>12389</v>
      </c>
      <c r="B6630" t="s">
        <v>11612</v>
      </c>
      <c r="C6630" s="1">
        <v>44083</v>
      </c>
      <c r="D6630" t="b">
        <v>1</v>
      </c>
      <c r="E6630" t="s">
        <v>10</v>
      </c>
      <c r="F6630">
        <v>5690</v>
      </c>
    </row>
    <row r="6631" spans="1:6" x14ac:dyDescent="0.25">
      <c r="A6631" t="s">
        <v>12390</v>
      </c>
      <c r="B6631" t="s">
        <v>12391</v>
      </c>
      <c r="C6631" s="1">
        <v>44083</v>
      </c>
      <c r="D6631" t="b">
        <v>1</v>
      </c>
      <c r="E6631" t="s">
        <v>10</v>
      </c>
      <c r="F6631">
        <v>5691</v>
      </c>
    </row>
    <row r="6632" spans="1:6" x14ac:dyDescent="0.25">
      <c r="A6632" t="s">
        <v>12392</v>
      </c>
      <c r="B6632" t="s">
        <v>12393</v>
      </c>
      <c r="C6632" s="1">
        <v>44083</v>
      </c>
      <c r="D6632" t="b">
        <v>1</v>
      </c>
      <c r="E6632" t="s">
        <v>10</v>
      </c>
      <c r="F6632">
        <v>5692</v>
      </c>
    </row>
    <row r="6633" spans="1:6" x14ac:dyDescent="0.25">
      <c r="A6633" t="s">
        <v>12394</v>
      </c>
      <c r="B6633" t="s">
        <v>12395</v>
      </c>
      <c r="C6633" s="1">
        <v>44083</v>
      </c>
      <c r="D6633" t="b">
        <v>1</v>
      </c>
      <c r="E6633" t="s">
        <v>10</v>
      </c>
      <c r="F6633">
        <v>5693</v>
      </c>
    </row>
    <row r="6634" spans="1:6" x14ac:dyDescent="0.25">
      <c r="A6634" t="s">
        <v>12396</v>
      </c>
      <c r="B6634" t="s">
        <v>12397</v>
      </c>
      <c r="C6634" s="1">
        <v>44083</v>
      </c>
      <c r="D6634" t="b">
        <v>1</v>
      </c>
      <c r="E6634" t="s">
        <v>10</v>
      </c>
      <c r="F6634">
        <v>5697</v>
      </c>
    </row>
    <row r="6635" spans="1:6" x14ac:dyDescent="0.25">
      <c r="A6635" t="s">
        <v>12398</v>
      </c>
      <c r="B6635" t="s">
        <v>12399</v>
      </c>
      <c r="C6635" s="1">
        <v>44083</v>
      </c>
      <c r="D6635" t="b">
        <v>1</v>
      </c>
      <c r="E6635" t="s">
        <v>10</v>
      </c>
      <c r="F6635">
        <v>5702</v>
      </c>
    </row>
    <row r="6636" spans="1:6" x14ac:dyDescent="0.25">
      <c r="A6636" t="s">
        <v>12400</v>
      </c>
      <c r="B6636" t="s">
        <v>12401</v>
      </c>
      <c r="C6636" s="1">
        <v>44083</v>
      </c>
      <c r="D6636" t="b">
        <v>1</v>
      </c>
      <c r="E6636" t="s">
        <v>10</v>
      </c>
      <c r="F6636">
        <v>10733</v>
      </c>
    </row>
    <row r="6637" spans="1:6" x14ac:dyDescent="0.25">
      <c r="A6637" t="s">
        <v>12402</v>
      </c>
      <c r="B6637" t="s">
        <v>12403</v>
      </c>
      <c r="C6637" s="1">
        <v>44083</v>
      </c>
      <c r="D6637" t="b">
        <v>1</v>
      </c>
      <c r="E6637" t="s">
        <v>10</v>
      </c>
      <c r="F6637">
        <v>11175</v>
      </c>
    </row>
    <row r="6638" spans="1:6" x14ac:dyDescent="0.25">
      <c r="A6638" t="s">
        <v>12404</v>
      </c>
      <c r="B6638" t="s">
        <v>12405</v>
      </c>
      <c r="C6638" s="1">
        <v>44083</v>
      </c>
      <c r="D6638" t="b">
        <v>1</v>
      </c>
      <c r="E6638" t="s">
        <v>10</v>
      </c>
      <c r="F6638">
        <v>5711</v>
      </c>
    </row>
    <row r="6639" spans="1:6" x14ac:dyDescent="0.25">
      <c r="A6639" t="s">
        <v>12406</v>
      </c>
      <c r="B6639" t="s">
        <v>12407</v>
      </c>
      <c r="C6639" s="1">
        <v>44083</v>
      </c>
      <c r="D6639" t="b">
        <v>1</v>
      </c>
      <c r="E6639" t="s">
        <v>10</v>
      </c>
      <c r="F6639">
        <v>9376</v>
      </c>
    </row>
    <row r="6640" spans="1:6" x14ac:dyDescent="0.25">
      <c r="A6640" t="s">
        <v>12408</v>
      </c>
      <c r="B6640" t="s">
        <v>12409</v>
      </c>
      <c r="C6640" s="1">
        <v>44083</v>
      </c>
      <c r="D6640" t="b">
        <v>1</v>
      </c>
      <c r="E6640" t="s">
        <v>10</v>
      </c>
      <c r="F6640">
        <v>14942</v>
      </c>
    </row>
    <row r="6641" spans="1:6" x14ac:dyDescent="0.25">
      <c r="A6641" t="s">
        <v>12410</v>
      </c>
      <c r="B6641" t="s">
        <v>12411</v>
      </c>
      <c r="C6641" s="1">
        <v>44083</v>
      </c>
      <c r="D6641" t="b">
        <v>1</v>
      </c>
      <c r="E6641" t="s">
        <v>10</v>
      </c>
      <c r="F6641">
        <v>10260</v>
      </c>
    </row>
    <row r="6642" spans="1:6" x14ac:dyDescent="0.25">
      <c r="A6642" t="s">
        <v>12412</v>
      </c>
      <c r="C6642" s="1">
        <v>44083</v>
      </c>
      <c r="D6642" t="b">
        <v>1</v>
      </c>
      <c r="E6642" t="s">
        <v>10</v>
      </c>
      <c r="F6642">
        <v>5712</v>
      </c>
    </row>
    <row r="6643" spans="1:6" x14ac:dyDescent="0.25">
      <c r="A6643" t="s">
        <v>12413</v>
      </c>
      <c r="C6643" s="1">
        <v>44083</v>
      </c>
      <c r="D6643" t="b">
        <v>1</v>
      </c>
      <c r="E6643" t="s">
        <v>10</v>
      </c>
      <c r="F6643">
        <v>5713</v>
      </c>
    </row>
    <row r="6644" spans="1:6" x14ac:dyDescent="0.25">
      <c r="A6644" t="s">
        <v>12414</v>
      </c>
      <c r="B6644" t="s">
        <v>12415</v>
      </c>
      <c r="C6644" s="1">
        <v>44083</v>
      </c>
      <c r="D6644" t="b">
        <v>1</v>
      </c>
      <c r="E6644" t="s">
        <v>10</v>
      </c>
      <c r="F6644">
        <v>5716</v>
      </c>
    </row>
    <row r="6645" spans="1:6" x14ac:dyDescent="0.25">
      <c r="A6645" t="s">
        <v>12416</v>
      </c>
      <c r="B6645" t="s">
        <v>12417</v>
      </c>
      <c r="C6645" s="1">
        <v>44083</v>
      </c>
      <c r="D6645" t="b">
        <v>1</v>
      </c>
      <c r="E6645" t="s">
        <v>10</v>
      </c>
      <c r="F6645">
        <v>5717</v>
      </c>
    </row>
    <row r="6646" spans="1:6" x14ac:dyDescent="0.25">
      <c r="A6646" t="s">
        <v>12418</v>
      </c>
      <c r="B6646" t="s">
        <v>12419</v>
      </c>
      <c r="C6646" s="1">
        <v>44083</v>
      </c>
      <c r="D6646" t="b">
        <v>1</v>
      </c>
      <c r="E6646" t="s">
        <v>10</v>
      </c>
      <c r="F6646">
        <v>5719</v>
      </c>
    </row>
    <row r="6647" spans="1:6" x14ac:dyDescent="0.25">
      <c r="A6647" t="s">
        <v>12420</v>
      </c>
      <c r="B6647" t="s">
        <v>12421</v>
      </c>
      <c r="C6647" s="1">
        <v>44083</v>
      </c>
      <c r="D6647" t="b">
        <v>1</v>
      </c>
      <c r="E6647" t="s">
        <v>10</v>
      </c>
      <c r="F6647">
        <v>5720</v>
      </c>
    </row>
    <row r="6648" spans="1:6" x14ac:dyDescent="0.25">
      <c r="A6648" t="s">
        <v>12422</v>
      </c>
      <c r="B6648" t="s">
        <v>12423</v>
      </c>
      <c r="C6648" s="1">
        <v>44083</v>
      </c>
      <c r="D6648" t="b">
        <v>1</v>
      </c>
      <c r="E6648" t="s">
        <v>10</v>
      </c>
      <c r="F6648">
        <v>9878</v>
      </c>
    </row>
    <row r="6649" spans="1:6" x14ac:dyDescent="0.25">
      <c r="A6649" t="s">
        <v>12424</v>
      </c>
      <c r="B6649" t="s">
        <v>12425</v>
      </c>
      <c r="C6649" s="1">
        <v>44083</v>
      </c>
      <c r="D6649" t="b">
        <v>1</v>
      </c>
      <c r="E6649" t="s">
        <v>10</v>
      </c>
      <c r="F6649">
        <v>5724</v>
      </c>
    </row>
    <row r="6650" spans="1:6" x14ac:dyDescent="0.25">
      <c r="A6650" t="s">
        <v>12426</v>
      </c>
      <c r="B6650" t="s">
        <v>12427</v>
      </c>
      <c r="C6650" s="1">
        <v>44083</v>
      </c>
      <c r="D6650" t="b">
        <v>1</v>
      </c>
      <c r="E6650" t="s">
        <v>10</v>
      </c>
      <c r="F6650">
        <v>5725</v>
      </c>
    </row>
    <row r="6651" spans="1:6" x14ac:dyDescent="0.25">
      <c r="A6651" t="s">
        <v>12428</v>
      </c>
      <c r="B6651" t="s">
        <v>12429</v>
      </c>
      <c r="C6651" s="1">
        <v>44083</v>
      </c>
      <c r="D6651" t="b">
        <v>1</v>
      </c>
      <c r="E6651" t="s">
        <v>10</v>
      </c>
      <c r="F6651">
        <v>5726</v>
      </c>
    </row>
    <row r="6652" spans="1:6" x14ac:dyDescent="0.25">
      <c r="A6652" t="s">
        <v>12430</v>
      </c>
      <c r="B6652" t="s">
        <v>12431</v>
      </c>
      <c r="C6652" s="1">
        <v>44083</v>
      </c>
      <c r="D6652" t="b">
        <v>1</v>
      </c>
      <c r="E6652" t="s">
        <v>10</v>
      </c>
      <c r="F6652">
        <v>5729</v>
      </c>
    </row>
    <row r="6653" spans="1:6" x14ac:dyDescent="0.25">
      <c r="A6653" t="s">
        <v>12432</v>
      </c>
      <c r="B6653" t="s">
        <v>12433</v>
      </c>
      <c r="C6653" s="1">
        <v>44083</v>
      </c>
      <c r="D6653" t="b">
        <v>1</v>
      </c>
      <c r="E6653" t="s">
        <v>10</v>
      </c>
      <c r="F6653">
        <v>5730</v>
      </c>
    </row>
    <row r="6654" spans="1:6" x14ac:dyDescent="0.25">
      <c r="A6654" t="s">
        <v>12434</v>
      </c>
      <c r="B6654" t="s">
        <v>12435</v>
      </c>
      <c r="C6654" s="1">
        <v>44083</v>
      </c>
      <c r="D6654" t="b">
        <v>1</v>
      </c>
      <c r="E6654" t="s">
        <v>10</v>
      </c>
      <c r="F6654">
        <v>5731</v>
      </c>
    </row>
    <row r="6655" spans="1:6" x14ac:dyDescent="0.25">
      <c r="A6655" t="s">
        <v>12436</v>
      </c>
      <c r="B6655" t="s">
        <v>12437</v>
      </c>
      <c r="C6655" s="1">
        <v>44083</v>
      </c>
      <c r="D6655" t="b">
        <v>1</v>
      </c>
      <c r="E6655" t="s">
        <v>10</v>
      </c>
      <c r="F6655">
        <v>5732</v>
      </c>
    </row>
    <row r="6656" spans="1:6" x14ac:dyDescent="0.25">
      <c r="A6656" t="s">
        <v>12438</v>
      </c>
      <c r="B6656" t="s">
        <v>12439</v>
      </c>
      <c r="C6656" s="1">
        <v>44083</v>
      </c>
      <c r="D6656" t="b">
        <v>1</v>
      </c>
      <c r="E6656" t="s">
        <v>10</v>
      </c>
      <c r="F6656">
        <v>14342</v>
      </c>
    </row>
    <row r="6657" spans="1:6" x14ac:dyDescent="0.25">
      <c r="A6657" t="s">
        <v>12440</v>
      </c>
      <c r="B6657" t="s">
        <v>12441</v>
      </c>
      <c r="C6657" s="1">
        <v>44083</v>
      </c>
      <c r="D6657" t="b">
        <v>1</v>
      </c>
      <c r="E6657" t="s">
        <v>10</v>
      </c>
      <c r="F6657">
        <v>8579</v>
      </c>
    </row>
    <row r="6658" spans="1:6" x14ac:dyDescent="0.25">
      <c r="A6658" t="s">
        <v>12442</v>
      </c>
      <c r="B6658" t="s">
        <v>12443</v>
      </c>
      <c r="C6658" s="1">
        <v>44083</v>
      </c>
      <c r="D6658" t="b">
        <v>1</v>
      </c>
      <c r="E6658" t="s">
        <v>10</v>
      </c>
      <c r="F6658">
        <v>5735</v>
      </c>
    </row>
    <row r="6659" spans="1:6" x14ac:dyDescent="0.25">
      <c r="A6659" t="s">
        <v>12444</v>
      </c>
      <c r="B6659" t="s">
        <v>12445</v>
      </c>
      <c r="C6659" s="1">
        <v>44083</v>
      </c>
      <c r="D6659" t="b">
        <v>1</v>
      </c>
      <c r="E6659" t="s">
        <v>10</v>
      </c>
      <c r="F6659">
        <v>5736</v>
      </c>
    </row>
    <row r="6660" spans="1:6" x14ac:dyDescent="0.25">
      <c r="A6660" t="s">
        <v>12446</v>
      </c>
      <c r="B6660" t="s">
        <v>12447</v>
      </c>
      <c r="C6660" s="1">
        <v>44083</v>
      </c>
      <c r="D6660" t="b">
        <v>1</v>
      </c>
      <c r="E6660" t="s">
        <v>10</v>
      </c>
      <c r="F6660">
        <v>5738</v>
      </c>
    </row>
    <row r="6661" spans="1:6" x14ac:dyDescent="0.25">
      <c r="A6661" t="s">
        <v>12448</v>
      </c>
      <c r="B6661" t="s">
        <v>12449</v>
      </c>
      <c r="C6661" s="1">
        <v>44083</v>
      </c>
      <c r="D6661" t="b">
        <v>1</v>
      </c>
      <c r="E6661" t="s">
        <v>10</v>
      </c>
      <c r="F6661">
        <v>13416</v>
      </c>
    </row>
    <row r="6662" spans="1:6" x14ac:dyDescent="0.25">
      <c r="A6662" t="s">
        <v>12450</v>
      </c>
      <c r="B6662" t="s">
        <v>12451</v>
      </c>
      <c r="C6662" s="1">
        <v>44083</v>
      </c>
      <c r="D6662" t="b">
        <v>1</v>
      </c>
      <c r="E6662" t="s">
        <v>10</v>
      </c>
      <c r="F6662">
        <v>5739</v>
      </c>
    </row>
    <row r="6663" spans="1:6" x14ac:dyDescent="0.25">
      <c r="A6663" t="s">
        <v>12452</v>
      </c>
      <c r="B6663" t="s">
        <v>12453</v>
      </c>
      <c r="C6663" s="1">
        <v>44083</v>
      </c>
      <c r="D6663" t="b">
        <v>1</v>
      </c>
      <c r="E6663" t="s">
        <v>10</v>
      </c>
      <c r="F6663">
        <v>5740</v>
      </c>
    </row>
    <row r="6664" spans="1:6" x14ac:dyDescent="0.25">
      <c r="A6664" t="s">
        <v>12454</v>
      </c>
      <c r="B6664" t="s">
        <v>12451</v>
      </c>
      <c r="C6664" s="1">
        <v>44083</v>
      </c>
      <c r="D6664" t="b">
        <v>1</v>
      </c>
      <c r="E6664" t="s">
        <v>10</v>
      </c>
      <c r="F6664">
        <v>5741</v>
      </c>
    </row>
    <row r="6665" spans="1:6" x14ac:dyDescent="0.25">
      <c r="A6665" t="s">
        <v>12455</v>
      </c>
      <c r="B6665" t="s">
        <v>12456</v>
      </c>
      <c r="C6665" s="1">
        <v>44083</v>
      </c>
      <c r="D6665" t="b">
        <v>1</v>
      </c>
      <c r="E6665" t="s">
        <v>10</v>
      </c>
      <c r="F6665">
        <v>14829</v>
      </c>
    </row>
    <row r="6666" spans="1:6" x14ac:dyDescent="0.25">
      <c r="A6666" t="s">
        <v>12457</v>
      </c>
      <c r="B6666" t="s">
        <v>12451</v>
      </c>
      <c r="C6666" s="1">
        <v>44083</v>
      </c>
      <c r="D6666" t="b">
        <v>1</v>
      </c>
      <c r="E6666" t="s">
        <v>10</v>
      </c>
      <c r="F6666">
        <v>5742</v>
      </c>
    </row>
    <row r="6667" spans="1:6" x14ac:dyDescent="0.25">
      <c r="A6667" t="s">
        <v>12458</v>
      </c>
      <c r="B6667" t="s">
        <v>12459</v>
      </c>
      <c r="C6667" s="1">
        <v>44083</v>
      </c>
      <c r="D6667" t="b">
        <v>1</v>
      </c>
      <c r="E6667" t="s">
        <v>10</v>
      </c>
      <c r="F6667">
        <v>9862</v>
      </c>
    </row>
    <row r="6668" spans="1:6" x14ac:dyDescent="0.25">
      <c r="A6668" t="s">
        <v>12460</v>
      </c>
      <c r="B6668" t="s">
        <v>12461</v>
      </c>
      <c r="C6668" s="1">
        <v>44083</v>
      </c>
      <c r="D6668" t="b">
        <v>1</v>
      </c>
      <c r="E6668" t="s">
        <v>10</v>
      </c>
      <c r="F6668">
        <v>8689</v>
      </c>
    </row>
    <row r="6669" spans="1:6" x14ac:dyDescent="0.25">
      <c r="A6669" t="s">
        <v>12462</v>
      </c>
      <c r="B6669" t="s">
        <v>12463</v>
      </c>
      <c r="C6669" s="1">
        <v>44083</v>
      </c>
      <c r="D6669" t="b">
        <v>1</v>
      </c>
      <c r="E6669" t="s">
        <v>10</v>
      </c>
      <c r="F6669">
        <v>8690</v>
      </c>
    </row>
    <row r="6670" spans="1:6" x14ac:dyDescent="0.25">
      <c r="A6670" t="s">
        <v>12464</v>
      </c>
      <c r="B6670" t="s">
        <v>12465</v>
      </c>
      <c r="C6670" s="1">
        <v>44083</v>
      </c>
      <c r="D6670" t="b">
        <v>1</v>
      </c>
      <c r="E6670" t="s">
        <v>10</v>
      </c>
      <c r="F6670">
        <v>5744</v>
      </c>
    </row>
    <row r="6671" spans="1:6" x14ac:dyDescent="0.25">
      <c r="A6671" t="s">
        <v>12466</v>
      </c>
      <c r="B6671" t="s">
        <v>12467</v>
      </c>
      <c r="C6671" s="1">
        <v>44083</v>
      </c>
      <c r="D6671" t="b">
        <v>1</v>
      </c>
      <c r="E6671" t="s">
        <v>10</v>
      </c>
      <c r="F6671">
        <v>15187</v>
      </c>
    </row>
    <row r="6672" spans="1:6" x14ac:dyDescent="0.25">
      <c r="A6672" t="s">
        <v>12468</v>
      </c>
      <c r="B6672" t="s">
        <v>12469</v>
      </c>
      <c r="C6672" s="1">
        <v>44083</v>
      </c>
      <c r="D6672" t="b">
        <v>1</v>
      </c>
      <c r="E6672" t="s">
        <v>10</v>
      </c>
      <c r="F6672">
        <v>5746</v>
      </c>
    </row>
    <row r="6673" spans="1:6" x14ac:dyDescent="0.25">
      <c r="A6673" t="s">
        <v>12470</v>
      </c>
      <c r="B6673" t="s">
        <v>12471</v>
      </c>
      <c r="C6673" s="1">
        <v>44083</v>
      </c>
      <c r="D6673" t="b">
        <v>1</v>
      </c>
      <c r="E6673" t="s">
        <v>10</v>
      </c>
      <c r="F6673">
        <v>15011</v>
      </c>
    </row>
    <row r="6674" spans="1:6" x14ac:dyDescent="0.25">
      <c r="A6674" t="s">
        <v>12472</v>
      </c>
      <c r="B6674" t="s">
        <v>12473</v>
      </c>
      <c r="C6674" s="1">
        <v>44083</v>
      </c>
      <c r="D6674" t="b">
        <v>1</v>
      </c>
      <c r="E6674" t="s">
        <v>10</v>
      </c>
      <c r="F6674">
        <v>16790</v>
      </c>
    </row>
    <row r="6675" spans="1:6" x14ac:dyDescent="0.25">
      <c r="A6675" t="s">
        <v>12474</v>
      </c>
      <c r="B6675" t="s">
        <v>12475</v>
      </c>
      <c r="C6675" s="1">
        <v>44083</v>
      </c>
      <c r="D6675" t="b">
        <v>1</v>
      </c>
      <c r="E6675" t="s">
        <v>10</v>
      </c>
      <c r="F6675">
        <v>5747</v>
      </c>
    </row>
    <row r="6676" spans="1:6" x14ac:dyDescent="0.25">
      <c r="A6676" t="s">
        <v>12476</v>
      </c>
      <c r="B6676" t="s">
        <v>12477</v>
      </c>
      <c r="C6676" s="1">
        <v>44083</v>
      </c>
      <c r="D6676" t="b">
        <v>1</v>
      </c>
      <c r="E6676" t="s">
        <v>10</v>
      </c>
      <c r="F6676">
        <v>15012</v>
      </c>
    </row>
    <row r="6677" spans="1:6" x14ac:dyDescent="0.25">
      <c r="A6677" t="s">
        <v>12478</v>
      </c>
      <c r="B6677" t="s">
        <v>12479</v>
      </c>
      <c r="C6677" s="1">
        <v>44083</v>
      </c>
      <c r="D6677" t="b">
        <v>1</v>
      </c>
      <c r="E6677" t="s">
        <v>10</v>
      </c>
      <c r="F6677">
        <v>5749</v>
      </c>
    </row>
    <row r="6678" spans="1:6" x14ac:dyDescent="0.25">
      <c r="A6678" t="s">
        <v>12480</v>
      </c>
      <c r="B6678" t="s">
        <v>12481</v>
      </c>
      <c r="C6678" s="1">
        <v>44083</v>
      </c>
      <c r="D6678" t="b">
        <v>1</v>
      </c>
      <c r="E6678" t="s">
        <v>10</v>
      </c>
      <c r="F6678">
        <v>16168</v>
      </c>
    </row>
    <row r="6679" spans="1:6" x14ac:dyDescent="0.25">
      <c r="A6679" t="s">
        <v>12482</v>
      </c>
      <c r="B6679" t="s">
        <v>12483</v>
      </c>
      <c r="C6679" s="1">
        <v>44083</v>
      </c>
      <c r="D6679" t="b">
        <v>1</v>
      </c>
      <c r="E6679" t="s">
        <v>10</v>
      </c>
      <c r="F6679">
        <v>10575</v>
      </c>
    </row>
    <row r="6680" spans="1:6" x14ac:dyDescent="0.25">
      <c r="A6680" t="s">
        <v>12484</v>
      </c>
      <c r="B6680" t="s">
        <v>12485</v>
      </c>
      <c r="C6680" s="1">
        <v>44083</v>
      </c>
      <c r="D6680" t="b">
        <v>1</v>
      </c>
      <c r="E6680" t="s">
        <v>10</v>
      </c>
      <c r="F6680">
        <v>5751</v>
      </c>
    </row>
    <row r="6681" spans="1:6" x14ac:dyDescent="0.25">
      <c r="A6681" t="s">
        <v>12486</v>
      </c>
      <c r="B6681" t="s">
        <v>12487</v>
      </c>
      <c r="C6681" s="1">
        <v>44083</v>
      </c>
      <c r="D6681" t="b">
        <v>1</v>
      </c>
      <c r="E6681" t="s">
        <v>10</v>
      </c>
      <c r="F6681">
        <v>9864</v>
      </c>
    </row>
    <row r="6682" spans="1:6" x14ac:dyDescent="0.25">
      <c r="A6682" t="s">
        <v>12488</v>
      </c>
      <c r="B6682" t="s">
        <v>12489</v>
      </c>
      <c r="C6682" s="1">
        <v>44083</v>
      </c>
      <c r="D6682" t="b">
        <v>1</v>
      </c>
      <c r="E6682" t="s">
        <v>10</v>
      </c>
      <c r="F6682">
        <v>9863</v>
      </c>
    </row>
    <row r="6683" spans="1:6" x14ac:dyDescent="0.25">
      <c r="A6683" t="s">
        <v>12490</v>
      </c>
      <c r="B6683" t="s">
        <v>12491</v>
      </c>
      <c r="C6683" s="1">
        <v>44083</v>
      </c>
      <c r="D6683" t="b">
        <v>1</v>
      </c>
      <c r="E6683" t="s">
        <v>10</v>
      </c>
      <c r="F6683">
        <v>5754</v>
      </c>
    </row>
    <row r="6684" spans="1:6" x14ac:dyDescent="0.25">
      <c r="A6684" t="s">
        <v>12492</v>
      </c>
      <c r="B6684" t="s">
        <v>12493</v>
      </c>
      <c r="C6684" s="1">
        <v>44083</v>
      </c>
      <c r="D6684" t="b">
        <v>1</v>
      </c>
      <c r="E6684" t="s">
        <v>10</v>
      </c>
      <c r="F6684">
        <v>15937</v>
      </c>
    </row>
    <row r="6685" spans="1:6" x14ac:dyDescent="0.25">
      <c r="A6685" t="s">
        <v>12494</v>
      </c>
      <c r="B6685" t="s">
        <v>12495</v>
      </c>
      <c r="C6685" s="1">
        <v>44083</v>
      </c>
      <c r="D6685" t="b">
        <v>1</v>
      </c>
      <c r="E6685" t="s">
        <v>10</v>
      </c>
      <c r="F6685">
        <v>15938</v>
      </c>
    </row>
    <row r="6686" spans="1:6" x14ac:dyDescent="0.25">
      <c r="A6686" t="s">
        <v>12496</v>
      </c>
      <c r="B6686" t="s">
        <v>12497</v>
      </c>
      <c r="C6686" s="1">
        <v>44083</v>
      </c>
      <c r="D6686" t="b">
        <v>1</v>
      </c>
      <c r="E6686" t="s">
        <v>10</v>
      </c>
      <c r="F6686">
        <v>15939</v>
      </c>
    </row>
    <row r="6687" spans="1:6" x14ac:dyDescent="0.25">
      <c r="A6687" t="s">
        <v>12498</v>
      </c>
      <c r="B6687" t="s">
        <v>12499</v>
      </c>
      <c r="C6687" s="1">
        <v>44083</v>
      </c>
      <c r="D6687" t="b">
        <v>1</v>
      </c>
      <c r="E6687" t="s">
        <v>10</v>
      </c>
      <c r="F6687">
        <v>5759</v>
      </c>
    </row>
    <row r="6688" spans="1:6" x14ac:dyDescent="0.25">
      <c r="A6688" t="s">
        <v>12500</v>
      </c>
      <c r="B6688" t="s">
        <v>12501</v>
      </c>
      <c r="C6688" s="1">
        <v>44083</v>
      </c>
      <c r="D6688" t="b">
        <v>1</v>
      </c>
      <c r="E6688" t="s">
        <v>10</v>
      </c>
      <c r="F6688">
        <v>5774</v>
      </c>
    </row>
    <row r="6689" spans="1:6" x14ac:dyDescent="0.25">
      <c r="A6689" t="s">
        <v>12502</v>
      </c>
      <c r="B6689" t="s">
        <v>12503</v>
      </c>
      <c r="C6689" s="1">
        <v>44083</v>
      </c>
      <c r="D6689" t="b">
        <v>1</v>
      </c>
      <c r="E6689" t="s">
        <v>10</v>
      </c>
      <c r="F6689">
        <v>16506</v>
      </c>
    </row>
    <row r="6690" spans="1:6" x14ac:dyDescent="0.25">
      <c r="A6690" t="s">
        <v>12504</v>
      </c>
      <c r="B6690" t="s">
        <v>12505</v>
      </c>
      <c r="C6690" s="1">
        <v>44083</v>
      </c>
      <c r="D6690" t="b">
        <v>1</v>
      </c>
      <c r="E6690" t="s">
        <v>10</v>
      </c>
      <c r="F6690">
        <v>5761</v>
      </c>
    </row>
    <row r="6691" spans="1:6" x14ac:dyDescent="0.25">
      <c r="A6691" t="s">
        <v>12506</v>
      </c>
      <c r="B6691" t="s">
        <v>12507</v>
      </c>
      <c r="C6691" s="1">
        <v>44083</v>
      </c>
      <c r="D6691" t="b">
        <v>1</v>
      </c>
      <c r="E6691" t="s">
        <v>10</v>
      </c>
      <c r="F6691">
        <v>10891</v>
      </c>
    </row>
    <row r="6692" spans="1:6" x14ac:dyDescent="0.25">
      <c r="A6692" t="s">
        <v>12508</v>
      </c>
      <c r="B6692" t="s">
        <v>12509</v>
      </c>
      <c r="C6692" s="1">
        <v>44083</v>
      </c>
      <c r="D6692" t="b">
        <v>1</v>
      </c>
      <c r="E6692" t="s">
        <v>10</v>
      </c>
      <c r="F6692">
        <v>5762</v>
      </c>
    </row>
    <row r="6693" spans="1:6" x14ac:dyDescent="0.25">
      <c r="A6693" t="s">
        <v>12510</v>
      </c>
      <c r="B6693" t="s">
        <v>12511</v>
      </c>
      <c r="C6693" s="1">
        <v>44083</v>
      </c>
      <c r="D6693" t="b">
        <v>1</v>
      </c>
      <c r="E6693" t="s">
        <v>10</v>
      </c>
      <c r="F6693">
        <v>5764</v>
      </c>
    </row>
    <row r="6694" spans="1:6" x14ac:dyDescent="0.25">
      <c r="A6694" t="s">
        <v>12512</v>
      </c>
      <c r="B6694" t="s">
        <v>12513</v>
      </c>
      <c r="C6694" s="1">
        <v>44083</v>
      </c>
      <c r="D6694" t="b">
        <v>1</v>
      </c>
      <c r="E6694" t="s">
        <v>10</v>
      </c>
      <c r="F6694">
        <v>16178</v>
      </c>
    </row>
    <row r="6695" spans="1:6" x14ac:dyDescent="0.25">
      <c r="A6695" t="s">
        <v>12514</v>
      </c>
      <c r="B6695" t="s">
        <v>12515</v>
      </c>
      <c r="C6695" s="1">
        <v>44083</v>
      </c>
      <c r="D6695" t="b">
        <v>1</v>
      </c>
      <c r="E6695" t="s">
        <v>10</v>
      </c>
      <c r="F6695">
        <v>5765</v>
      </c>
    </row>
    <row r="6696" spans="1:6" x14ac:dyDescent="0.25">
      <c r="A6696" t="s">
        <v>12516</v>
      </c>
      <c r="B6696" t="s">
        <v>12517</v>
      </c>
      <c r="C6696" s="1">
        <v>44083</v>
      </c>
      <c r="D6696" t="b">
        <v>1</v>
      </c>
      <c r="E6696" t="s">
        <v>10</v>
      </c>
      <c r="F6696">
        <v>5767</v>
      </c>
    </row>
    <row r="6697" spans="1:6" x14ac:dyDescent="0.25">
      <c r="A6697" t="s">
        <v>12518</v>
      </c>
      <c r="B6697" t="s">
        <v>12519</v>
      </c>
      <c r="C6697" s="1">
        <v>44083</v>
      </c>
      <c r="D6697" t="b">
        <v>1</v>
      </c>
      <c r="E6697" t="s">
        <v>10</v>
      </c>
      <c r="F6697">
        <v>9612</v>
      </c>
    </row>
    <row r="6698" spans="1:6" x14ac:dyDescent="0.25">
      <c r="A6698" t="s">
        <v>12520</v>
      </c>
      <c r="B6698" t="s">
        <v>12521</v>
      </c>
      <c r="C6698" s="1">
        <v>44083</v>
      </c>
      <c r="D6698" t="b">
        <v>1</v>
      </c>
      <c r="E6698" t="s">
        <v>10</v>
      </c>
      <c r="F6698">
        <v>5769</v>
      </c>
    </row>
    <row r="6699" spans="1:6" x14ac:dyDescent="0.25">
      <c r="A6699" t="s">
        <v>12522</v>
      </c>
      <c r="B6699" t="s">
        <v>12523</v>
      </c>
      <c r="C6699" s="1">
        <v>44083</v>
      </c>
      <c r="D6699" t="b">
        <v>1</v>
      </c>
      <c r="E6699" t="s">
        <v>10</v>
      </c>
      <c r="F6699">
        <v>15743</v>
      </c>
    </row>
    <row r="6700" spans="1:6" x14ac:dyDescent="0.25">
      <c r="A6700" t="s">
        <v>12524</v>
      </c>
      <c r="B6700" t="s">
        <v>12525</v>
      </c>
      <c r="C6700" s="1">
        <v>44083</v>
      </c>
      <c r="D6700" t="b">
        <v>1</v>
      </c>
      <c r="E6700" t="s">
        <v>10</v>
      </c>
      <c r="F6700">
        <v>8645</v>
      </c>
    </row>
    <row r="6701" spans="1:6" x14ac:dyDescent="0.25">
      <c r="A6701" t="s">
        <v>12526</v>
      </c>
      <c r="B6701" t="s">
        <v>12527</v>
      </c>
      <c r="C6701" s="1">
        <v>44083</v>
      </c>
      <c r="D6701" t="b">
        <v>1</v>
      </c>
      <c r="E6701" t="s">
        <v>10</v>
      </c>
      <c r="F6701">
        <v>17175</v>
      </c>
    </row>
    <row r="6702" spans="1:6" x14ac:dyDescent="0.25">
      <c r="A6702" t="s">
        <v>12528</v>
      </c>
      <c r="B6702" t="s">
        <v>12529</v>
      </c>
      <c r="C6702" s="1">
        <v>44083</v>
      </c>
      <c r="D6702" t="b">
        <v>1</v>
      </c>
      <c r="E6702" t="s">
        <v>10</v>
      </c>
      <c r="F6702">
        <v>17176</v>
      </c>
    </row>
    <row r="6703" spans="1:6" x14ac:dyDescent="0.25">
      <c r="A6703" t="s">
        <v>12530</v>
      </c>
      <c r="B6703" t="s">
        <v>12531</v>
      </c>
      <c r="C6703" s="1">
        <v>44083</v>
      </c>
      <c r="D6703" t="b">
        <v>1</v>
      </c>
      <c r="E6703" t="s">
        <v>10</v>
      </c>
      <c r="F6703">
        <v>4089</v>
      </c>
    </row>
    <row r="6704" spans="1:6" x14ac:dyDescent="0.25">
      <c r="A6704" t="s">
        <v>12532</v>
      </c>
      <c r="B6704" t="s">
        <v>12533</v>
      </c>
      <c r="C6704" s="1">
        <v>44083</v>
      </c>
      <c r="D6704" t="b">
        <v>1</v>
      </c>
      <c r="E6704" t="s">
        <v>10</v>
      </c>
      <c r="F6704">
        <v>4090</v>
      </c>
    </row>
    <row r="6705" spans="1:6" x14ac:dyDescent="0.25">
      <c r="A6705" t="s">
        <v>12534</v>
      </c>
      <c r="C6705" s="1">
        <v>44083</v>
      </c>
      <c r="D6705" t="b">
        <v>1</v>
      </c>
      <c r="E6705" t="s">
        <v>10</v>
      </c>
      <c r="F6705">
        <v>17177</v>
      </c>
    </row>
    <row r="6706" spans="1:6" x14ac:dyDescent="0.25">
      <c r="A6706" t="s">
        <v>12535</v>
      </c>
      <c r="B6706" t="s">
        <v>12536</v>
      </c>
      <c r="C6706" s="1">
        <v>44083</v>
      </c>
      <c r="D6706" t="b">
        <v>1</v>
      </c>
      <c r="E6706" t="s">
        <v>10</v>
      </c>
      <c r="F6706">
        <v>9628</v>
      </c>
    </row>
    <row r="6707" spans="1:6" x14ac:dyDescent="0.25">
      <c r="A6707" t="s">
        <v>12537</v>
      </c>
      <c r="B6707" t="s">
        <v>12538</v>
      </c>
      <c r="C6707" s="1">
        <v>44083</v>
      </c>
      <c r="D6707" t="b">
        <v>1</v>
      </c>
      <c r="E6707" t="s">
        <v>10</v>
      </c>
      <c r="F6707">
        <v>9576</v>
      </c>
    </row>
    <row r="6708" spans="1:6" x14ac:dyDescent="0.25">
      <c r="A6708" t="s">
        <v>12539</v>
      </c>
      <c r="B6708" t="s">
        <v>12540</v>
      </c>
      <c r="C6708" s="1">
        <v>44083</v>
      </c>
      <c r="D6708" t="b">
        <v>1</v>
      </c>
      <c r="E6708" t="s">
        <v>10</v>
      </c>
      <c r="F6708">
        <v>2390</v>
      </c>
    </row>
    <row r="6709" spans="1:6" x14ac:dyDescent="0.25">
      <c r="A6709" t="s">
        <v>12541</v>
      </c>
      <c r="B6709" t="s">
        <v>12542</v>
      </c>
      <c r="C6709" s="1">
        <v>44083</v>
      </c>
      <c r="D6709" t="b">
        <v>1</v>
      </c>
      <c r="E6709" t="s">
        <v>10</v>
      </c>
      <c r="F6709">
        <v>5773</v>
      </c>
    </row>
    <row r="6710" spans="1:6" x14ac:dyDescent="0.25">
      <c r="A6710" t="s">
        <v>12543</v>
      </c>
      <c r="B6710" t="s">
        <v>12544</v>
      </c>
      <c r="C6710" s="1">
        <v>44083</v>
      </c>
      <c r="D6710" t="b">
        <v>1</v>
      </c>
      <c r="E6710" t="s">
        <v>10</v>
      </c>
      <c r="F6710">
        <v>8424</v>
      </c>
    </row>
    <row r="6711" spans="1:6" x14ac:dyDescent="0.25">
      <c r="A6711" t="s">
        <v>12545</v>
      </c>
      <c r="B6711" t="s">
        <v>12546</v>
      </c>
      <c r="C6711" s="1">
        <v>44083</v>
      </c>
      <c r="D6711" t="b">
        <v>1</v>
      </c>
      <c r="E6711" t="s">
        <v>10</v>
      </c>
      <c r="F6711">
        <v>13769</v>
      </c>
    </row>
    <row r="6712" spans="1:6" x14ac:dyDescent="0.25">
      <c r="A6712" t="s">
        <v>12547</v>
      </c>
      <c r="B6712" t="s">
        <v>12548</v>
      </c>
      <c r="C6712" s="1">
        <v>44083</v>
      </c>
      <c r="D6712" t="b">
        <v>1</v>
      </c>
      <c r="E6712" t="s">
        <v>10</v>
      </c>
      <c r="F6712">
        <v>7864</v>
      </c>
    </row>
    <row r="6713" spans="1:6" x14ac:dyDescent="0.25">
      <c r="A6713" t="s">
        <v>12549</v>
      </c>
      <c r="C6713" s="1">
        <v>44083</v>
      </c>
      <c r="D6713" t="b">
        <v>1</v>
      </c>
      <c r="E6713" t="s">
        <v>10</v>
      </c>
      <c r="F6713">
        <v>14263</v>
      </c>
    </row>
    <row r="6714" spans="1:6" x14ac:dyDescent="0.25">
      <c r="A6714" t="s">
        <v>12550</v>
      </c>
      <c r="C6714" s="1">
        <v>44083</v>
      </c>
      <c r="D6714" t="b">
        <v>1</v>
      </c>
      <c r="E6714" t="s">
        <v>10</v>
      </c>
      <c r="F6714">
        <v>14788</v>
      </c>
    </row>
    <row r="6715" spans="1:6" x14ac:dyDescent="0.25">
      <c r="A6715" t="s">
        <v>12551</v>
      </c>
      <c r="B6715" t="s">
        <v>12552</v>
      </c>
      <c r="C6715" s="1">
        <v>44083</v>
      </c>
      <c r="D6715" t="b">
        <v>1</v>
      </c>
      <c r="E6715" t="s">
        <v>10</v>
      </c>
      <c r="F6715">
        <v>14938</v>
      </c>
    </row>
    <row r="6716" spans="1:6" x14ac:dyDescent="0.25">
      <c r="A6716" t="s">
        <v>12553</v>
      </c>
      <c r="B6716" t="s">
        <v>12554</v>
      </c>
      <c r="C6716" s="1">
        <v>44083</v>
      </c>
      <c r="D6716" t="b">
        <v>1</v>
      </c>
      <c r="E6716" t="s">
        <v>10</v>
      </c>
      <c r="F6716">
        <v>14980</v>
      </c>
    </row>
    <row r="6717" spans="1:6" x14ac:dyDescent="0.25">
      <c r="A6717" t="s">
        <v>12555</v>
      </c>
      <c r="B6717" t="s">
        <v>12556</v>
      </c>
      <c r="C6717" s="1">
        <v>44083</v>
      </c>
      <c r="D6717" t="b">
        <v>1</v>
      </c>
      <c r="E6717" t="s">
        <v>10</v>
      </c>
      <c r="F6717">
        <v>8470</v>
      </c>
    </row>
    <row r="6718" spans="1:6" x14ac:dyDescent="0.25">
      <c r="A6718" t="s">
        <v>12557</v>
      </c>
      <c r="B6718" t="s">
        <v>12558</v>
      </c>
      <c r="C6718" s="1">
        <v>44083</v>
      </c>
      <c r="D6718" t="b">
        <v>1</v>
      </c>
      <c r="E6718" t="s">
        <v>10</v>
      </c>
      <c r="F6718">
        <v>5776</v>
      </c>
    </row>
    <row r="6719" spans="1:6" x14ac:dyDescent="0.25">
      <c r="A6719" t="s">
        <v>12559</v>
      </c>
      <c r="B6719" t="s">
        <v>12560</v>
      </c>
      <c r="C6719" s="1">
        <v>44083</v>
      </c>
      <c r="D6719" t="b">
        <v>1</v>
      </c>
      <c r="E6719" t="s">
        <v>10</v>
      </c>
      <c r="F6719">
        <v>5777</v>
      </c>
    </row>
    <row r="6720" spans="1:6" x14ac:dyDescent="0.25">
      <c r="A6720" t="s">
        <v>12561</v>
      </c>
      <c r="B6720" t="s">
        <v>12562</v>
      </c>
      <c r="C6720" s="1">
        <v>44083</v>
      </c>
      <c r="D6720" t="b">
        <v>1</v>
      </c>
      <c r="E6720" t="s">
        <v>10</v>
      </c>
      <c r="F6720">
        <v>5778</v>
      </c>
    </row>
    <row r="6721" spans="1:6" x14ac:dyDescent="0.25">
      <c r="A6721" t="s">
        <v>12563</v>
      </c>
      <c r="B6721" t="s">
        <v>12564</v>
      </c>
      <c r="C6721" s="1">
        <v>44083</v>
      </c>
      <c r="D6721" t="b">
        <v>1</v>
      </c>
      <c r="E6721" t="s">
        <v>10</v>
      </c>
      <c r="F6721">
        <v>5900</v>
      </c>
    </row>
    <row r="6722" spans="1:6" x14ac:dyDescent="0.25">
      <c r="A6722" t="s">
        <v>12565</v>
      </c>
      <c r="B6722" t="s">
        <v>12566</v>
      </c>
      <c r="C6722" s="1">
        <v>44083</v>
      </c>
      <c r="D6722" t="b">
        <v>1</v>
      </c>
      <c r="E6722" t="s">
        <v>10</v>
      </c>
      <c r="F6722">
        <v>8313</v>
      </c>
    </row>
    <row r="6723" spans="1:6" x14ac:dyDescent="0.25">
      <c r="A6723" t="s">
        <v>12567</v>
      </c>
      <c r="B6723" t="s">
        <v>12568</v>
      </c>
      <c r="C6723" s="1">
        <v>44083</v>
      </c>
      <c r="D6723" t="b">
        <v>1</v>
      </c>
      <c r="E6723" t="s">
        <v>10</v>
      </c>
      <c r="F6723">
        <v>8258</v>
      </c>
    </row>
    <row r="6724" spans="1:6" x14ac:dyDescent="0.25">
      <c r="A6724" t="s">
        <v>12569</v>
      </c>
      <c r="B6724" t="s">
        <v>12570</v>
      </c>
      <c r="C6724" s="1">
        <v>44083</v>
      </c>
      <c r="D6724" t="b">
        <v>1</v>
      </c>
      <c r="E6724" t="s">
        <v>10</v>
      </c>
      <c r="F6724">
        <v>9914</v>
      </c>
    </row>
    <row r="6725" spans="1:6" x14ac:dyDescent="0.25">
      <c r="A6725" t="s">
        <v>12571</v>
      </c>
      <c r="B6725" t="s">
        <v>12572</v>
      </c>
      <c r="C6725" s="1">
        <v>44083</v>
      </c>
      <c r="D6725" t="b">
        <v>1</v>
      </c>
      <c r="E6725" t="s">
        <v>10</v>
      </c>
      <c r="F6725">
        <v>9401</v>
      </c>
    </row>
    <row r="6726" spans="1:6" x14ac:dyDescent="0.25">
      <c r="A6726" t="s">
        <v>12573</v>
      </c>
      <c r="C6726" s="1">
        <v>44083</v>
      </c>
      <c r="D6726" t="b">
        <v>1</v>
      </c>
      <c r="E6726" t="s">
        <v>10</v>
      </c>
      <c r="F6726">
        <v>16317</v>
      </c>
    </row>
    <row r="6727" spans="1:6" x14ac:dyDescent="0.25">
      <c r="A6727" t="s">
        <v>12574</v>
      </c>
      <c r="C6727" s="1">
        <v>44083</v>
      </c>
      <c r="D6727" t="b">
        <v>1</v>
      </c>
      <c r="E6727" t="s">
        <v>10</v>
      </c>
      <c r="F6727">
        <v>15042</v>
      </c>
    </row>
    <row r="6728" spans="1:6" x14ac:dyDescent="0.25">
      <c r="A6728" t="s">
        <v>12575</v>
      </c>
      <c r="B6728" t="s">
        <v>12576</v>
      </c>
      <c r="C6728" s="1">
        <v>44083</v>
      </c>
      <c r="D6728" t="b">
        <v>1</v>
      </c>
      <c r="E6728" t="s">
        <v>10</v>
      </c>
      <c r="F6728">
        <v>9774</v>
      </c>
    </row>
    <row r="6729" spans="1:6" x14ac:dyDescent="0.25">
      <c r="A6729" t="s">
        <v>12577</v>
      </c>
      <c r="B6729" t="s">
        <v>12578</v>
      </c>
      <c r="C6729" s="1">
        <v>44083</v>
      </c>
      <c r="D6729" t="b">
        <v>1</v>
      </c>
      <c r="E6729" t="s">
        <v>10</v>
      </c>
      <c r="F6729">
        <v>8691</v>
      </c>
    </row>
    <row r="6730" spans="1:6" x14ac:dyDescent="0.25">
      <c r="A6730" t="s">
        <v>12579</v>
      </c>
      <c r="B6730" t="s">
        <v>12580</v>
      </c>
      <c r="C6730" s="1">
        <v>44083</v>
      </c>
      <c r="D6730" t="b">
        <v>1</v>
      </c>
      <c r="E6730" t="s">
        <v>10</v>
      </c>
      <c r="F6730">
        <v>15336</v>
      </c>
    </row>
    <row r="6731" spans="1:6" x14ac:dyDescent="0.25">
      <c r="A6731" t="s">
        <v>12581</v>
      </c>
      <c r="B6731" t="s">
        <v>12582</v>
      </c>
      <c r="C6731" s="1">
        <v>44083</v>
      </c>
      <c r="D6731" t="b">
        <v>1</v>
      </c>
      <c r="E6731" t="s">
        <v>10</v>
      </c>
      <c r="F6731">
        <v>5779</v>
      </c>
    </row>
    <row r="6732" spans="1:6" x14ac:dyDescent="0.25">
      <c r="A6732" t="s">
        <v>12583</v>
      </c>
      <c r="B6732" t="s">
        <v>12584</v>
      </c>
      <c r="C6732" s="1">
        <v>44083</v>
      </c>
      <c r="D6732" t="b">
        <v>1</v>
      </c>
      <c r="E6732" t="s">
        <v>10</v>
      </c>
      <c r="F6732">
        <v>12121</v>
      </c>
    </row>
    <row r="6733" spans="1:6" x14ac:dyDescent="0.25">
      <c r="A6733" t="s">
        <v>12585</v>
      </c>
      <c r="B6733" t="s">
        <v>12586</v>
      </c>
      <c r="C6733" s="1">
        <v>44083</v>
      </c>
      <c r="D6733" t="b">
        <v>1</v>
      </c>
      <c r="E6733" t="s">
        <v>10</v>
      </c>
      <c r="F6733">
        <v>14403</v>
      </c>
    </row>
    <row r="6734" spans="1:6" x14ac:dyDescent="0.25">
      <c r="A6734" t="s">
        <v>12587</v>
      </c>
      <c r="B6734" t="s">
        <v>12588</v>
      </c>
      <c r="C6734" s="1">
        <v>44083</v>
      </c>
      <c r="D6734" t="b">
        <v>1</v>
      </c>
      <c r="E6734" t="s">
        <v>10</v>
      </c>
      <c r="F6734">
        <v>16839</v>
      </c>
    </row>
    <row r="6735" spans="1:6" x14ac:dyDescent="0.25">
      <c r="A6735" t="s">
        <v>12589</v>
      </c>
      <c r="B6735" t="s">
        <v>12590</v>
      </c>
      <c r="C6735" s="1">
        <v>44083</v>
      </c>
      <c r="D6735" t="b">
        <v>1</v>
      </c>
      <c r="E6735" t="s">
        <v>10</v>
      </c>
      <c r="F6735">
        <v>10645</v>
      </c>
    </row>
    <row r="6736" spans="1:6" x14ac:dyDescent="0.25">
      <c r="A6736" t="s">
        <v>12591</v>
      </c>
      <c r="B6736" t="s">
        <v>12592</v>
      </c>
      <c r="C6736" s="1">
        <v>44083</v>
      </c>
      <c r="D6736" t="b">
        <v>1</v>
      </c>
      <c r="E6736" t="s">
        <v>10</v>
      </c>
      <c r="F6736">
        <v>5780</v>
      </c>
    </row>
    <row r="6737" spans="1:6" x14ac:dyDescent="0.25">
      <c r="A6737" t="s">
        <v>12593</v>
      </c>
      <c r="B6737" t="s">
        <v>12594</v>
      </c>
      <c r="C6737" s="1">
        <v>44083</v>
      </c>
      <c r="D6737" t="b">
        <v>1</v>
      </c>
      <c r="E6737" t="s">
        <v>10</v>
      </c>
      <c r="F6737">
        <v>5781</v>
      </c>
    </row>
    <row r="6738" spans="1:6" x14ac:dyDescent="0.25">
      <c r="A6738" t="s">
        <v>12595</v>
      </c>
      <c r="B6738" t="s">
        <v>12596</v>
      </c>
      <c r="C6738" s="1">
        <v>44083</v>
      </c>
      <c r="D6738" t="b">
        <v>1</v>
      </c>
      <c r="E6738" t="s">
        <v>10</v>
      </c>
      <c r="F6738">
        <v>16392</v>
      </c>
    </row>
    <row r="6739" spans="1:6" x14ac:dyDescent="0.25">
      <c r="A6739" t="s">
        <v>12597</v>
      </c>
      <c r="B6739" t="s">
        <v>12598</v>
      </c>
      <c r="C6739" s="1">
        <v>44083</v>
      </c>
      <c r="D6739" t="b">
        <v>1</v>
      </c>
      <c r="E6739" t="s">
        <v>10</v>
      </c>
      <c r="F6739">
        <v>5783</v>
      </c>
    </row>
    <row r="6740" spans="1:6" x14ac:dyDescent="0.25">
      <c r="A6740" t="s">
        <v>12599</v>
      </c>
      <c r="B6740" t="s">
        <v>12600</v>
      </c>
      <c r="C6740" s="1">
        <v>44083</v>
      </c>
      <c r="D6740" t="b">
        <v>1</v>
      </c>
      <c r="E6740" t="s">
        <v>10</v>
      </c>
      <c r="F6740">
        <v>5784</v>
      </c>
    </row>
    <row r="6741" spans="1:6" x14ac:dyDescent="0.25">
      <c r="A6741" t="s">
        <v>12601</v>
      </c>
      <c r="B6741" t="s">
        <v>12602</v>
      </c>
      <c r="C6741" s="1">
        <v>44083</v>
      </c>
      <c r="D6741" t="b">
        <v>1</v>
      </c>
      <c r="E6741" t="s">
        <v>10</v>
      </c>
      <c r="F6741">
        <v>82</v>
      </c>
    </row>
    <row r="6742" spans="1:6" x14ac:dyDescent="0.25">
      <c r="A6742" t="s">
        <v>12603</v>
      </c>
      <c r="B6742" t="s">
        <v>12604</v>
      </c>
      <c r="C6742" s="1">
        <v>44083</v>
      </c>
      <c r="D6742" t="b">
        <v>1</v>
      </c>
      <c r="E6742" t="s">
        <v>10</v>
      </c>
      <c r="F6742">
        <v>5786</v>
      </c>
    </row>
    <row r="6743" spans="1:6" x14ac:dyDescent="0.25">
      <c r="A6743" t="s">
        <v>12605</v>
      </c>
      <c r="B6743" t="s">
        <v>12606</v>
      </c>
      <c r="C6743" s="1">
        <v>44083</v>
      </c>
      <c r="D6743" t="b">
        <v>1</v>
      </c>
      <c r="E6743" t="s">
        <v>10</v>
      </c>
      <c r="F6743">
        <v>15913</v>
      </c>
    </row>
    <row r="6744" spans="1:6" x14ac:dyDescent="0.25">
      <c r="A6744" t="s">
        <v>12607</v>
      </c>
      <c r="B6744" t="s">
        <v>12608</v>
      </c>
      <c r="C6744" s="1">
        <v>44083</v>
      </c>
      <c r="D6744" t="b">
        <v>1</v>
      </c>
      <c r="E6744" t="s">
        <v>10</v>
      </c>
      <c r="F6744">
        <v>8241</v>
      </c>
    </row>
    <row r="6745" spans="1:6" x14ac:dyDescent="0.25">
      <c r="A6745" t="s">
        <v>12609</v>
      </c>
      <c r="B6745" t="s">
        <v>12610</v>
      </c>
      <c r="C6745" s="1">
        <v>44083</v>
      </c>
      <c r="D6745" t="b">
        <v>1</v>
      </c>
      <c r="E6745" t="s">
        <v>10</v>
      </c>
      <c r="F6745">
        <v>5727</v>
      </c>
    </row>
    <row r="6746" spans="1:6" x14ac:dyDescent="0.25">
      <c r="A6746" t="s">
        <v>12611</v>
      </c>
      <c r="B6746" t="s">
        <v>12612</v>
      </c>
      <c r="C6746" s="1">
        <v>44083</v>
      </c>
      <c r="D6746" t="b">
        <v>1</v>
      </c>
      <c r="E6746" t="s">
        <v>10</v>
      </c>
      <c r="F6746">
        <v>5792</v>
      </c>
    </row>
    <row r="6747" spans="1:6" x14ac:dyDescent="0.25">
      <c r="A6747" t="s">
        <v>12613</v>
      </c>
      <c r="B6747" t="s">
        <v>12614</v>
      </c>
      <c r="C6747" s="1">
        <v>44083</v>
      </c>
      <c r="D6747" t="b">
        <v>1</v>
      </c>
      <c r="E6747" t="s">
        <v>10</v>
      </c>
      <c r="F6747">
        <v>5793</v>
      </c>
    </row>
    <row r="6748" spans="1:6" x14ac:dyDescent="0.25">
      <c r="A6748" t="s">
        <v>12615</v>
      </c>
      <c r="B6748" t="s">
        <v>12616</v>
      </c>
      <c r="C6748" s="1">
        <v>44083</v>
      </c>
      <c r="D6748" t="b">
        <v>1</v>
      </c>
      <c r="E6748" t="s">
        <v>10</v>
      </c>
      <c r="F6748">
        <v>5795</v>
      </c>
    </row>
    <row r="6749" spans="1:6" x14ac:dyDescent="0.25">
      <c r="A6749" t="s">
        <v>12617</v>
      </c>
      <c r="B6749" t="s">
        <v>12618</v>
      </c>
      <c r="C6749" s="1">
        <v>44083</v>
      </c>
      <c r="D6749" t="b">
        <v>1</v>
      </c>
      <c r="E6749" t="s">
        <v>10</v>
      </c>
      <c r="F6749">
        <v>17023</v>
      </c>
    </row>
    <row r="6750" spans="1:6" x14ac:dyDescent="0.25">
      <c r="A6750" t="s">
        <v>12619</v>
      </c>
      <c r="B6750" t="s">
        <v>12620</v>
      </c>
      <c r="C6750" s="1">
        <v>44083</v>
      </c>
      <c r="D6750" t="b">
        <v>1</v>
      </c>
      <c r="E6750" t="s">
        <v>10</v>
      </c>
      <c r="F6750">
        <v>13170</v>
      </c>
    </row>
    <row r="6751" spans="1:6" x14ac:dyDescent="0.25">
      <c r="A6751" t="s">
        <v>12621</v>
      </c>
      <c r="B6751" t="s">
        <v>12622</v>
      </c>
      <c r="C6751" s="1">
        <v>44083</v>
      </c>
      <c r="D6751" t="b">
        <v>1</v>
      </c>
      <c r="E6751" t="s">
        <v>10</v>
      </c>
      <c r="F6751">
        <v>13681</v>
      </c>
    </row>
    <row r="6752" spans="1:6" x14ac:dyDescent="0.25">
      <c r="A6752" t="s">
        <v>12623</v>
      </c>
      <c r="B6752" t="s">
        <v>12624</v>
      </c>
      <c r="C6752" s="1">
        <v>44083</v>
      </c>
      <c r="D6752" t="b">
        <v>1</v>
      </c>
      <c r="E6752" t="s">
        <v>10</v>
      </c>
      <c r="F6752">
        <v>5796</v>
      </c>
    </row>
    <row r="6753" spans="1:6" x14ac:dyDescent="0.25">
      <c r="A6753" t="s">
        <v>12625</v>
      </c>
      <c r="B6753" t="s">
        <v>12626</v>
      </c>
      <c r="C6753" s="1">
        <v>44083</v>
      </c>
      <c r="D6753" t="b">
        <v>1</v>
      </c>
      <c r="E6753" t="s">
        <v>10</v>
      </c>
      <c r="F6753">
        <v>5797</v>
      </c>
    </row>
    <row r="6754" spans="1:6" x14ac:dyDescent="0.25">
      <c r="A6754" t="s">
        <v>12627</v>
      </c>
      <c r="B6754" t="s">
        <v>12628</v>
      </c>
      <c r="C6754" s="1">
        <v>44083</v>
      </c>
      <c r="D6754" t="b">
        <v>1</v>
      </c>
      <c r="E6754" t="s">
        <v>10</v>
      </c>
      <c r="F6754">
        <v>5798</v>
      </c>
    </row>
    <row r="6755" spans="1:6" x14ac:dyDescent="0.25">
      <c r="A6755" t="s">
        <v>12629</v>
      </c>
      <c r="B6755" t="s">
        <v>12630</v>
      </c>
      <c r="C6755" s="1">
        <v>44083</v>
      </c>
      <c r="D6755" t="b">
        <v>1</v>
      </c>
      <c r="E6755" t="s">
        <v>10</v>
      </c>
      <c r="F6755">
        <v>13401</v>
      </c>
    </row>
    <row r="6756" spans="1:6" x14ac:dyDescent="0.25">
      <c r="A6756" t="s">
        <v>12631</v>
      </c>
      <c r="B6756" t="s">
        <v>12632</v>
      </c>
      <c r="C6756" s="1">
        <v>44083</v>
      </c>
      <c r="D6756" t="b">
        <v>1</v>
      </c>
      <c r="E6756" t="s">
        <v>10</v>
      </c>
      <c r="F6756">
        <v>15392</v>
      </c>
    </row>
    <row r="6757" spans="1:6" x14ac:dyDescent="0.25">
      <c r="A6757" t="s">
        <v>12633</v>
      </c>
      <c r="B6757" t="s">
        <v>12634</v>
      </c>
      <c r="C6757" s="1">
        <v>44083</v>
      </c>
      <c r="D6757" t="b">
        <v>1</v>
      </c>
      <c r="E6757" t="s">
        <v>10</v>
      </c>
      <c r="F6757">
        <v>10274</v>
      </c>
    </row>
    <row r="6758" spans="1:6" x14ac:dyDescent="0.25">
      <c r="A6758" t="s">
        <v>12635</v>
      </c>
      <c r="B6758" t="s">
        <v>12636</v>
      </c>
      <c r="C6758" s="1">
        <v>44083</v>
      </c>
      <c r="D6758" t="b">
        <v>1</v>
      </c>
      <c r="E6758" t="s">
        <v>10</v>
      </c>
      <c r="F6758">
        <v>13402</v>
      </c>
    </row>
    <row r="6759" spans="1:6" x14ac:dyDescent="0.25">
      <c r="A6759" t="s">
        <v>12637</v>
      </c>
      <c r="B6759" t="s">
        <v>12638</v>
      </c>
      <c r="C6759" s="1">
        <v>44083</v>
      </c>
      <c r="D6759" t="b">
        <v>1</v>
      </c>
      <c r="E6759" t="s">
        <v>10</v>
      </c>
      <c r="F6759">
        <v>7684</v>
      </c>
    </row>
    <row r="6760" spans="1:6" x14ac:dyDescent="0.25">
      <c r="A6760" t="s">
        <v>12639</v>
      </c>
      <c r="C6760" s="1">
        <v>44083</v>
      </c>
      <c r="D6760" t="b">
        <v>1</v>
      </c>
      <c r="E6760" t="s">
        <v>10</v>
      </c>
      <c r="F6760">
        <v>13261</v>
      </c>
    </row>
    <row r="6761" spans="1:6" x14ac:dyDescent="0.25">
      <c r="A6761" t="s">
        <v>12640</v>
      </c>
      <c r="C6761" s="1">
        <v>44083</v>
      </c>
      <c r="D6761" t="b">
        <v>1</v>
      </c>
      <c r="E6761" t="s">
        <v>10</v>
      </c>
      <c r="F6761">
        <v>15965</v>
      </c>
    </row>
    <row r="6762" spans="1:6" x14ac:dyDescent="0.25">
      <c r="A6762" t="s">
        <v>12641</v>
      </c>
      <c r="B6762" t="s">
        <v>5080</v>
      </c>
      <c r="C6762" s="1">
        <v>44083</v>
      </c>
      <c r="D6762" t="b">
        <v>1</v>
      </c>
      <c r="E6762" t="s">
        <v>10</v>
      </c>
      <c r="F6762">
        <v>14404</v>
      </c>
    </row>
    <row r="6763" spans="1:6" x14ac:dyDescent="0.25">
      <c r="A6763" t="s">
        <v>12642</v>
      </c>
      <c r="B6763" t="s">
        <v>12643</v>
      </c>
      <c r="C6763" s="1">
        <v>44083</v>
      </c>
      <c r="D6763" t="b">
        <v>1</v>
      </c>
      <c r="E6763" t="s">
        <v>10</v>
      </c>
      <c r="F6763">
        <v>16910</v>
      </c>
    </row>
    <row r="6764" spans="1:6" x14ac:dyDescent="0.25">
      <c r="A6764" t="s">
        <v>12644</v>
      </c>
      <c r="B6764" t="s">
        <v>12645</v>
      </c>
      <c r="C6764" s="1">
        <v>44083</v>
      </c>
      <c r="D6764" t="b">
        <v>1</v>
      </c>
      <c r="E6764" t="s">
        <v>10</v>
      </c>
      <c r="F6764">
        <v>5808</v>
      </c>
    </row>
    <row r="6765" spans="1:6" x14ac:dyDescent="0.25">
      <c r="A6765" t="s">
        <v>12646</v>
      </c>
      <c r="B6765" t="s">
        <v>12647</v>
      </c>
      <c r="C6765" s="1">
        <v>44083</v>
      </c>
      <c r="D6765" t="b">
        <v>1</v>
      </c>
      <c r="E6765" t="s">
        <v>10</v>
      </c>
      <c r="F6765">
        <v>5809</v>
      </c>
    </row>
    <row r="6766" spans="1:6" x14ac:dyDescent="0.25">
      <c r="A6766" t="s">
        <v>12648</v>
      </c>
      <c r="B6766" t="s">
        <v>12649</v>
      </c>
      <c r="C6766" s="1">
        <v>44083</v>
      </c>
      <c r="D6766" t="b">
        <v>1</v>
      </c>
      <c r="E6766" t="s">
        <v>10</v>
      </c>
      <c r="F6766">
        <v>5810</v>
      </c>
    </row>
    <row r="6767" spans="1:6" x14ac:dyDescent="0.25">
      <c r="A6767" t="s">
        <v>12650</v>
      </c>
      <c r="B6767" t="s">
        <v>12651</v>
      </c>
      <c r="C6767" s="1">
        <v>44083</v>
      </c>
      <c r="D6767" t="b">
        <v>1</v>
      </c>
      <c r="E6767" t="s">
        <v>10</v>
      </c>
      <c r="F6767">
        <v>9475</v>
      </c>
    </row>
    <row r="6768" spans="1:6" x14ac:dyDescent="0.25">
      <c r="A6768" t="s">
        <v>12652</v>
      </c>
      <c r="B6768" t="s">
        <v>12653</v>
      </c>
      <c r="C6768" s="1">
        <v>44083</v>
      </c>
      <c r="D6768" t="b">
        <v>1</v>
      </c>
      <c r="E6768" t="s">
        <v>10</v>
      </c>
      <c r="F6768">
        <v>5812</v>
      </c>
    </row>
    <row r="6769" spans="1:6" x14ac:dyDescent="0.25">
      <c r="A6769" t="s">
        <v>12654</v>
      </c>
      <c r="B6769" t="s">
        <v>12655</v>
      </c>
      <c r="C6769" s="1">
        <v>44083</v>
      </c>
      <c r="D6769" t="b">
        <v>1</v>
      </c>
      <c r="E6769" t="s">
        <v>10</v>
      </c>
      <c r="F6769">
        <v>5813</v>
      </c>
    </row>
    <row r="6770" spans="1:6" x14ac:dyDescent="0.25">
      <c r="A6770" t="s">
        <v>12656</v>
      </c>
      <c r="B6770" t="s">
        <v>12657</v>
      </c>
      <c r="C6770" s="1">
        <v>44083</v>
      </c>
      <c r="D6770" t="b">
        <v>1</v>
      </c>
      <c r="E6770" t="s">
        <v>10</v>
      </c>
      <c r="F6770">
        <v>185</v>
      </c>
    </row>
    <row r="6771" spans="1:6" x14ac:dyDescent="0.25">
      <c r="A6771" t="s">
        <v>12658</v>
      </c>
      <c r="B6771" t="s">
        <v>12659</v>
      </c>
      <c r="C6771" s="1">
        <v>44083</v>
      </c>
      <c r="D6771" t="b">
        <v>1</v>
      </c>
      <c r="E6771" t="s">
        <v>10</v>
      </c>
      <c r="F6771">
        <v>5814</v>
      </c>
    </row>
    <row r="6772" spans="1:6" x14ac:dyDescent="0.25">
      <c r="A6772" t="s">
        <v>12660</v>
      </c>
      <c r="B6772" t="s">
        <v>12661</v>
      </c>
      <c r="C6772" s="1">
        <v>44083</v>
      </c>
      <c r="D6772" t="b">
        <v>1</v>
      </c>
      <c r="E6772" t="s">
        <v>10</v>
      </c>
      <c r="F6772">
        <v>5815</v>
      </c>
    </row>
    <row r="6773" spans="1:6" x14ac:dyDescent="0.25">
      <c r="A6773" t="s">
        <v>12662</v>
      </c>
      <c r="C6773" s="1">
        <v>44083</v>
      </c>
      <c r="D6773" t="b">
        <v>1</v>
      </c>
      <c r="E6773" t="s">
        <v>10</v>
      </c>
      <c r="F6773">
        <v>14514</v>
      </c>
    </row>
    <row r="6774" spans="1:6" x14ac:dyDescent="0.25">
      <c r="A6774" t="s">
        <v>12663</v>
      </c>
      <c r="B6774" t="s">
        <v>12664</v>
      </c>
      <c r="C6774" s="1">
        <v>44083</v>
      </c>
      <c r="D6774" t="b">
        <v>1</v>
      </c>
      <c r="E6774" t="s">
        <v>10</v>
      </c>
      <c r="F6774">
        <v>5817</v>
      </c>
    </row>
    <row r="6775" spans="1:6" x14ac:dyDescent="0.25">
      <c r="A6775" t="s">
        <v>12665</v>
      </c>
      <c r="B6775" t="s">
        <v>12666</v>
      </c>
      <c r="C6775" s="1">
        <v>44083</v>
      </c>
      <c r="D6775" t="b">
        <v>1</v>
      </c>
      <c r="E6775" t="s">
        <v>10</v>
      </c>
      <c r="F6775">
        <v>14168</v>
      </c>
    </row>
    <row r="6776" spans="1:6" x14ac:dyDescent="0.25">
      <c r="A6776" t="s">
        <v>12667</v>
      </c>
      <c r="B6776" t="s">
        <v>12668</v>
      </c>
      <c r="C6776" s="1">
        <v>44083</v>
      </c>
      <c r="D6776" t="b">
        <v>1</v>
      </c>
      <c r="E6776" t="s">
        <v>10</v>
      </c>
      <c r="F6776">
        <v>5820</v>
      </c>
    </row>
    <row r="6777" spans="1:6" x14ac:dyDescent="0.25">
      <c r="A6777" t="s">
        <v>12669</v>
      </c>
      <c r="B6777" t="s">
        <v>12670</v>
      </c>
      <c r="C6777" s="1">
        <v>44083</v>
      </c>
      <c r="D6777" t="b">
        <v>1</v>
      </c>
      <c r="E6777" t="s">
        <v>10</v>
      </c>
      <c r="F6777">
        <v>13183</v>
      </c>
    </row>
    <row r="6778" spans="1:6" x14ac:dyDescent="0.25">
      <c r="A6778" t="s">
        <v>12671</v>
      </c>
      <c r="B6778" t="s">
        <v>12672</v>
      </c>
      <c r="C6778" s="1">
        <v>44083</v>
      </c>
      <c r="D6778" t="b">
        <v>1</v>
      </c>
      <c r="E6778" t="s">
        <v>10</v>
      </c>
      <c r="F6778">
        <v>5822</v>
      </c>
    </row>
    <row r="6779" spans="1:6" x14ac:dyDescent="0.25">
      <c r="A6779" t="s">
        <v>12673</v>
      </c>
      <c r="B6779" t="s">
        <v>12674</v>
      </c>
      <c r="C6779" s="1">
        <v>44083</v>
      </c>
      <c r="D6779" t="b">
        <v>1</v>
      </c>
      <c r="E6779" t="s">
        <v>10</v>
      </c>
      <c r="F6779">
        <v>5823</v>
      </c>
    </row>
    <row r="6780" spans="1:6" x14ac:dyDescent="0.25">
      <c r="A6780" t="s">
        <v>12675</v>
      </c>
      <c r="B6780" t="s">
        <v>12676</v>
      </c>
      <c r="C6780" s="1">
        <v>44083</v>
      </c>
      <c r="D6780" t="b">
        <v>1</v>
      </c>
      <c r="E6780" t="s">
        <v>10</v>
      </c>
      <c r="F6780">
        <v>5824</v>
      </c>
    </row>
    <row r="6781" spans="1:6" x14ac:dyDescent="0.25">
      <c r="A6781" t="s">
        <v>12677</v>
      </c>
      <c r="B6781" t="s">
        <v>12678</v>
      </c>
      <c r="C6781" s="1">
        <v>44083</v>
      </c>
      <c r="D6781" t="b">
        <v>1</v>
      </c>
      <c r="E6781" t="s">
        <v>10</v>
      </c>
      <c r="F6781">
        <v>15773</v>
      </c>
    </row>
    <row r="6782" spans="1:6" x14ac:dyDescent="0.25">
      <c r="A6782" t="s">
        <v>12679</v>
      </c>
      <c r="B6782" t="s">
        <v>12680</v>
      </c>
      <c r="C6782" s="1">
        <v>44083</v>
      </c>
      <c r="D6782" t="b">
        <v>1</v>
      </c>
      <c r="E6782" t="s">
        <v>10</v>
      </c>
      <c r="F6782">
        <v>5825</v>
      </c>
    </row>
    <row r="6783" spans="1:6" x14ac:dyDescent="0.25">
      <c r="A6783" t="s">
        <v>12681</v>
      </c>
      <c r="B6783" t="s">
        <v>12682</v>
      </c>
      <c r="C6783" s="1">
        <v>44083</v>
      </c>
      <c r="D6783" t="b">
        <v>1</v>
      </c>
      <c r="E6783" t="s">
        <v>10</v>
      </c>
      <c r="F6783">
        <v>5826</v>
      </c>
    </row>
    <row r="6784" spans="1:6" x14ac:dyDescent="0.25">
      <c r="A6784" t="s">
        <v>12683</v>
      </c>
      <c r="B6784" t="s">
        <v>12684</v>
      </c>
      <c r="C6784" s="1">
        <v>44083</v>
      </c>
      <c r="D6784" t="b">
        <v>1</v>
      </c>
      <c r="E6784" t="s">
        <v>10</v>
      </c>
      <c r="F6784">
        <v>2985</v>
      </c>
    </row>
    <row r="6785" spans="1:6" x14ac:dyDescent="0.25">
      <c r="A6785" t="s">
        <v>12685</v>
      </c>
      <c r="B6785" t="s">
        <v>12686</v>
      </c>
      <c r="C6785" s="1">
        <v>44083</v>
      </c>
      <c r="D6785" t="b">
        <v>1</v>
      </c>
      <c r="E6785" t="s">
        <v>10</v>
      </c>
      <c r="F6785">
        <v>5827</v>
      </c>
    </row>
    <row r="6786" spans="1:6" x14ac:dyDescent="0.25">
      <c r="A6786" t="s">
        <v>12687</v>
      </c>
      <c r="B6786" t="s">
        <v>12688</v>
      </c>
      <c r="C6786" s="1">
        <v>44083</v>
      </c>
      <c r="D6786" t="b">
        <v>1</v>
      </c>
      <c r="E6786" t="s">
        <v>10</v>
      </c>
      <c r="F6786">
        <v>5828</v>
      </c>
    </row>
    <row r="6787" spans="1:6" x14ac:dyDescent="0.25">
      <c r="A6787" t="s">
        <v>12689</v>
      </c>
      <c r="B6787" t="s">
        <v>12690</v>
      </c>
      <c r="C6787" s="1">
        <v>44083</v>
      </c>
      <c r="D6787" t="b">
        <v>1</v>
      </c>
      <c r="E6787" t="s">
        <v>10</v>
      </c>
      <c r="F6787">
        <v>8580</v>
      </c>
    </row>
    <row r="6788" spans="1:6" x14ac:dyDescent="0.25">
      <c r="A6788" t="s">
        <v>12691</v>
      </c>
      <c r="B6788" t="s">
        <v>12692</v>
      </c>
      <c r="C6788" s="1">
        <v>44083</v>
      </c>
      <c r="D6788" t="b">
        <v>1</v>
      </c>
      <c r="E6788" t="s">
        <v>10</v>
      </c>
      <c r="F6788">
        <v>14253</v>
      </c>
    </row>
    <row r="6789" spans="1:6" x14ac:dyDescent="0.25">
      <c r="A6789" t="s">
        <v>12693</v>
      </c>
      <c r="B6789" t="s">
        <v>12694</v>
      </c>
      <c r="C6789" s="1">
        <v>44083</v>
      </c>
      <c r="D6789" t="b">
        <v>1</v>
      </c>
      <c r="E6789" t="s">
        <v>10</v>
      </c>
      <c r="F6789">
        <v>8193</v>
      </c>
    </row>
    <row r="6790" spans="1:6" x14ac:dyDescent="0.25">
      <c r="A6790" t="s">
        <v>12695</v>
      </c>
      <c r="B6790" t="s">
        <v>12696</v>
      </c>
      <c r="C6790" s="1">
        <v>44083</v>
      </c>
      <c r="D6790" t="b">
        <v>1</v>
      </c>
      <c r="E6790" t="s">
        <v>10</v>
      </c>
      <c r="F6790">
        <v>5829</v>
      </c>
    </row>
    <row r="6791" spans="1:6" x14ac:dyDescent="0.25">
      <c r="A6791" t="s">
        <v>12697</v>
      </c>
      <c r="B6791" t="s">
        <v>12698</v>
      </c>
      <c r="C6791" s="1">
        <v>44083</v>
      </c>
      <c r="D6791" t="b">
        <v>1</v>
      </c>
      <c r="E6791" t="s">
        <v>10</v>
      </c>
      <c r="F6791">
        <v>5830</v>
      </c>
    </row>
    <row r="6792" spans="1:6" x14ac:dyDescent="0.25">
      <c r="A6792" t="s">
        <v>12699</v>
      </c>
      <c r="B6792" t="s">
        <v>12700</v>
      </c>
      <c r="C6792" s="1">
        <v>44083</v>
      </c>
      <c r="D6792" t="b">
        <v>1</v>
      </c>
      <c r="E6792" t="s">
        <v>10</v>
      </c>
      <c r="F6792">
        <v>5831</v>
      </c>
    </row>
    <row r="6793" spans="1:6" x14ac:dyDescent="0.25">
      <c r="A6793" t="s">
        <v>12701</v>
      </c>
      <c r="B6793" t="s">
        <v>12702</v>
      </c>
      <c r="C6793" s="1">
        <v>44083</v>
      </c>
      <c r="D6793" t="b">
        <v>1</v>
      </c>
      <c r="E6793" t="s">
        <v>10</v>
      </c>
      <c r="F6793">
        <v>15810</v>
      </c>
    </row>
    <row r="6794" spans="1:6" x14ac:dyDescent="0.25">
      <c r="A6794" t="s">
        <v>12703</v>
      </c>
      <c r="B6794" t="s">
        <v>12704</v>
      </c>
      <c r="C6794" s="1">
        <v>44083</v>
      </c>
      <c r="D6794" t="b">
        <v>1</v>
      </c>
      <c r="E6794" t="s">
        <v>10</v>
      </c>
      <c r="F6794">
        <v>16118</v>
      </c>
    </row>
    <row r="6795" spans="1:6" x14ac:dyDescent="0.25">
      <c r="A6795" t="s">
        <v>12705</v>
      </c>
      <c r="B6795" t="s">
        <v>12706</v>
      </c>
      <c r="C6795" s="1">
        <v>44083</v>
      </c>
      <c r="D6795" t="b">
        <v>1</v>
      </c>
      <c r="E6795" t="s">
        <v>10</v>
      </c>
      <c r="F6795">
        <v>13605</v>
      </c>
    </row>
    <row r="6796" spans="1:6" x14ac:dyDescent="0.25">
      <c r="A6796" t="s">
        <v>12707</v>
      </c>
      <c r="B6796" t="s">
        <v>12708</v>
      </c>
      <c r="C6796" s="1">
        <v>44083</v>
      </c>
      <c r="D6796" t="b">
        <v>1</v>
      </c>
      <c r="E6796" t="s">
        <v>10</v>
      </c>
      <c r="F6796">
        <v>5836</v>
      </c>
    </row>
    <row r="6797" spans="1:6" x14ac:dyDescent="0.25">
      <c r="A6797" t="s">
        <v>12709</v>
      </c>
      <c r="B6797" t="s">
        <v>12710</v>
      </c>
      <c r="C6797" s="1">
        <v>44083</v>
      </c>
      <c r="D6797" t="b">
        <v>1</v>
      </c>
      <c r="E6797" t="s">
        <v>10</v>
      </c>
      <c r="F6797">
        <v>8941</v>
      </c>
    </row>
    <row r="6798" spans="1:6" x14ac:dyDescent="0.25">
      <c r="A6798" t="s">
        <v>12711</v>
      </c>
      <c r="B6798" t="s">
        <v>12712</v>
      </c>
      <c r="C6798" s="1">
        <v>44083</v>
      </c>
      <c r="D6798" t="b">
        <v>1</v>
      </c>
      <c r="E6798" t="s">
        <v>10</v>
      </c>
      <c r="F6798">
        <v>5837</v>
      </c>
    </row>
    <row r="6799" spans="1:6" x14ac:dyDescent="0.25">
      <c r="A6799" t="s">
        <v>12713</v>
      </c>
      <c r="B6799" t="s">
        <v>12714</v>
      </c>
      <c r="C6799" s="1">
        <v>44083</v>
      </c>
      <c r="D6799" t="b">
        <v>1</v>
      </c>
      <c r="E6799" t="s">
        <v>10</v>
      </c>
      <c r="F6799">
        <v>5838</v>
      </c>
    </row>
    <row r="6800" spans="1:6" x14ac:dyDescent="0.25">
      <c r="A6800" t="s">
        <v>12715</v>
      </c>
      <c r="B6800" t="s">
        <v>12716</v>
      </c>
      <c r="C6800" s="1">
        <v>44083</v>
      </c>
      <c r="D6800" t="b">
        <v>1</v>
      </c>
      <c r="E6800" t="s">
        <v>10</v>
      </c>
      <c r="F6800">
        <v>5841</v>
      </c>
    </row>
    <row r="6801" spans="1:6" x14ac:dyDescent="0.25">
      <c r="A6801" t="s">
        <v>12717</v>
      </c>
      <c r="B6801" t="s">
        <v>12718</v>
      </c>
      <c r="C6801" s="1">
        <v>44083</v>
      </c>
      <c r="D6801" t="b">
        <v>1</v>
      </c>
      <c r="E6801" t="s">
        <v>10</v>
      </c>
      <c r="F6801">
        <v>9726</v>
      </c>
    </row>
    <row r="6802" spans="1:6" x14ac:dyDescent="0.25">
      <c r="A6802" t="s">
        <v>12719</v>
      </c>
      <c r="B6802" t="s">
        <v>12720</v>
      </c>
      <c r="C6802" s="1">
        <v>44083</v>
      </c>
      <c r="D6802" t="b">
        <v>1</v>
      </c>
      <c r="E6802" t="s">
        <v>10</v>
      </c>
      <c r="F6802">
        <v>5842</v>
      </c>
    </row>
    <row r="6803" spans="1:6" x14ac:dyDescent="0.25">
      <c r="A6803" t="s">
        <v>12721</v>
      </c>
      <c r="B6803" t="s">
        <v>12722</v>
      </c>
      <c r="C6803" s="1">
        <v>44083</v>
      </c>
      <c r="D6803" t="b">
        <v>1</v>
      </c>
      <c r="E6803" t="s">
        <v>10</v>
      </c>
      <c r="F6803">
        <v>7751</v>
      </c>
    </row>
    <row r="6804" spans="1:6" x14ac:dyDescent="0.25">
      <c r="A6804" t="s">
        <v>12723</v>
      </c>
      <c r="B6804" t="s">
        <v>12724</v>
      </c>
      <c r="C6804" s="1">
        <v>44083</v>
      </c>
      <c r="D6804" t="b">
        <v>1</v>
      </c>
      <c r="E6804" t="s">
        <v>10</v>
      </c>
      <c r="F6804">
        <v>5844</v>
      </c>
    </row>
    <row r="6805" spans="1:6" x14ac:dyDescent="0.25">
      <c r="A6805" t="s">
        <v>12725</v>
      </c>
      <c r="B6805" t="s">
        <v>12726</v>
      </c>
      <c r="C6805" s="1">
        <v>44083</v>
      </c>
      <c r="D6805" t="b">
        <v>1</v>
      </c>
      <c r="E6805" t="s">
        <v>10</v>
      </c>
      <c r="F6805">
        <v>14011</v>
      </c>
    </row>
    <row r="6806" spans="1:6" x14ac:dyDescent="0.25">
      <c r="A6806" t="s">
        <v>12727</v>
      </c>
      <c r="B6806" t="s">
        <v>12728</v>
      </c>
      <c r="C6806" s="1">
        <v>44083</v>
      </c>
      <c r="D6806" t="b">
        <v>1</v>
      </c>
      <c r="E6806" t="s">
        <v>10</v>
      </c>
      <c r="F6806">
        <v>5845</v>
      </c>
    </row>
    <row r="6807" spans="1:6" x14ac:dyDescent="0.25">
      <c r="A6807" t="s">
        <v>12729</v>
      </c>
      <c r="B6807" t="s">
        <v>12730</v>
      </c>
      <c r="C6807" s="1">
        <v>44083</v>
      </c>
      <c r="D6807" t="b">
        <v>1</v>
      </c>
      <c r="E6807" t="s">
        <v>10</v>
      </c>
      <c r="F6807">
        <v>5846</v>
      </c>
    </row>
    <row r="6808" spans="1:6" x14ac:dyDescent="0.25">
      <c r="A6808" t="s">
        <v>12731</v>
      </c>
      <c r="B6808" t="s">
        <v>12732</v>
      </c>
      <c r="C6808" s="1">
        <v>44083</v>
      </c>
      <c r="D6808" t="b">
        <v>1</v>
      </c>
      <c r="E6808" t="s">
        <v>10</v>
      </c>
      <c r="F6808">
        <v>6022</v>
      </c>
    </row>
    <row r="6809" spans="1:6" x14ac:dyDescent="0.25">
      <c r="A6809" t="s">
        <v>12733</v>
      </c>
      <c r="B6809" t="s">
        <v>12734</v>
      </c>
      <c r="C6809" s="1">
        <v>44083</v>
      </c>
      <c r="D6809" t="b">
        <v>1</v>
      </c>
      <c r="E6809" t="s">
        <v>10</v>
      </c>
      <c r="F6809">
        <v>5847</v>
      </c>
    </row>
    <row r="6810" spans="1:6" x14ac:dyDescent="0.25">
      <c r="A6810" t="s">
        <v>12735</v>
      </c>
      <c r="B6810" t="s">
        <v>12736</v>
      </c>
      <c r="C6810" s="1">
        <v>44083</v>
      </c>
      <c r="D6810" t="b">
        <v>1</v>
      </c>
      <c r="E6810" t="s">
        <v>10</v>
      </c>
      <c r="F6810">
        <v>11595</v>
      </c>
    </row>
    <row r="6811" spans="1:6" x14ac:dyDescent="0.25">
      <c r="A6811" t="s">
        <v>12737</v>
      </c>
      <c r="B6811" t="s">
        <v>12738</v>
      </c>
      <c r="C6811" s="1">
        <v>44083</v>
      </c>
      <c r="D6811" t="b">
        <v>1</v>
      </c>
      <c r="E6811" t="s">
        <v>10</v>
      </c>
      <c r="F6811">
        <v>5848</v>
      </c>
    </row>
    <row r="6812" spans="1:6" x14ac:dyDescent="0.25">
      <c r="A6812" t="s">
        <v>12739</v>
      </c>
      <c r="B6812" t="s">
        <v>12740</v>
      </c>
      <c r="C6812" s="1">
        <v>44083</v>
      </c>
      <c r="D6812" t="b">
        <v>1</v>
      </c>
      <c r="E6812" t="s">
        <v>10</v>
      </c>
      <c r="F6812">
        <v>5851</v>
      </c>
    </row>
    <row r="6813" spans="1:6" x14ac:dyDescent="0.25">
      <c r="A6813" t="s">
        <v>12741</v>
      </c>
      <c r="B6813" t="s">
        <v>12742</v>
      </c>
      <c r="C6813" s="1">
        <v>44083</v>
      </c>
      <c r="D6813" t="b">
        <v>1</v>
      </c>
      <c r="E6813" t="s">
        <v>10</v>
      </c>
      <c r="F6813">
        <v>8318</v>
      </c>
    </row>
    <row r="6814" spans="1:6" x14ac:dyDescent="0.25">
      <c r="A6814" t="s">
        <v>12743</v>
      </c>
      <c r="B6814" t="s">
        <v>12744</v>
      </c>
      <c r="C6814" s="1">
        <v>44083</v>
      </c>
      <c r="D6814" t="b">
        <v>1</v>
      </c>
      <c r="E6814" t="s">
        <v>10</v>
      </c>
      <c r="F6814">
        <v>14776</v>
      </c>
    </row>
    <row r="6815" spans="1:6" x14ac:dyDescent="0.25">
      <c r="A6815" t="s">
        <v>12745</v>
      </c>
      <c r="B6815" t="s">
        <v>12746</v>
      </c>
      <c r="C6815" s="1">
        <v>44083</v>
      </c>
      <c r="D6815" t="b">
        <v>1</v>
      </c>
      <c r="E6815" t="s">
        <v>10</v>
      </c>
      <c r="F6815">
        <v>5853</v>
      </c>
    </row>
    <row r="6816" spans="1:6" x14ac:dyDescent="0.25">
      <c r="A6816" t="s">
        <v>12747</v>
      </c>
      <c r="B6816" t="s">
        <v>12748</v>
      </c>
      <c r="C6816" s="1">
        <v>44083</v>
      </c>
      <c r="D6816" t="b">
        <v>1</v>
      </c>
      <c r="E6816" t="s">
        <v>10</v>
      </c>
      <c r="F6816">
        <v>12045</v>
      </c>
    </row>
    <row r="6817" spans="1:6" x14ac:dyDescent="0.25">
      <c r="A6817" t="s">
        <v>12749</v>
      </c>
      <c r="B6817" t="s">
        <v>12750</v>
      </c>
      <c r="C6817" s="1">
        <v>44083</v>
      </c>
      <c r="D6817" t="b">
        <v>1</v>
      </c>
      <c r="E6817" t="s">
        <v>10</v>
      </c>
      <c r="F6817">
        <v>11214</v>
      </c>
    </row>
    <row r="6818" spans="1:6" x14ac:dyDescent="0.25">
      <c r="A6818" t="s">
        <v>12751</v>
      </c>
      <c r="B6818" t="s">
        <v>12752</v>
      </c>
      <c r="C6818" s="1">
        <v>44083</v>
      </c>
      <c r="D6818" t="b">
        <v>1</v>
      </c>
      <c r="E6818" t="s">
        <v>10</v>
      </c>
      <c r="F6818">
        <v>5854</v>
      </c>
    </row>
    <row r="6819" spans="1:6" x14ac:dyDescent="0.25">
      <c r="A6819" t="s">
        <v>12753</v>
      </c>
      <c r="B6819" t="s">
        <v>12754</v>
      </c>
      <c r="C6819" s="1">
        <v>44083</v>
      </c>
      <c r="D6819" t="b">
        <v>1</v>
      </c>
      <c r="E6819" t="s">
        <v>10</v>
      </c>
      <c r="F6819">
        <v>8653</v>
      </c>
    </row>
    <row r="6820" spans="1:6" x14ac:dyDescent="0.25">
      <c r="A6820" t="s">
        <v>12755</v>
      </c>
      <c r="B6820" t="s">
        <v>12756</v>
      </c>
      <c r="C6820" s="1">
        <v>44083</v>
      </c>
      <c r="D6820" t="b">
        <v>1</v>
      </c>
      <c r="E6820" t="s">
        <v>10</v>
      </c>
      <c r="F6820">
        <v>2381</v>
      </c>
    </row>
    <row r="6821" spans="1:6" x14ac:dyDescent="0.25">
      <c r="A6821" t="s">
        <v>12757</v>
      </c>
      <c r="B6821" t="s">
        <v>12758</v>
      </c>
      <c r="C6821" s="1">
        <v>44083</v>
      </c>
      <c r="D6821" t="b">
        <v>1</v>
      </c>
      <c r="E6821" t="s">
        <v>10</v>
      </c>
      <c r="F6821">
        <v>11379</v>
      </c>
    </row>
    <row r="6822" spans="1:6" x14ac:dyDescent="0.25">
      <c r="A6822" t="s">
        <v>12759</v>
      </c>
      <c r="B6822" t="s">
        <v>12760</v>
      </c>
      <c r="C6822" s="1">
        <v>44083</v>
      </c>
      <c r="D6822" t="b">
        <v>1</v>
      </c>
      <c r="E6822" t="s">
        <v>10</v>
      </c>
      <c r="F6822">
        <v>5856</v>
      </c>
    </row>
    <row r="6823" spans="1:6" x14ac:dyDescent="0.25">
      <c r="A6823" t="s">
        <v>12761</v>
      </c>
      <c r="B6823" t="s">
        <v>12762</v>
      </c>
      <c r="C6823" s="1">
        <v>44083</v>
      </c>
      <c r="D6823" t="b">
        <v>1</v>
      </c>
      <c r="E6823" t="s">
        <v>10</v>
      </c>
      <c r="F6823">
        <v>13834</v>
      </c>
    </row>
    <row r="6824" spans="1:6" x14ac:dyDescent="0.25">
      <c r="A6824" t="s">
        <v>12763</v>
      </c>
      <c r="B6824" t="s">
        <v>12764</v>
      </c>
      <c r="C6824" s="1">
        <v>44083</v>
      </c>
      <c r="D6824" t="b">
        <v>1</v>
      </c>
      <c r="E6824" t="s">
        <v>10</v>
      </c>
      <c r="F6824">
        <v>5857</v>
      </c>
    </row>
    <row r="6825" spans="1:6" x14ac:dyDescent="0.25">
      <c r="A6825" t="s">
        <v>12765</v>
      </c>
      <c r="B6825" t="s">
        <v>12766</v>
      </c>
      <c r="C6825" s="1">
        <v>44083</v>
      </c>
      <c r="D6825" t="b">
        <v>1</v>
      </c>
      <c r="E6825" t="s">
        <v>10</v>
      </c>
      <c r="F6825">
        <v>12324</v>
      </c>
    </row>
    <row r="6826" spans="1:6" x14ac:dyDescent="0.25">
      <c r="A6826" t="s">
        <v>12767</v>
      </c>
      <c r="B6826" t="s">
        <v>12768</v>
      </c>
      <c r="C6826" s="1">
        <v>44083</v>
      </c>
      <c r="D6826" t="b">
        <v>1</v>
      </c>
      <c r="E6826" t="s">
        <v>10</v>
      </c>
      <c r="F6826">
        <v>16119</v>
      </c>
    </row>
    <row r="6827" spans="1:6" x14ac:dyDescent="0.25">
      <c r="A6827" t="s">
        <v>12769</v>
      </c>
      <c r="B6827" t="s">
        <v>12770</v>
      </c>
      <c r="C6827" s="1">
        <v>44083</v>
      </c>
      <c r="D6827" t="b">
        <v>1</v>
      </c>
      <c r="E6827" t="s">
        <v>10</v>
      </c>
      <c r="F6827">
        <v>5858</v>
      </c>
    </row>
    <row r="6828" spans="1:6" x14ac:dyDescent="0.25">
      <c r="A6828" t="s">
        <v>12771</v>
      </c>
      <c r="B6828" t="s">
        <v>12772</v>
      </c>
      <c r="C6828" s="1">
        <v>44083</v>
      </c>
      <c r="D6828" t="b">
        <v>1</v>
      </c>
      <c r="E6828" t="s">
        <v>10</v>
      </c>
      <c r="F6828">
        <v>5859</v>
      </c>
    </row>
    <row r="6829" spans="1:6" x14ac:dyDescent="0.25">
      <c r="A6829" t="s">
        <v>12773</v>
      </c>
      <c r="B6829" t="s">
        <v>12774</v>
      </c>
      <c r="C6829" s="1">
        <v>44083</v>
      </c>
      <c r="D6829" t="b">
        <v>1</v>
      </c>
      <c r="E6829" t="s">
        <v>10</v>
      </c>
      <c r="F6829">
        <v>5943</v>
      </c>
    </row>
    <row r="6830" spans="1:6" x14ac:dyDescent="0.25">
      <c r="A6830" t="s">
        <v>12775</v>
      </c>
      <c r="B6830" t="s">
        <v>12776</v>
      </c>
      <c r="C6830" s="1">
        <v>44083</v>
      </c>
      <c r="D6830" t="b">
        <v>1</v>
      </c>
      <c r="E6830" t="s">
        <v>10</v>
      </c>
      <c r="F6830">
        <v>5861</v>
      </c>
    </row>
    <row r="6831" spans="1:6" x14ac:dyDescent="0.25">
      <c r="A6831" t="s">
        <v>12777</v>
      </c>
      <c r="C6831" s="1">
        <v>44083</v>
      </c>
      <c r="D6831" t="b">
        <v>1</v>
      </c>
      <c r="E6831" t="s">
        <v>10</v>
      </c>
      <c r="F6831">
        <v>11733</v>
      </c>
    </row>
    <row r="6832" spans="1:6" x14ac:dyDescent="0.25">
      <c r="A6832" t="s">
        <v>12778</v>
      </c>
      <c r="C6832" s="1">
        <v>44083</v>
      </c>
      <c r="D6832" t="b">
        <v>1</v>
      </c>
      <c r="E6832" t="s">
        <v>10</v>
      </c>
      <c r="F6832">
        <v>13802</v>
      </c>
    </row>
    <row r="6833" spans="1:6" x14ac:dyDescent="0.25">
      <c r="A6833" t="s">
        <v>12779</v>
      </c>
      <c r="C6833" s="1">
        <v>44083</v>
      </c>
      <c r="D6833" t="b">
        <v>1</v>
      </c>
      <c r="E6833" t="s">
        <v>10</v>
      </c>
      <c r="F6833">
        <v>16111</v>
      </c>
    </row>
    <row r="6834" spans="1:6" x14ac:dyDescent="0.25">
      <c r="A6834" t="s">
        <v>12780</v>
      </c>
      <c r="B6834" t="s">
        <v>12781</v>
      </c>
      <c r="C6834" s="1">
        <v>44083</v>
      </c>
      <c r="D6834" t="b">
        <v>1</v>
      </c>
      <c r="E6834" t="s">
        <v>10</v>
      </c>
      <c r="F6834">
        <v>16308</v>
      </c>
    </row>
    <row r="6835" spans="1:6" x14ac:dyDescent="0.25">
      <c r="A6835" t="s">
        <v>12782</v>
      </c>
      <c r="B6835" t="s">
        <v>12783</v>
      </c>
      <c r="C6835" s="1">
        <v>44083</v>
      </c>
      <c r="D6835" t="b">
        <v>1</v>
      </c>
      <c r="E6835" t="s">
        <v>10</v>
      </c>
      <c r="F6835">
        <v>5863</v>
      </c>
    </row>
    <row r="6836" spans="1:6" x14ac:dyDescent="0.25">
      <c r="A6836" t="s">
        <v>12784</v>
      </c>
      <c r="B6836" t="s">
        <v>12785</v>
      </c>
      <c r="C6836" s="1">
        <v>44083</v>
      </c>
      <c r="D6836" t="b">
        <v>1</v>
      </c>
      <c r="E6836" t="s">
        <v>10</v>
      </c>
      <c r="F6836">
        <v>15043</v>
      </c>
    </row>
    <row r="6837" spans="1:6" x14ac:dyDescent="0.25">
      <c r="A6837" t="s">
        <v>12786</v>
      </c>
      <c r="B6837" t="s">
        <v>12787</v>
      </c>
      <c r="C6837" s="1">
        <v>44083</v>
      </c>
      <c r="D6837" t="b">
        <v>1</v>
      </c>
      <c r="E6837" t="s">
        <v>10</v>
      </c>
      <c r="F6837">
        <v>5864</v>
      </c>
    </row>
    <row r="6838" spans="1:6" x14ac:dyDescent="0.25">
      <c r="A6838" t="s">
        <v>12788</v>
      </c>
      <c r="C6838" s="1">
        <v>44083</v>
      </c>
      <c r="D6838" t="b">
        <v>1</v>
      </c>
      <c r="E6838" t="s">
        <v>10</v>
      </c>
      <c r="F6838">
        <v>5865</v>
      </c>
    </row>
    <row r="6839" spans="1:6" x14ac:dyDescent="0.25">
      <c r="A6839" t="s">
        <v>12789</v>
      </c>
      <c r="C6839" s="1">
        <v>44083</v>
      </c>
      <c r="D6839" t="b">
        <v>1</v>
      </c>
      <c r="E6839" t="s">
        <v>10</v>
      </c>
      <c r="F6839">
        <v>8590</v>
      </c>
    </row>
    <row r="6840" spans="1:6" x14ac:dyDescent="0.25">
      <c r="A6840" t="s">
        <v>12790</v>
      </c>
      <c r="C6840" s="1">
        <v>44083</v>
      </c>
      <c r="D6840" t="b">
        <v>1</v>
      </c>
      <c r="E6840" t="s">
        <v>10</v>
      </c>
      <c r="F6840">
        <v>15694</v>
      </c>
    </row>
    <row r="6841" spans="1:6" x14ac:dyDescent="0.25">
      <c r="A6841" t="s">
        <v>12791</v>
      </c>
      <c r="B6841" t="s">
        <v>12792</v>
      </c>
      <c r="C6841" s="1">
        <v>44083</v>
      </c>
      <c r="D6841" t="b">
        <v>1</v>
      </c>
      <c r="E6841" t="s">
        <v>10</v>
      </c>
      <c r="F6841">
        <v>11230</v>
      </c>
    </row>
    <row r="6842" spans="1:6" x14ac:dyDescent="0.25">
      <c r="A6842" t="s">
        <v>12793</v>
      </c>
      <c r="B6842" t="s">
        <v>12794</v>
      </c>
      <c r="C6842" s="1">
        <v>44083</v>
      </c>
      <c r="D6842" t="b">
        <v>1</v>
      </c>
      <c r="E6842" t="s">
        <v>10</v>
      </c>
      <c r="F6842">
        <v>11465</v>
      </c>
    </row>
    <row r="6843" spans="1:6" x14ac:dyDescent="0.25">
      <c r="A6843" t="s">
        <v>12795</v>
      </c>
      <c r="B6843" t="s">
        <v>12796</v>
      </c>
      <c r="C6843" s="1">
        <v>44083</v>
      </c>
      <c r="D6843" t="b">
        <v>1</v>
      </c>
      <c r="E6843" t="s">
        <v>10</v>
      </c>
      <c r="F6843">
        <v>11443</v>
      </c>
    </row>
    <row r="6844" spans="1:6" x14ac:dyDescent="0.25">
      <c r="A6844" t="s">
        <v>12797</v>
      </c>
      <c r="B6844" t="s">
        <v>12798</v>
      </c>
      <c r="C6844" s="1">
        <v>44083</v>
      </c>
      <c r="D6844" t="b">
        <v>1</v>
      </c>
      <c r="E6844" t="s">
        <v>10</v>
      </c>
      <c r="F6844">
        <v>11231</v>
      </c>
    </row>
    <row r="6845" spans="1:6" x14ac:dyDescent="0.25">
      <c r="A6845" t="s">
        <v>12799</v>
      </c>
      <c r="B6845" t="s">
        <v>12800</v>
      </c>
      <c r="C6845" s="1">
        <v>44083</v>
      </c>
      <c r="D6845" t="b">
        <v>1</v>
      </c>
      <c r="E6845" t="s">
        <v>10</v>
      </c>
      <c r="F6845">
        <v>11479</v>
      </c>
    </row>
    <row r="6846" spans="1:6" x14ac:dyDescent="0.25">
      <c r="A6846" t="s">
        <v>12801</v>
      </c>
      <c r="B6846" t="s">
        <v>12802</v>
      </c>
      <c r="C6846" s="1">
        <v>44083</v>
      </c>
      <c r="D6846" t="b">
        <v>1</v>
      </c>
      <c r="E6846" t="s">
        <v>10</v>
      </c>
      <c r="F6846">
        <v>11232</v>
      </c>
    </row>
    <row r="6847" spans="1:6" x14ac:dyDescent="0.25">
      <c r="A6847" t="s">
        <v>12803</v>
      </c>
      <c r="B6847" t="s">
        <v>12804</v>
      </c>
      <c r="C6847" s="1">
        <v>44083</v>
      </c>
      <c r="D6847" t="b">
        <v>1</v>
      </c>
      <c r="E6847" t="s">
        <v>10</v>
      </c>
      <c r="F6847">
        <v>11444</v>
      </c>
    </row>
    <row r="6848" spans="1:6" x14ac:dyDescent="0.25">
      <c r="A6848" t="s">
        <v>12805</v>
      </c>
      <c r="B6848" t="s">
        <v>12806</v>
      </c>
      <c r="C6848" s="1">
        <v>44083</v>
      </c>
      <c r="D6848" t="b">
        <v>1</v>
      </c>
      <c r="E6848" t="s">
        <v>10</v>
      </c>
      <c r="F6848">
        <v>14405</v>
      </c>
    </row>
    <row r="6849" spans="1:6" x14ac:dyDescent="0.25">
      <c r="A6849" t="s">
        <v>12807</v>
      </c>
      <c r="B6849" t="s">
        <v>12808</v>
      </c>
      <c r="C6849" s="1">
        <v>44083</v>
      </c>
      <c r="D6849" t="b">
        <v>1</v>
      </c>
      <c r="E6849" t="s">
        <v>10</v>
      </c>
      <c r="F6849">
        <v>5867</v>
      </c>
    </row>
    <row r="6850" spans="1:6" x14ac:dyDescent="0.25">
      <c r="A6850" t="s">
        <v>12809</v>
      </c>
      <c r="B6850" t="s">
        <v>12810</v>
      </c>
      <c r="C6850" s="1">
        <v>44083</v>
      </c>
      <c r="D6850" t="b">
        <v>1</v>
      </c>
      <c r="E6850" t="s">
        <v>10</v>
      </c>
      <c r="F6850">
        <v>5868</v>
      </c>
    </row>
    <row r="6851" spans="1:6" x14ac:dyDescent="0.25">
      <c r="A6851" t="s">
        <v>12811</v>
      </c>
      <c r="B6851" t="s">
        <v>12812</v>
      </c>
      <c r="C6851" s="1">
        <v>44083</v>
      </c>
      <c r="D6851" t="b">
        <v>1</v>
      </c>
      <c r="E6851" t="s">
        <v>10</v>
      </c>
      <c r="F6851">
        <v>14313</v>
      </c>
    </row>
    <row r="6852" spans="1:6" x14ac:dyDescent="0.25">
      <c r="A6852" t="s">
        <v>12813</v>
      </c>
      <c r="B6852" t="s">
        <v>12814</v>
      </c>
      <c r="C6852" s="1">
        <v>44083</v>
      </c>
      <c r="D6852" t="b">
        <v>1</v>
      </c>
      <c r="E6852" t="s">
        <v>10</v>
      </c>
      <c r="F6852">
        <v>16174</v>
      </c>
    </row>
    <row r="6853" spans="1:6" x14ac:dyDescent="0.25">
      <c r="A6853" t="s">
        <v>12815</v>
      </c>
      <c r="B6853" t="s">
        <v>12816</v>
      </c>
      <c r="C6853" s="1">
        <v>44083</v>
      </c>
      <c r="D6853" t="b">
        <v>1</v>
      </c>
      <c r="E6853" t="s">
        <v>10</v>
      </c>
      <c r="F6853">
        <v>5870</v>
      </c>
    </row>
    <row r="6854" spans="1:6" x14ac:dyDescent="0.25">
      <c r="A6854" t="s">
        <v>12817</v>
      </c>
      <c r="B6854" t="s">
        <v>12818</v>
      </c>
      <c r="C6854" s="1">
        <v>44083</v>
      </c>
      <c r="D6854" t="b">
        <v>1</v>
      </c>
      <c r="E6854" t="s">
        <v>10</v>
      </c>
      <c r="F6854">
        <v>11466</v>
      </c>
    </row>
    <row r="6855" spans="1:6" x14ac:dyDescent="0.25">
      <c r="A6855" t="s">
        <v>12819</v>
      </c>
      <c r="B6855" t="s">
        <v>12806</v>
      </c>
      <c r="C6855" s="1">
        <v>44083</v>
      </c>
      <c r="D6855" t="b">
        <v>1</v>
      </c>
      <c r="E6855" t="s">
        <v>10</v>
      </c>
      <c r="F6855">
        <v>14406</v>
      </c>
    </row>
    <row r="6856" spans="1:6" x14ac:dyDescent="0.25">
      <c r="A6856" t="s">
        <v>12820</v>
      </c>
      <c r="B6856" t="s">
        <v>12821</v>
      </c>
      <c r="C6856" s="1">
        <v>44083</v>
      </c>
      <c r="D6856" t="b">
        <v>1</v>
      </c>
      <c r="E6856" t="s">
        <v>10</v>
      </c>
      <c r="F6856">
        <v>5872</v>
      </c>
    </row>
    <row r="6857" spans="1:6" x14ac:dyDescent="0.25">
      <c r="A6857" t="s">
        <v>12822</v>
      </c>
      <c r="B6857" t="s">
        <v>12823</v>
      </c>
      <c r="C6857" s="1">
        <v>44083</v>
      </c>
      <c r="D6857" t="b">
        <v>1</v>
      </c>
      <c r="E6857" t="s">
        <v>10</v>
      </c>
      <c r="F6857">
        <v>5874</v>
      </c>
    </row>
    <row r="6858" spans="1:6" x14ac:dyDescent="0.25">
      <c r="A6858" t="s">
        <v>12824</v>
      </c>
      <c r="B6858" t="s">
        <v>12825</v>
      </c>
      <c r="C6858" s="1">
        <v>44083</v>
      </c>
      <c r="D6858" t="b">
        <v>1</v>
      </c>
      <c r="E6858" t="s">
        <v>10</v>
      </c>
      <c r="F6858">
        <v>5877</v>
      </c>
    </row>
    <row r="6859" spans="1:6" x14ac:dyDescent="0.25">
      <c r="A6859" t="s">
        <v>12826</v>
      </c>
      <c r="B6859" t="s">
        <v>5080</v>
      </c>
      <c r="C6859" s="1">
        <v>44083</v>
      </c>
      <c r="D6859" t="b">
        <v>1</v>
      </c>
      <c r="E6859" t="s">
        <v>10</v>
      </c>
      <c r="F6859">
        <v>14407</v>
      </c>
    </row>
    <row r="6860" spans="1:6" x14ac:dyDescent="0.25">
      <c r="A6860" t="s">
        <v>12827</v>
      </c>
      <c r="B6860" t="s">
        <v>12828</v>
      </c>
      <c r="C6860" s="1">
        <v>44083</v>
      </c>
      <c r="D6860" t="b">
        <v>1</v>
      </c>
      <c r="E6860" t="s">
        <v>10</v>
      </c>
      <c r="F6860">
        <v>5879</v>
      </c>
    </row>
    <row r="6861" spans="1:6" x14ac:dyDescent="0.25">
      <c r="A6861" t="s">
        <v>12829</v>
      </c>
      <c r="B6861" t="s">
        <v>12830</v>
      </c>
      <c r="C6861" s="1">
        <v>44083</v>
      </c>
      <c r="D6861" t="b">
        <v>1</v>
      </c>
      <c r="E6861" t="s">
        <v>10</v>
      </c>
      <c r="F6861">
        <v>5880</v>
      </c>
    </row>
    <row r="6862" spans="1:6" x14ac:dyDescent="0.25">
      <c r="A6862" t="s">
        <v>12831</v>
      </c>
      <c r="B6862" t="s">
        <v>12832</v>
      </c>
      <c r="C6862" s="1">
        <v>44083</v>
      </c>
      <c r="D6862" t="b">
        <v>1</v>
      </c>
      <c r="E6862" t="s">
        <v>10</v>
      </c>
      <c r="F6862">
        <v>10422</v>
      </c>
    </row>
    <row r="6863" spans="1:6" x14ac:dyDescent="0.25">
      <c r="A6863" t="s">
        <v>12833</v>
      </c>
      <c r="B6863" t="s">
        <v>12834</v>
      </c>
      <c r="C6863" s="1">
        <v>44083</v>
      </c>
      <c r="D6863" t="b">
        <v>1</v>
      </c>
      <c r="E6863" t="s">
        <v>10</v>
      </c>
      <c r="F6863">
        <v>5832</v>
      </c>
    </row>
    <row r="6864" spans="1:6" x14ac:dyDescent="0.25">
      <c r="A6864" t="s">
        <v>12835</v>
      </c>
      <c r="B6864" t="s">
        <v>12836</v>
      </c>
      <c r="C6864" s="1">
        <v>44083</v>
      </c>
      <c r="D6864" t="b">
        <v>1</v>
      </c>
      <c r="E6864" t="s">
        <v>10</v>
      </c>
      <c r="F6864">
        <v>5882</v>
      </c>
    </row>
    <row r="6865" spans="1:6" x14ac:dyDescent="0.25">
      <c r="A6865" t="s">
        <v>12837</v>
      </c>
      <c r="B6865" t="s">
        <v>12838</v>
      </c>
      <c r="C6865" s="1">
        <v>44083</v>
      </c>
      <c r="D6865" t="b">
        <v>1</v>
      </c>
      <c r="E6865" t="s">
        <v>10</v>
      </c>
      <c r="F6865">
        <v>5888</v>
      </c>
    </row>
    <row r="6866" spans="1:6" x14ac:dyDescent="0.25">
      <c r="A6866" t="s">
        <v>12839</v>
      </c>
      <c r="B6866" t="s">
        <v>12840</v>
      </c>
      <c r="C6866" s="1">
        <v>44083</v>
      </c>
      <c r="D6866" t="b">
        <v>1</v>
      </c>
      <c r="E6866" t="s">
        <v>10</v>
      </c>
      <c r="F6866">
        <v>7894</v>
      </c>
    </row>
    <row r="6867" spans="1:6" x14ac:dyDescent="0.25">
      <c r="A6867" t="s">
        <v>12841</v>
      </c>
      <c r="B6867" t="s">
        <v>12841</v>
      </c>
      <c r="C6867" s="1">
        <v>44083</v>
      </c>
      <c r="D6867" t="b">
        <v>1</v>
      </c>
      <c r="E6867" t="s">
        <v>10</v>
      </c>
      <c r="F6867">
        <v>5889</v>
      </c>
    </row>
    <row r="6868" spans="1:6" x14ac:dyDescent="0.25">
      <c r="A6868" t="s">
        <v>12842</v>
      </c>
      <c r="B6868" t="s">
        <v>12843</v>
      </c>
      <c r="C6868" s="1">
        <v>44083</v>
      </c>
      <c r="D6868" t="b">
        <v>1</v>
      </c>
      <c r="E6868" t="s">
        <v>10</v>
      </c>
      <c r="F6868">
        <v>13425</v>
      </c>
    </row>
    <row r="6869" spans="1:6" x14ac:dyDescent="0.25">
      <c r="A6869" t="s">
        <v>12844</v>
      </c>
      <c r="C6869" s="1">
        <v>44083</v>
      </c>
      <c r="D6869" t="b">
        <v>1</v>
      </c>
      <c r="E6869" t="s">
        <v>10</v>
      </c>
      <c r="F6869">
        <v>13486</v>
      </c>
    </row>
    <row r="6870" spans="1:6" x14ac:dyDescent="0.25">
      <c r="A6870" t="s">
        <v>12845</v>
      </c>
      <c r="B6870" t="s">
        <v>12846</v>
      </c>
      <c r="C6870" s="1">
        <v>44083</v>
      </c>
      <c r="D6870" t="b">
        <v>1</v>
      </c>
      <c r="E6870" t="s">
        <v>10</v>
      </c>
      <c r="F6870">
        <v>5890</v>
      </c>
    </row>
    <row r="6871" spans="1:6" x14ac:dyDescent="0.25">
      <c r="A6871" t="s">
        <v>12847</v>
      </c>
      <c r="B6871" t="s">
        <v>12848</v>
      </c>
      <c r="C6871" s="1">
        <v>44083</v>
      </c>
      <c r="D6871" t="b">
        <v>1</v>
      </c>
      <c r="E6871" t="s">
        <v>10</v>
      </c>
      <c r="F6871">
        <v>5891</v>
      </c>
    </row>
    <row r="6872" spans="1:6" x14ac:dyDescent="0.25">
      <c r="A6872" t="s">
        <v>12849</v>
      </c>
      <c r="B6872" t="s">
        <v>5080</v>
      </c>
      <c r="C6872" s="1">
        <v>44083</v>
      </c>
      <c r="D6872" t="b">
        <v>1</v>
      </c>
      <c r="E6872" t="s">
        <v>10</v>
      </c>
      <c r="F6872">
        <v>14408</v>
      </c>
    </row>
    <row r="6873" spans="1:6" x14ac:dyDescent="0.25">
      <c r="A6873" t="s">
        <v>12850</v>
      </c>
      <c r="B6873" t="s">
        <v>12851</v>
      </c>
      <c r="C6873" s="1">
        <v>44083</v>
      </c>
      <c r="D6873" t="b">
        <v>1</v>
      </c>
      <c r="E6873" t="s">
        <v>10</v>
      </c>
      <c r="F6873">
        <v>8159</v>
      </c>
    </row>
    <row r="6874" spans="1:6" x14ac:dyDescent="0.25">
      <c r="A6874" t="s">
        <v>12852</v>
      </c>
      <c r="B6874" t="s">
        <v>12853</v>
      </c>
      <c r="C6874" s="1">
        <v>44083</v>
      </c>
      <c r="D6874" t="b">
        <v>1</v>
      </c>
      <c r="E6874" t="s">
        <v>10</v>
      </c>
      <c r="F6874">
        <v>5896</v>
      </c>
    </row>
    <row r="6875" spans="1:6" x14ac:dyDescent="0.25">
      <c r="A6875" t="s">
        <v>12854</v>
      </c>
      <c r="B6875" t="s">
        <v>12855</v>
      </c>
      <c r="C6875" s="1">
        <v>44083</v>
      </c>
      <c r="D6875" t="b">
        <v>1</v>
      </c>
      <c r="E6875" t="s">
        <v>10</v>
      </c>
      <c r="F6875">
        <v>5898</v>
      </c>
    </row>
    <row r="6876" spans="1:6" x14ac:dyDescent="0.25">
      <c r="A6876" t="s">
        <v>12856</v>
      </c>
      <c r="B6876" t="s">
        <v>12857</v>
      </c>
      <c r="C6876" s="1">
        <v>44083</v>
      </c>
      <c r="D6876" t="b">
        <v>1</v>
      </c>
      <c r="E6876" t="s">
        <v>10</v>
      </c>
      <c r="F6876">
        <v>5899</v>
      </c>
    </row>
    <row r="6877" spans="1:6" x14ac:dyDescent="0.25">
      <c r="A6877" t="s">
        <v>12858</v>
      </c>
      <c r="B6877" t="s">
        <v>12859</v>
      </c>
      <c r="C6877" s="1">
        <v>44083</v>
      </c>
      <c r="D6877" t="b">
        <v>1</v>
      </c>
      <c r="E6877" t="s">
        <v>10</v>
      </c>
      <c r="F6877">
        <v>8002</v>
      </c>
    </row>
    <row r="6878" spans="1:6" x14ac:dyDescent="0.25">
      <c r="A6878" t="s">
        <v>12860</v>
      </c>
      <c r="B6878" t="s">
        <v>12861</v>
      </c>
      <c r="C6878" s="1">
        <v>44083</v>
      </c>
      <c r="D6878" t="b">
        <v>1</v>
      </c>
      <c r="E6878" t="s">
        <v>10</v>
      </c>
      <c r="F6878">
        <v>10311</v>
      </c>
    </row>
    <row r="6879" spans="1:6" x14ac:dyDescent="0.25">
      <c r="A6879" t="s">
        <v>12862</v>
      </c>
      <c r="C6879" s="1">
        <v>44083</v>
      </c>
      <c r="D6879" t="b">
        <v>1</v>
      </c>
      <c r="E6879" t="s">
        <v>10</v>
      </c>
      <c r="F6879">
        <v>13918</v>
      </c>
    </row>
    <row r="6880" spans="1:6" x14ac:dyDescent="0.25">
      <c r="A6880" t="s">
        <v>12863</v>
      </c>
      <c r="C6880" s="1">
        <v>44083</v>
      </c>
      <c r="D6880" t="b">
        <v>1</v>
      </c>
      <c r="E6880" t="s">
        <v>10</v>
      </c>
      <c r="F6880">
        <v>14619</v>
      </c>
    </row>
    <row r="6881" spans="1:6" x14ac:dyDescent="0.25">
      <c r="A6881" t="s">
        <v>12864</v>
      </c>
      <c r="C6881" s="1">
        <v>44083</v>
      </c>
      <c r="D6881" t="b">
        <v>1</v>
      </c>
      <c r="E6881" t="s">
        <v>10</v>
      </c>
      <c r="F6881">
        <v>15020</v>
      </c>
    </row>
    <row r="6882" spans="1:6" x14ac:dyDescent="0.25">
      <c r="A6882" t="s">
        <v>12865</v>
      </c>
      <c r="C6882" s="1">
        <v>44083</v>
      </c>
      <c r="D6882" t="b">
        <v>1</v>
      </c>
      <c r="E6882" t="s">
        <v>10</v>
      </c>
      <c r="F6882">
        <v>17211</v>
      </c>
    </row>
    <row r="6883" spans="1:6" x14ac:dyDescent="0.25">
      <c r="A6883" t="s">
        <v>12866</v>
      </c>
      <c r="C6883" s="1">
        <v>44083</v>
      </c>
      <c r="D6883" t="b">
        <v>1</v>
      </c>
      <c r="E6883" t="s">
        <v>10</v>
      </c>
      <c r="F6883">
        <v>16528</v>
      </c>
    </row>
    <row r="6884" spans="1:6" x14ac:dyDescent="0.25">
      <c r="A6884" t="s">
        <v>12867</v>
      </c>
      <c r="C6884" s="1">
        <v>44083</v>
      </c>
      <c r="D6884" t="b">
        <v>1</v>
      </c>
      <c r="E6884" t="s">
        <v>10</v>
      </c>
      <c r="F6884">
        <v>16120</v>
      </c>
    </row>
    <row r="6885" spans="1:6" x14ac:dyDescent="0.25">
      <c r="A6885" t="s">
        <v>12868</v>
      </c>
      <c r="C6885" s="1">
        <v>44083</v>
      </c>
      <c r="D6885" t="b">
        <v>1</v>
      </c>
      <c r="E6885" t="s">
        <v>10</v>
      </c>
      <c r="F6885">
        <v>15714</v>
      </c>
    </row>
    <row r="6886" spans="1:6" x14ac:dyDescent="0.25">
      <c r="A6886" t="s">
        <v>12869</v>
      </c>
      <c r="C6886" s="1">
        <v>44083</v>
      </c>
      <c r="D6886" t="b">
        <v>1</v>
      </c>
      <c r="E6886" t="s">
        <v>10</v>
      </c>
      <c r="F6886">
        <v>16171</v>
      </c>
    </row>
    <row r="6887" spans="1:6" x14ac:dyDescent="0.25">
      <c r="A6887" t="s">
        <v>12870</v>
      </c>
      <c r="C6887" s="1">
        <v>44083</v>
      </c>
      <c r="D6887" t="b">
        <v>1</v>
      </c>
      <c r="E6887" t="s">
        <v>10</v>
      </c>
      <c r="F6887">
        <v>12980</v>
      </c>
    </row>
    <row r="6888" spans="1:6" x14ac:dyDescent="0.25">
      <c r="A6888" t="s">
        <v>12871</v>
      </c>
      <c r="B6888" t="s">
        <v>12872</v>
      </c>
      <c r="C6888" s="1">
        <v>44083</v>
      </c>
      <c r="D6888" t="b">
        <v>1</v>
      </c>
      <c r="E6888" t="s">
        <v>10</v>
      </c>
      <c r="F6888">
        <v>5901</v>
      </c>
    </row>
    <row r="6889" spans="1:6" x14ac:dyDescent="0.25">
      <c r="A6889" t="s">
        <v>12873</v>
      </c>
      <c r="B6889" t="s">
        <v>12874</v>
      </c>
      <c r="C6889" s="1">
        <v>44083</v>
      </c>
      <c r="D6889" t="b">
        <v>1</v>
      </c>
      <c r="E6889" t="s">
        <v>10</v>
      </c>
      <c r="F6889">
        <v>5902</v>
      </c>
    </row>
    <row r="6890" spans="1:6" x14ac:dyDescent="0.25">
      <c r="A6890" t="s">
        <v>12875</v>
      </c>
      <c r="B6890" t="s">
        <v>12876</v>
      </c>
      <c r="C6890" s="1">
        <v>44083</v>
      </c>
      <c r="D6890" t="b">
        <v>1</v>
      </c>
      <c r="E6890" t="s">
        <v>10</v>
      </c>
      <c r="F6890">
        <v>5903</v>
      </c>
    </row>
    <row r="6891" spans="1:6" x14ac:dyDescent="0.25">
      <c r="A6891" t="s">
        <v>12877</v>
      </c>
      <c r="B6891" t="s">
        <v>12878</v>
      </c>
      <c r="C6891" s="1">
        <v>44083</v>
      </c>
      <c r="D6891" t="b">
        <v>1</v>
      </c>
      <c r="E6891" t="s">
        <v>10</v>
      </c>
      <c r="F6891">
        <v>380</v>
      </c>
    </row>
    <row r="6892" spans="1:6" x14ac:dyDescent="0.25">
      <c r="A6892" t="s">
        <v>12879</v>
      </c>
      <c r="B6892" t="s">
        <v>12880</v>
      </c>
      <c r="C6892" s="1">
        <v>44083</v>
      </c>
      <c r="D6892" t="b">
        <v>1</v>
      </c>
      <c r="E6892" t="s">
        <v>10</v>
      </c>
      <c r="F6892">
        <v>9756</v>
      </c>
    </row>
    <row r="6893" spans="1:6" x14ac:dyDescent="0.25">
      <c r="A6893" t="s">
        <v>12881</v>
      </c>
      <c r="B6893" t="s">
        <v>12882</v>
      </c>
      <c r="C6893" s="1">
        <v>44083</v>
      </c>
      <c r="D6893" t="b">
        <v>0</v>
      </c>
      <c r="E6893" t="s">
        <v>10</v>
      </c>
      <c r="F6893">
        <v>16981</v>
      </c>
    </row>
    <row r="6894" spans="1:6" x14ac:dyDescent="0.25">
      <c r="A6894" t="s">
        <v>12883</v>
      </c>
      <c r="B6894" t="s">
        <v>12884</v>
      </c>
      <c r="C6894" s="1">
        <v>44083</v>
      </c>
      <c r="D6894" t="b">
        <v>1</v>
      </c>
      <c r="E6894" t="s">
        <v>10</v>
      </c>
      <c r="F6894">
        <v>10940</v>
      </c>
    </row>
    <row r="6895" spans="1:6" x14ac:dyDescent="0.25">
      <c r="A6895" t="s">
        <v>12885</v>
      </c>
      <c r="B6895" t="s">
        <v>12886</v>
      </c>
      <c r="C6895" s="1">
        <v>44083</v>
      </c>
      <c r="D6895" t="b">
        <v>1</v>
      </c>
      <c r="E6895" t="s">
        <v>10</v>
      </c>
      <c r="F6895">
        <v>14928</v>
      </c>
    </row>
    <row r="6896" spans="1:6" x14ac:dyDescent="0.25">
      <c r="A6896" t="s">
        <v>12887</v>
      </c>
      <c r="B6896" t="s">
        <v>12888</v>
      </c>
      <c r="C6896" s="1">
        <v>44083</v>
      </c>
      <c r="D6896" t="b">
        <v>1</v>
      </c>
      <c r="E6896" t="s">
        <v>10</v>
      </c>
      <c r="F6896">
        <v>5908</v>
      </c>
    </row>
    <row r="6897" spans="1:6" x14ac:dyDescent="0.25">
      <c r="A6897" t="s">
        <v>12889</v>
      </c>
      <c r="B6897" t="s">
        <v>12890</v>
      </c>
      <c r="C6897" s="1">
        <v>44083</v>
      </c>
      <c r="D6897" t="b">
        <v>1</v>
      </c>
      <c r="E6897" t="s">
        <v>10</v>
      </c>
      <c r="F6897">
        <v>5911</v>
      </c>
    </row>
    <row r="6898" spans="1:6" x14ac:dyDescent="0.25">
      <c r="A6898" t="s">
        <v>12891</v>
      </c>
      <c r="B6898" t="s">
        <v>12892</v>
      </c>
      <c r="C6898" s="1">
        <v>44083</v>
      </c>
      <c r="D6898" t="b">
        <v>1</v>
      </c>
      <c r="E6898" t="s">
        <v>10</v>
      </c>
      <c r="F6898">
        <v>5912</v>
      </c>
    </row>
    <row r="6899" spans="1:6" x14ac:dyDescent="0.25">
      <c r="A6899" t="s">
        <v>12893</v>
      </c>
      <c r="B6899" t="s">
        <v>12894</v>
      </c>
      <c r="C6899" s="1">
        <v>44083</v>
      </c>
      <c r="D6899" t="b">
        <v>1</v>
      </c>
      <c r="E6899" t="s">
        <v>10</v>
      </c>
      <c r="F6899">
        <v>5913</v>
      </c>
    </row>
    <row r="6900" spans="1:6" x14ac:dyDescent="0.25">
      <c r="A6900" t="s">
        <v>12895</v>
      </c>
      <c r="B6900" t="s">
        <v>12896</v>
      </c>
      <c r="C6900" s="1">
        <v>44083</v>
      </c>
      <c r="D6900" t="b">
        <v>1</v>
      </c>
      <c r="E6900" t="s">
        <v>10</v>
      </c>
      <c r="F6900">
        <v>5914</v>
      </c>
    </row>
    <row r="6901" spans="1:6" x14ac:dyDescent="0.25">
      <c r="A6901" t="s">
        <v>12897</v>
      </c>
      <c r="B6901" t="s">
        <v>12898</v>
      </c>
      <c r="C6901" s="1">
        <v>44083</v>
      </c>
      <c r="D6901" t="b">
        <v>1</v>
      </c>
      <c r="E6901" t="s">
        <v>10</v>
      </c>
      <c r="F6901">
        <v>9757</v>
      </c>
    </row>
    <row r="6902" spans="1:6" x14ac:dyDescent="0.25">
      <c r="A6902" t="s">
        <v>12899</v>
      </c>
      <c r="B6902" t="s">
        <v>12900</v>
      </c>
      <c r="C6902" s="1">
        <v>44083</v>
      </c>
      <c r="D6902" t="b">
        <v>1</v>
      </c>
      <c r="E6902" t="s">
        <v>10</v>
      </c>
      <c r="F6902">
        <v>16948</v>
      </c>
    </row>
    <row r="6903" spans="1:6" x14ac:dyDescent="0.25">
      <c r="A6903" t="s">
        <v>12901</v>
      </c>
      <c r="B6903" t="s">
        <v>12902</v>
      </c>
      <c r="C6903" s="1">
        <v>44083</v>
      </c>
      <c r="D6903" t="b">
        <v>1</v>
      </c>
      <c r="E6903" t="s">
        <v>10</v>
      </c>
      <c r="F6903">
        <v>5918</v>
      </c>
    </row>
    <row r="6904" spans="1:6" x14ac:dyDescent="0.25">
      <c r="A6904" t="s">
        <v>12903</v>
      </c>
      <c r="B6904" t="s">
        <v>12904</v>
      </c>
      <c r="C6904" s="1">
        <v>44083</v>
      </c>
      <c r="D6904" t="b">
        <v>1</v>
      </c>
      <c r="E6904" t="s">
        <v>10</v>
      </c>
      <c r="F6904">
        <v>16884</v>
      </c>
    </row>
    <row r="6905" spans="1:6" x14ac:dyDescent="0.25">
      <c r="A6905" t="s">
        <v>12905</v>
      </c>
      <c r="B6905" t="s">
        <v>12906</v>
      </c>
      <c r="C6905" s="1">
        <v>44083</v>
      </c>
      <c r="D6905" t="b">
        <v>1</v>
      </c>
      <c r="E6905" t="s">
        <v>10</v>
      </c>
      <c r="F6905">
        <v>5920</v>
      </c>
    </row>
    <row r="6906" spans="1:6" x14ac:dyDescent="0.25">
      <c r="A6906" t="s">
        <v>12907</v>
      </c>
      <c r="B6906" t="s">
        <v>12908</v>
      </c>
      <c r="C6906" s="1">
        <v>44083</v>
      </c>
      <c r="D6906" t="b">
        <v>1</v>
      </c>
      <c r="E6906" t="s">
        <v>10</v>
      </c>
      <c r="F6906">
        <v>5921</v>
      </c>
    </row>
    <row r="6907" spans="1:6" x14ac:dyDescent="0.25">
      <c r="A6907" t="s">
        <v>12909</v>
      </c>
      <c r="B6907" t="s">
        <v>12910</v>
      </c>
      <c r="C6907" s="1">
        <v>44083</v>
      </c>
      <c r="D6907" t="b">
        <v>1</v>
      </c>
      <c r="E6907" t="s">
        <v>10</v>
      </c>
      <c r="F6907">
        <v>5922</v>
      </c>
    </row>
    <row r="6908" spans="1:6" x14ac:dyDescent="0.25">
      <c r="A6908" t="s">
        <v>12911</v>
      </c>
      <c r="B6908" t="s">
        <v>12912</v>
      </c>
      <c r="C6908" s="1">
        <v>44083</v>
      </c>
      <c r="D6908" t="b">
        <v>1</v>
      </c>
      <c r="E6908" t="s">
        <v>10</v>
      </c>
      <c r="F6908">
        <v>5924</v>
      </c>
    </row>
    <row r="6909" spans="1:6" x14ac:dyDescent="0.25">
      <c r="A6909" t="s">
        <v>12913</v>
      </c>
      <c r="B6909" t="s">
        <v>12914</v>
      </c>
      <c r="C6909" s="1">
        <v>44083</v>
      </c>
      <c r="D6909" t="b">
        <v>1</v>
      </c>
      <c r="E6909" t="s">
        <v>10</v>
      </c>
      <c r="F6909">
        <v>5925</v>
      </c>
    </row>
    <row r="6910" spans="1:6" x14ac:dyDescent="0.25">
      <c r="A6910" t="s">
        <v>12915</v>
      </c>
      <c r="C6910" s="1">
        <v>44083</v>
      </c>
      <c r="D6910" t="b">
        <v>1</v>
      </c>
      <c r="E6910" t="s">
        <v>10</v>
      </c>
      <c r="F6910">
        <v>13332</v>
      </c>
    </row>
    <row r="6911" spans="1:6" x14ac:dyDescent="0.25">
      <c r="A6911" t="s">
        <v>12916</v>
      </c>
      <c r="B6911" t="s">
        <v>12917</v>
      </c>
      <c r="C6911" s="1">
        <v>44083</v>
      </c>
      <c r="D6911" t="b">
        <v>1</v>
      </c>
      <c r="E6911" t="s">
        <v>10</v>
      </c>
      <c r="F6911">
        <v>16183</v>
      </c>
    </row>
    <row r="6912" spans="1:6" x14ac:dyDescent="0.25">
      <c r="A6912" t="s">
        <v>12918</v>
      </c>
      <c r="B6912" t="s">
        <v>12919</v>
      </c>
      <c r="C6912" s="1">
        <v>44083</v>
      </c>
      <c r="D6912" t="b">
        <v>1</v>
      </c>
      <c r="E6912" t="s">
        <v>10</v>
      </c>
      <c r="F6912">
        <v>5929</v>
      </c>
    </row>
    <row r="6913" spans="1:6" x14ac:dyDescent="0.25">
      <c r="A6913" t="s">
        <v>12920</v>
      </c>
      <c r="B6913" t="s">
        <v>12921</v>
      </c>
      <c r="C6913" s="1">
        <v>44083</v>
      </c>
      <c r="D6913" t="b">
        <v>1</v>
      </c>
      <c r="E6913" t="s">
        <v>10</v>
      </c>
      <c r="F6913">
        <v>5930</v>
      </c>
    </row>
    <row r="6914" spans="1:6" x14ac:dyDescent="0.25">
      <c r="A6914" t="s">
        <v>12922</v>
      </c>
      <c r="B6914" t="s">
        <v>12923</v>
      </c>
      <c r="C6914" s="1">
        <v>44083</v>
      </c>
      <c r="D6914" t="b">
        <v>1</v>
      </c>
      <c r="E6914" t="s">
        <v>10</v>
      </c>
      <c r="F6914">
        <v>7889</v>
      </c>
    </row>
    <row r="6915" spans="1:6" x14ac:dyDescent="0.25">
      <c r="A6915" t="s">
        <v>12924</v>
      </c>
      <c r="B6915" t="s">
        <v>12925</v>
      </c>
      <c r="C6915" s="1">
        <v>44083</v>
      </c>
      <c r="D6915" t="b">
        <v>1</v>
      </c>
      <c r="E6915" t="s">
        <v>10</v>
      </c>
      <c r="F6915">
        <v>15513</v>
      </c>
    </row>
    <row r="6916" spans="1:6" x14ac:dyDescent="0.25">
      <c r="A6916" t="s">
        <v>12926</v>
      </c>
      <c r="B6916" t="s">
        <v>12927</v>
      </c>
      <c r="C6916" s="1">
        <v>44083</v>
      </c>
      <c r="D6916" t="b">
        <v>1</v>
      </c>
      <c r="E6916" t="s">
        <v>10</v>
      </c>
      <c r="F6916">
        <v>13619</v>
      </c>
    </row>
    <row r="6917" spans="1:6" x14ac:dyDescent="0.25">
      <c r="A6917" t="s">
        <v>12928</v>
      </c>
      <c r="B6917" t="s">
        <v>12929</v>
      </c>
      <c r="C6917" s="1">
        <v>44083</v>
      </c>
      <c r="D6917" t="b">
        <v>1</v>
      </c>
      <c r="E6917" t="s">
        <v>10</v>
      </c>
      <c r="F6917">
        <v>5931</v>
      </c>
    </row>
    <row r="6918" spans="1:6" x14ac:dyDescent="0.25">
      <c r="A6918" t="s">
        <v>12930</v>
      </c>
      <c r="B6918" t="s">
        <v>12931</v>
      </c>
      <c r="C6918" s="1">
        <v>44083</v>
      </c>
      <c r="D6918" t="b">
        <v>1</v>
      </c>
      <c r="E6918" t="s">
        <v>10</v>
      </c>
      <c r="F6918">
        <v>5932</v>
      </c>
    </row>
    <row r="6919" spans="1:6" x14ac:dyDescent="0.25">
      <c r="A6919" t="s">
        <v>12932</v>
      </c>
      <c r="B6919" t="s">
        <v>12933</v>
      </c>
      <c r="C6919" s="1">
        <v>44083</v>
      </c>
      <c r="D6919" t="b">
        <v>1</v>
      </c>
      <c r="E6919" t="s">
        <v>10</v>
      </c>
      <c r="F6919">
        <v>5933</v>
      </c>
    </row>
    <row r="6920" spans="1:6" x14ac:dyDescent="0.25">
      <c r="A6920" t="s">
        <v>12934</v>
      </c>
      <c r="B6920" t="s">
        <v>12935</v>
      </c>
      <c r="C6920" s="1">
        <v>44083</v>
      </c>
      <c r="D6920" t="b">
        <v>1</v>
      </c>
      <c r="E6920" t="s">
        <v>10</v>
      </c>
      <c r="F6920">
        <v>14837</v>
      </c>
    </row>
    <row r="6921" spans="1:6" x14ac:dyDescent="0.25">
      <c r="A6921" t="s">
        <v>12936</v>
      </c>
      <c r="B6921" t="s">
        <v>12937</v>
      </c>
      <c r="C6921" s="1">
        <v>44083</v>
      </c>
      <c r="D6921" t="b">
        <v>1</v>
      </c>
      <c r="E6921" t="s">
        <v>10</v>
      </c>
      <c r="F6921">
        <v>15560</v>
      </c>
    </row>
    <row r="6922" spans="1:6" x14ac:dyDescent="0.25">
      <c r="A6922" t="s">
        <v>12938</v>
      </c>
      <c r="C6922" s="1">
        <v>44083</v>
      </c>
      <c r="D6922" t="b">
        <v>1</v>
      </c>
      <c r="E6922" t="s">
        <v>10</v>
      </c>
      <c r="F6922">
        <v>15578</v>
      </c>
    </row>
    <row r="6923" spans="1:6" x14ac:dyDescent="0.25">
      <c r="A6923" t="s">
        <v>12939</v>
      </c>
      <c r="B6923" t="s">
        <v>12940</v>
      </c>
      <c r="C6923" s="1">
        <v>44083</v>
      </c>
      <c r="D6923" t="b">
        <v>1</v>
      </c>
      <c r="E6923" t="s">
        <v>10</v>
      </c>
      <c r="F6923">
        <v>15322</v>
      </c>
    </row>
    <row r="6924" spans="1:6" x14ac:dyDescent="0.25">
      <c r="A6924" t="s">
        <v>12941</v>
      </c>
      <c r="B6924" t="s">
        <v>12942</v>
      </c>
      <c r="C6924" s="1">
        <v>44083</v>
      </c>
      <c r="D6924" t="b">
        <v>1</v>
      </c>
      <c r="E6924" t="s">
        <v>10</v>
      </c>
      <c r="F6924">
        <v>15065</v>
      </c>
    </row>
    <row r="6925" spans="1:6" x14ac:dyDescent="0.25">
      <c r="A6925" t="s">
        <v>12943</v>
      </c>
      <c r="B6925" t="s">
        <v>12944</v>
      </c>
      <c r="C6925" s="1">
        <v>44083</v>
      </c>
      <c r="D6925" t="b">
        <v>1</v>
      </c>
      <c r="E6925" t="s">
        <v>10</v>
      </c>
      <c r="F6925">
        <v>15968</v>
      </c>
    </row>
    <row r="6926" spans="1:6" x14ac:dyDescent="0.25">
      <c r="A6926" t="s">
        <v>12945</v>
      </c>
      <c r="B6926" t="s">
        <v>12946</v>
      </c>
      <c r="C6926" s="1">
        <v>44083</v>
      </c>
      <c r="D6926" t="b">
        <v>1</v>
      </c>
      <c r="E6926" t="s">
        <v>10</v>
      </c>
      <c r="F6926">
        <v>10280</v>
      </c>
    </row>
    <row r="6927" spans="1:6" x14ac:dyDescent="0.25">
      <c r="A6927" t="s">
        <v>12947</v>
      </c>
      <c r="C6927" s="1">
        <v>44083</v>
      </c>
      <c r="D6927" t="b">
        <v>1</v>
      </c>
      <c r="E6927" t="s">
        <v>10</v>
      </c>
      <c r="F6927">
        <v>13661</v>
      </c>
    </row>
    <row r="6928" spans="1:6" x14ac:dyDescent="0.25">
      <c r="A6928" t="s">
        <v>12948</v>
      </c>
      <c r="B6928" t="s">
        <v>12949</v>
      </c>
      <c r="C6928" s="1">
        <v>44083</v>
      </c>
      <c r="D6928" t="b">
        <v>1</v>
      </c>
      <c r="E6928" t="s">
        <v>10</v>
      </c>
      <c r="F6928">
        <v>10878</v>
      </c>
    </row>
    <row r="6929" spans="1:6" x14ac:dyDescent="0.25">
      <c r="A6929" t="s">
        <v>12950</v>
      </c>
      <c r="B6929" t="s">
        <v>12951</v>
      </c>
      <c r="C6929" s="1">
        <v>44083</v>
      </c>
      <c r="D6929" t="b">
        <v>1</v>
      </c>
      <c r="E6929" t="s">
        <v>10</v>
      </c>
      <c r="F6929">
        <v>12796</v>
      </c>
    </row>
    <row r="6930" spans="1:6" x14ac:dyDescent="0.25">
      <c r="A6930" t="s">
        <v>12952</v>
      </c>
      <c r="B6930" t="s">
        <v>12953</v>
      </c>
      <c r="C6930" s="1">
        <v>44083</v>
      </c>
      <c r="D6930" t="b">
        <v>1</v>
      </c>
      <c r="E6930" t="s">
        <v>10</v>
      </c>
      <c r="F6930">
        <v>5935</v>
      </c>
    </row>
    <row r="6931" spans="1:6" x14ac:dyDescent="0.25">
      <c r="A6931" t="s">
        <v>12954</v>
      </c>
      <c r="B6931" t="s">
        <v>12955</v>
      </c>
      <c r="C6931" s="1">
        <v>44083</v>
      </c>
      <c r="D6931" t="b">
        <v>1</v>
      </c>
      <c r="E6931" t="s">
        <v>10</v>
      </c>
      <c r="F6931">
        <v>5936</v>
      </c>
    </row>
    <row r="6932" spans="1:6" x14ac:dyDescent="0.25">
      <c r="A6932" t="s">
        <v>12956</v>
      </c>
      <c r="B6932" t="s">
        <v>12957</v>
      </c>
      <c r="C6932" s="1">
        <v>44083</v>
      </c>
      <c r="D6932" t="b">
        <v>1</v>
      </c>
      <c r="E6932" t="s">
        <v>10</v>
      </c>
      <c r="F6932">
        <v>16801</v>
      </c>
    </row>
    <row r="6933" spans="1:6" x14ac:dyDescent="0.25">
      <c r="A6933" t="s">
        <v>12958</v>
      </c>
      <c r="B6933" t="s">
        <v>12959</v>
      </c>
      <c r="C6933" s="1">
        <v>44083</v>
      </c>
      <c r="D6933" t="b">
        <v>1</v>
      </c>
      <c r="E6933" t="s">
        <v>10</v>
      </c>
      <c r="F6933">
        <v>11134</v>
      </c>
    </row>
    <row r="6934" spans="1:6" x14ac:dyDescent="0.25">
      <c r="A6934" t="s">
        <v>12960</v>
      </c>
      <c r="B6934" t="s">
        <v>12961</v>
      </c>
      <c r="C6934" s="1">
        <v>44083</v>
      </c>
      <c r="D6934" t="b">
        <v>1</v>
      </c>
      <c r="E6934" t="s">
        <v>10</v>
      </c>
      <c r="F6934">
        <v>13033</v>
      </c>
    </row>
    <row r="6935" spans="1:6" x14ac:dyDescent="0.25">
      <c r="A6935" t="s">
        <v>12962</v>
      </c>
      <c r="B6935" t="s">
        <v>12963</v>
      </c>
      <c r="C6935" s="1">
        <v>44083</v>
      </c>
      <c r="D6935" t="b">
        <v>1</v>
      </c>
      <c r="E6935" t="s">
        <v>10</v>
      </c>
      <c r="F6935">
        <v>13034</v>
      </c>
    </row>
    <row r="6936" spans="1:6" x14ac:dyDescent="0.25">
      <c r="A6936" t="s">
        <v>12964</v>
      </c>
      <c r="B6936" t="s">
        <v>12965</v>
      </c>
      <c r="C6936" s="1">
        <v>44083</v>
      </c>
      <c r="D6936" t="b">
        <v>1</v>
      </c>
      <c r="E6936" t="s">
        <v>10</v>
      </c>
      <c r="F6936">
        <v>13035</v>
      </c>
    </row>
    <row r="6937" spans="1:6" x14ac:dyDescent="0.25">
      <c r="A6937" t="s">
        <v>12966</v>
      </c>
      <c r="B6937" t="s">
        <v>12967</v>
      </c>
      <c r="C6937" s="1">
        <v>44083</v>
      </c>
      <c r="D6937" t="b">
        <v>1</v>
      </c>
      <c r="E6937" t="s">
        <v>10</v>
      </c>
      <c r="F6937">
        <v>5940</v>
      </c>
    </row>
    <row r="6938" spans="1:6" x14ac:dyDescent="0.25">
      <c r="A6938" t="s">
        <v>12968</v>
      </c>
      <c r="B6938" t="s">
        <v>12969</v>
      </c>
      <c r="C6938" s="1">
        <v>44083</v>
      </c>
      <c r="D6938" t="b">
        <v>1</v>
      </c>
      <c r="E6938" t="s">
        <v>10</v>
      </c>
      <c r="F6938">
        <v>7801</v>
      </c>
    </row>
    <row r="6939" spans="1:6" x14ac:dyDescent="0.25">
      <c r="A6939" t="s">
        <v>12970</v>
      </c>
      <c r="B6939" t="s">
        <v>12971</v>
      </c>
      <c r="C6939" s="1">
        <v>44083</v>
      </c>
      <c r="D6939" t="b">
        <v>1</v>
      </c>
      <c r="E6939" t="s">
        <v>10</v>
      </c>
      <c r="F6939">
        <v>13237</v>
      </c>
    </row>
    <row r="6940" spans="1:6" x14ac:dyDescent="0.25">
      <c r="A6940" t="s">
        <v>12972</v>
      </c>
      <c r="B6940" t="s">
        <v>12973</v>
      </c>
      <c r="C6940" s="1">
        <v>44083</v>
      </c>
      <c r="D6940" t="b">
        <v>1</v>
      </c>
      <c r="E6940" t="s">
        <v>10</v>
      </c>
      <c r="F6940">
        <v>13036</v>
      </c>
    </row>
    <row r="6941" spans="1:6" x14ac:dyDescent="0.25">
      <c r="A6941" t="s">
        <v>12974</v>
      </c>
      <c r="B6941" t="s">
        <v>12975</v>
      </c>
      <c r="C6941" s="1">
        <v>44083</v>
      </c>
      <c r="D6941" t="b">
        <v>1</v>
      </c>
      <c r="E6941" t="s">
        <v>10</v>
      </c>
      <c r="F6941">
        <v>16890</v>
      </c>
    </row>
    <row r="6942" spans="1:6" x14ac:dyDescent="0.25">
      <c r="A6942" t="s">
        <v>12976</v>
      </c>
      <c r="B6942" t="s">
        <v>12977</v>
      </c>
      <c r="C6942" s="1">
        <v>44083</v>
      </c>
      <c r="D6942" t="b">
        <v>1</v>
      </c>
      <c r="E6942" t="s">
        <v>10</v>
      </c>
      <c r="F6942">
        <v>13037</v>
      </c>
    </row>
    <row r="6943" spans="1:6" x14ac:dyDescent="0.25">
      <c r="A6943" t="s">
        <v>12978</v>
      </c>
      <c r="B6943" t="s">
        <v>12979</v>
      </c>
      <c r="C6943" s="1">
        <v>44083</v>
      </c>
      <c r="D6943" t="b">
        <v>1</v>
      </c>
      <c r="E6943" t="s">
        <v>10</v>
      </c>
      <c r="F6943">
        <v>5945</v>
      </c>
    </row>
    <row r="6944" spans="1:6" x14ac:dyDescent="0.25">
      <c r="A6944" t="s">
        <v>12980</v>
      </c>
      <c r="B6944" t="s">
        <v>12981</v>
      </c>
      <c r="C6944" s="1">
        <v>44083</v>
      </c>
      <c r="D6944" t="b">
        <v>1</v>
      </c>
      <c r="E6944" t="s">
        <v>10</v>
      </c>
      <c r="F6944">
        <v>5946</v>
      </c>
    </row>
    <row r="6945" spans="1:6" x14ac:dyDescent="0.25">
      <c r="A6945" t="s">
        <v>12982</v>
      </c>
      <c r="C6945" s="1">
        <v>44083</v>
      </c>
      <c r="D6945" t="b">
        <v>1</v>
      </c>
      <c r="E6945" t="s">
        <v>10</v>
      </c>
      <c r="F6945">
        <v>14621</v>
      </c>
    </row>
    <row r="6946" spans="1:6" x14ac:dyDescent="0.25">
      <c r="A6946" t="s">
        <v>12983</v>
      </c>
      <c r="C6946" s="1">
        <v>44083</v>
      </c>
      <c r="D6946" t="b">
        <v>1</v>
      </c>
      <c r="E6946" t="s">
        <v>10</v>
      </c>
      <c r="F6946">
        <v>14763</v>
      </c>
    </row>
    <row r="6947" spans="1:6" x14ac:dyDescent="0.25">
      <c r="A6947" t="s">
        <v>12984</v>
      </c>
      <c r="B6947" t="s">
        <v>12985</v>
      </c>
      <c r="C6947" s="1">
        <v>44083</v>
      </c>
      <c r="D6947" t="b">
        <v>1</v>
      </c>
      <c r="E6947" t="s">
        <v>10</v>
      </c>
      <c r="F6947">
        <v>13038</v>
      </c>
    </row>
    <row r="6948" spans="1:6" x14ac:dyDescent="0.25">
      <c r="A6948" t="s">
        <v>12986</v>
      </c>
      <c r="B6948" t="s">
        <v>12987</v>
      </c>
      <c r="C6948" s="1">
        <v>44083</v>
      </c>
      <c r="D6948" t="b">
        <v>1</v>
      </c>
      <c r="E6948" t="s">
        <v>10</v>
      </c>
      <c r="F6948">
        <v>5947</v>
      </c>
    </row>
    <row r="6949" spans="1:6" x14ac:dyDescent="0.25">
      <c r="A6949" t="s">
        <v>12988</v>
      </c>
      <c r="B6949" t="s">
        <v>12989</v>
      </c>
      <c r="C6949" s="1">
        <v>44083</v>
      </c>
      <c r="D6949" t="b">
        <v>1</v>
      </c>
      <c r="E6949" t="s">
        <v>10</v>
      </c>
      <c r="F6949">
        <v>5948</v>
      </c>
    </row>
    <row r="6950" spans="1:6" x14ac:dyDescent="0.25">
      <c r="A6950" t="s">
        <v>12990</v>
      </c>
      <c r="B6950" t="s">
        <v>12991</v>
      </c>
      <c r="C6950" s="1">
        <v>44083</v>
      </c>
      <c r="D6950" t="b">
        <v>1</v>
      </c>
      <c r="E6950" t="s">
        <v>10</v>
      </c>
      <c r="F6950">
        <v>14471</v>
      </c>
    </row>
    <row r="6951" spans="1:6" x14ac:dyDescent="0.25">
      <c r="A6951" t="s">
        <v>12992</v>
      </c>
      <c r="B6951" t="s">
        <v>12993</v>
      </c>
      <c r="C6951" s="1">
        <v>44083</v>
      </c>
      <c r="D6951" t="b">
        <v>1</v>
      </c>
      <c r="E6951" t="s">
        <v>10</v>
      </c>
      <c r="F6951">
        <v>9768</v>
      </c>
    </row>
    <row r="6952" spans="1:6" x14ac:dyDescent="0.25">
      <c r="A6952" t="s">
        <v>12994</v>
      </c>
      <c r="B6952" t="s">
        <v>12995</v>
      </c>
      <c r="C6952" s="1">
        <v>44083</v>
      </c>
      <c r="D6952" t="b">
        <v>1</v>
      </c>
      <c r="E6952" t="s">
        <v>10</v>
      </c>
      <c r="F6952">
        <v>8035</v>
      </c>
    </row>
    <row r="6953" spans="1:6" x14ac:dyDescent="0.25">
      <c r="A6953" t="s">
        <v>12996</v>
      </c>
      <c r="B6953" t="s">
        <v>12997</v>
      </c>
      <c r="C6953" s="1">
        <v>44083</v>
      </c>
      <c r="D6953" t="b">
        <v>1</v>
      </c>
      <c r="E6953" t="s">
        <v>10</v>
      </c>
      <c r="F6953">
        <v>14175</v>
      </c>
    </row>
    <row r="6954" spans="1:6" x14ac:dyDescent="0.25">
      <c r="A6954" t="s">
        <v>12998</v>
      </c>
      <c r="B6954" t="s">
        <v>12999</v>
      </c>
      <c r="C6954" s="1">
        <v>44083</v>
      </c>
      <c r="D6954" t="b">
        <v>1</v>
      </c>
      <c r="E6954" t="s">
        <v>10</v>
      </c>
      <c r="F6954">
        <v>16813</v>
      </c>
    </row>
    <row r="6955" spans="1:6" x14ac:dyDescent="0.25">
      <c r="A6955" t="s">
        <v>13000</v>
      </c>
      <c r="B6955" t="s">
        <v>12999</v>
      </c>
      <c r="C6955" s="1">
        <v>44083</v>
      </c>
      <c r="D6955" t="b">
        <v>1</v>
      </c>
      <c r="E6955" t="s">
        <v>10</v>
      </c>
      <c r="F6955">
        <v>16597</v>
      </c>
    </row>
    <row r="6956" spans="1:6" x14ac:dyDescent="0.25">
      <c r="A6956" t="s">
        <v>13001</v>
      </c>
      <c r="C6956" s="1">
        <v>44083</v>
      </c>
      <c r="D6956" t="b">
        <v>1</v>
      </c>
      <c r="E6956" t="s">
        <v>10</v>
      </c>
      <c r="F6956">
        <v>16815</v>
      </c>
    </row>
    <row r="6957" spans="1:6" x14ac:dyDescent="0.25">
      <c r="A6957" t="s">
        <v>13002</v>
      </c>
      <c r="B6957" t="s">
        <v>13003</v>
      </c>
      <c r="C6957" s="1">
        <v>44083</v>
      </c>
      <c r="D6957" t="b">
        <v>1</v>
      </c>
      <c r="E6957" t="s">
        <v>10</v>
      </c>
      <c r="F6957">
        <v>5950</v>
      </c>
    </row>
    <row r="6958" spans="1:6" x14ac:dyDescent="0.25">
      <c r="A6958" t="s">
        <v>13004</v>
      </c>
      <c r="B6958" t="s">
        <v>13005</v>
      </c>
      <c r="C6958" s="1">
        <v>44083</v>
      </c>
      <c r="D6958" t="b">
        <v>1</v>
      </c>
      <c r="E6958" t="s">
        <v>10</v>
      </c>
      <c r="F6958">
        <v>12898</v>
      </c>
    </row>
    <row r="6959" spans="1:6" x14ac:dyDescent="0.25">
      <c r="A6959" t="s">
        <v>13006</v>
      </c>
      <c r="B6959" t="s">
        <v>13007</v>
      </c>
      <c r="C6959" s="1">
        <v>44083</v>
      </c>
      <c r="D6959" t="b">
        <v>1</v>
      </c>
      <c r="E6959" t="s">
        <v>10</v>
      </c>
      <c r="F6959">
        <v>9246</v>
      </c>
    </row>
    <row r="6960" spans="1:6" x14ac:dyDescent="0.25">
      <c r="A6960" t="s">
        <v>13008</v>
      </c>
      <c r="B6960" t="s">
        <v>13009</v>
      </c>
      <c r="C6960" s="1">
        <v>44083</v>
      </c>
      <c r="D6960" t="b">
        <v>1</v>
      </c>
      <c r="E6960" t="s">
        <v>10</v>
      </c>
      <c r="F6960">
        <v>9769</v>
      </c>
    </row>
    <row r="6961" spans="1:6" x14ac:dyDescent="0.25">
      <c r="A6961" t="s">
        <v>13010</v>
      </c>
      <c r="B6961" t="s">
        <v>13011</v>
      </c>
      <c r="C6961" s="1">
        <v>44083</v>
      </c>
      <c r="D6961" t="b">
        <v>1</v>
      </c>
      <c r="E6961" t="s">
        <v>10</v>
      </c>
      <c r="F6961">
        <v>5952</v>
      </c>
    </row>
    <row r="6962" spans="1:6" x14ac:dyDescent="0.25">
      <c r="A6962" t="s">
        <v>13012</v>
      </c>
      <c r="B6962" t="s">
        <v>13013</v>
      </c>
      <c r="C6962" s="1">
        <v>44083</v>
      </c>
      <c r="D6962" t="b">
        <v>1</v>
      </c>
      <c r="E6962" t="s">
        <v>10</v>
      </c>
      <c r="F6962">
        <v>5955</v>
      </c>
    </row>
    <row r="6963" spans="1:6" x14ac:dyDescent="0.25">
      <c r="A6963" t="s">
        <v>13014</v>
      </c>
      <c r="B6963" t="s">
        <v>13015</v>
      </c>
      <c r="C6963" s="1">
        <v>44083</v>
      </c>
      <c r="D6963" t="b">
        <v>1</v>
      </c>
      <c r="E6963" t="s">
        <v>10</v>
      </c>
      <c r="F6963">
        <v>5957</v>
      </c>
    </row>
    <row r="6964" spans="1:6" x14ac:dyDescent="0.25">
      <c r="A6964" t="s">
        <v>13016</v>
      </c>
      <c r="B6964" t="s">
        <v>13017</v>
      </c>
      <c r="C6964" s="1">
        <v>44083</v>
      </c>
      <c r="D6964" t="b">
        <v>1</v>
      </c>
      <c r="E6964" t="s">
        <v>10</v>
      </c>
      <c r="F6964">
        <v>15163</v>
      </c>
    </row>
    <row r="6965" spans="1:6" x14ac:dyDescent="0.25">
      <c r="A6965" t="s">
        <v>13018</v>
      </c>
      <c r="B6965" t="s">
        <v>13019</v>
      </c>
      <c r="C6965" s="1">
        <v>44083</v>
      </c>
      <c r="D6965" t="b">
        <v>1</v>
      </c>
      <c r="E6965" t="s">
        <v>10</v>
      </c>
      <c r="F6965">
        <v>13347</v>
      </c>
    </row>
    <row r="6966" spans="1:6" x14ac:dyDescent="0.25">
      <c r="A6966" t="s">
        <v>13020</v>
      </c>
      <c r="B6966" t="s">
        <v>13021</v>
      </c>
      <c r="C6966" s="1">
        <v>44083</v>
      </c>
      <c r="D6966" t="b">
        <v>1</v>
      </c>
      <c r="E6966" t="s">
        <v>10</v>
      </c>
      <c r="F6966">
        <v>5958</v>
      </c>
    </row>
    <row r="6967" spans="1:6" x14ac:dyDescent="0.25">
      <c r="A6967" t="s">
        <v>13022</v>
      </c>
      <c r="B6967" t="s">
        <v>13023</v>
      </c>
      <c r="C6967" s="1">
        <v>44083</v>
      </c>
      <c r="D6967" t="b">
        <v>1</v>
      </c>
      <c r="E6967" t="s">
        <v>10</v>
      </c>
      <c r="F6967">
        <v>5960</v>
      </c>
    </row>
    <row r="6968" spans="1:6" x14ac:dyDescent="0.25">
      <c r="A6968" t="s">
        <v>13024</v>
      </c>
      <c r="B6968" t="s">
        <v>13025</v>
      </c>
      <c r="C6968" s="1">
        <v>44083</v>
      </c>
      <c r="D6968" t="b">
        <v>1</v>
      </c>
      <c r="E6968" t="s">
        <v>10</v>
      </c>
      <c r="F6968">
        <v>5961</v>
      </c>
    </row>
    <row r="6969" spans="1:6" x14ac:dyDescent="0.25">
      <c r="A6969" t="s">
        <v>13026</v>
      </c>
      <c r="B6969" t="s">
        <v>13027</v>
      </c>
      <c r="C6969" s="1">
        <v>44083</v>
      </c>
      <c r="D6969" t="b">
        <v>1</v>
      </c>
      <c r="E6969" t="s">
        <v>10</v>
      </c>
      <c r="F6969">
        <v>16263</v>
      </c>
    </row>
    <row r="6970" spans="1:6" x14ac:dyDescent="0.25">
      <c r="A6970" t="s">
        <v>13028</v>
      </c>
      <c r="B6970" t="s">
        <v>13029</v>
      </c>
      <c r="C6970" s="1">
        <v>44083</v>
      </c>
      <c r="D6970" t="b">
        <v>1</v>
      </c>
      <c r="E6970" t="s">
        <v>10</v>
      </c>
      <c r="F6970">
        <v>5963</v>
      </c>
    </row>
    <row r="6971" spans="1:6" x14ac:dyDescent="0.25">
      <c r="A6971" t="s">
        <v>13030</v>
      </c>
      <c r="B6971" t="s">
        <v>13031</v>
      </c>
      <c r="C6971" s="1">
        <v>44083</v>
      </c>
      <c r="D6971" t="b">
        <v>1</v>
      </c>
      <c r="E6971" t="s">
        <v>10</v>
      </c>
      <c r="F6971">
        <v>5964</v>
      </c>
    </row>
    <row r="6972" spans="1:6" x14ac:dyDescent="0.25">
      <c r="A6972" t="s">
        <v>13032</v>
      </c>
      <c r="B6972" t="s">
        <v>13033</v>
      </c>
      <c r="C6972" s="1">
        <v>44083</v>
      </c>
      <c r="D6972" t="b">
        <v>1</v>
      </c>
      <c r="E6972" t="s">
        <v>10</v>
      </c>
      <c r="F6972">
        <v>9857</v>
      </c>
    </row>
    <row r="6973" spans="1:6" x14ac:dyDescent="0.25">
      <c r="A6973" t="s">
        <v>13034</v>
      </c>
      <c r="B6973" t="s">
        <v>13035</v>
      </c>
      <c r="C6973" s="1">
        <v>44083</v>
      </c>
      <c r="D6973" t="b">
        <v>1</v>
      </c>
      <c r="E6973" t="s">
        <v>10</v>
      </c>
      <c r="F6973">
        <v>5967</v>
      </c>
    </row>
    <row r="6974" spans="1:6" x14ac:dyDescent="0.25">
      <c r="A6974" t="s">
        <v>13036</v>
      </c>
      <c r="B6974" t="s">
        <v>13037</v>
      </c>
      <c r="C6974" s="1">
        <v>44083</v>
      </c>
      <c r="D6974" t="b">
        <v>1</v>
      </c>
      <c r="E6974" t="s">
        <v>10</v>
      </c>
      <c r="F6974">
        <v>9770</v>
      </c>
    </row>
    <row r="6975" spans="1:6" x14ac:dyDescent="0.25">
      <c r="A6975" t="s">
        <v>13038</v>
      </c>
      <c r="B6975" t="s">
        <v>13039</v>
      </c>
      <c r="C6975" s="1">
        <v>44083</v>
      </c>
      <c r="D6975" t="b">
        <v>1</v>
      </c>
      <c r="E6975" t="s">
        <v>10</v>
      </c>
      <c r="F6975">
        <v>5972</v>
      </c>
    </row>
    <row r="6976" spans="1:6" x14ac:dyDescent="0.25">
      <c r="A6976" t="s">
        <v>13040</v>
      </c>
      <c r="B6976" t="s">
        <v>13041</v>
      </c>
      <c r="C6976" s="1">
        <v>44083</v>
      </c>
      <c r="D6976" t="b">
        <v>1</v>
      </c>
      <c r="E6976" t="s">
        <v>10</v>
      </c>
      <c r="F6976">
        <v>5973</v>
      </c>
    </row>
    <row r="6977" spans="1:6" x14ac:dyDescent="0.25">
      <c r="A6977" t="s">
        <v>13042</v>
      </c>
      <c r="B6977" t="s">
        <v>13043</v>
      </c>
      <c r="C6977" s="1">
        <v>44083</v>
      </c>
      <c r="D6977" t="b">
        <v>1</v>
      </c>
      <c r="E6977" t="s">
        <v>10</v>
      </c>
      <c r="F6977">
        <v>16375</v>
      </c>
    </row>
    <row r="6978" spans="1:6" x14ac:dyDescent="0.25">
      <c r="A6978" t="s">
        <v>13044</v>
      </c>
      <c r="B6978" t="s">
        <v>13045</v>
      </c>
      <c r="C6978" s="1">
        <v>44083</v>
      </c>
      <c r="D6978" t="b">
        <v>1</v>
      </c>
      <c r="E6978" t="s">
        <v>10</v>
      </c>
      <c r="F6978">
        <v>14830</v>
      </c>
    </row>
    <row r="6979" spans="1:6" x14ac:dyDescent="0.25">
      <c r="A6979" t="s">
        <v>13046</v>
      </c>
      <c r="B6979" t="s">
        <v>13047</v>
      </c>
      <c r="C6979" s="1">
        <v>44083</v>
      </c>
      <c r="D6979" t="b">
        <v>1</v>
      </c>
      <c r="E6979" t="s">
        <v>10</v>
      </c>
      <c r="F6979">
        <v>10117</v>
      </c>
    </row>
    <row r="6980" spans="1:6" x14ac:dyDescent="0.25">
      <c r="A6980" t="s">
        <v>13048</v>
      </c>
      <c r="B6980" t="s">
        <v>13049</v>
      </c>
      <c r="C6980" s="1">
        <v>44083</v>
      </c>
      <c r="D6980" t="b">
        <v>1</v>
      </c>
      <c r="E6980" t="s">
        <v>10</v>
      </c>
      <c r="F6980">
        <v>14409</v>
      </c>
    </row>
    <row r="6981" spans="1:6" x14ac:dyDescent="0.25">
      <c r="A6981" t="s">
        <v>13050</v>
      </c>
      <c r="B6981" t="s">
        <v>13051</v>
      </c>
      <c r="C6981" s="1">
        <v>44083</v>
      </c>
      <c r="D6981" t="b">
        <v>1</v>
      </c>
      <c r="E6981" t="s">
        <v>10</v>
      </c>
      <c r="F6981">
        <v>15635</v>
      </c>
    </row>
    <row r="6982" spans="1:6" x14ac:dyDescent="0.25">
      <c r="A6982" t="s">
        <v>13052</v>
      </c>
      <c r="C6982" s="1">
        <v>44083</v>
      </c>
      <c r="D6982" t="b">
        <v>1</v>
      </c>
      <c r="E6982" t="s">
        <v>10</v>
      </c>
      <c r="F6982">
        <v>15650</v>
      </c>
    </row>
    <row r="6983" spans="1:6" x14ac:dyDescent="0.25">
      <c r="A6983" t="s">
        <v>13053</v>
      </c>
      <c r="B6983" t="s">
        <v>13051</v>
      </c>
      <c r="C6983" s="1">
        <v>44083</v>
      </c>
      <c r="D6983" t="b">
        <v>1</v>
      </c>
      <c r="E6983" t="s">
        <v>10</v>
      </c>
      <c r="F6983">
        <v>15533</v>
      </c>
    </row>
    <row r="6984" spans="1:6" x14ac:dyDescent="0.25">
      <c r="A6984" t="s">
        <v>13054</v>
      </c>
      <c r="B6984" t="s">
        <v>13055</v>
      </c>
      <c r="C6984" s="1">
        <v>44083</v>
      </c>
      <c r="D6984" t="b">
        <v>1</v>
      </c>
      <c r="E6984" t="s">
        <v>10</v>
      </c>
      <c r="F6984">
        <v>5977</v>
      </c>
    </row>
    <row r="6985" spans="1:6" x14ac:dyDescent="0.25">
      <c r="A6985" t="s">
        <v>13056</v>
      </c>
      <c r="B6985" t="s">
        <v>13057</v>
      </c>
      <c r="C6985" s="1">
        <v>44083</v>
      </c>
      <c r="D6985" t="b">
        <v>1</v>
      </c>
      <c r="E6985" t="s">
        <v>10</v>
      </c>
      <c r="F6985">
        <v>16802</v>
      </c>
    </row>
    <row r="6986" spans="1:6" x14ac:dyDescent="0.25">
      <c r="A6986" t="s">
        <v>13058</v>
      </c>
      <c r="B6986" t="s">
        <v>13059</v>
      </c>
      <c r="C6986" s="1">
        <v>44083</v>
      </c>
      <c r="D6986" t="b">
        <v>1</v>
      </c>
      <c r="E6986" t="s">
        <v>10</v>
      </c>
      <c r="F6986">
        <v>5979</v>
      </c>
    </row>
    <row r="6987" spans="1:6" x14ac:dyDescent="0.25">
      <c r="A6987" t="s">
        <v>13060</v>
      </c>
      <c r="C6987" s="1">
        <v>44083</v>
      </c>
      <c r="D6987" t="b">
        <v>1</v>
      </c>
      <c r="E6987" t="s">
        <v>10</v>
      </c>
      <c r="F6987">
        <v>5980</v>
      </c>
    </row>
    <row r="6988" spans="1:6" x14ac:dyDescent="0.25">
      <c r="A6988" t="s">
        <v>13061</v>
      </c>
      <c r="B6988" t="s">
        <v>13062</v>
      </c>
      <c r="C6988" s="1">
        <v>44083</v>
      </c>
      <c r="D6988" t="b">
        <v>1</v>
      </c>
      <c r="E6988" t="s">
        <v>10</v>
      </c>
      <c r="F6988">
        <v>16771</v>
      </c>
    </row>
    <row r="6989" spans="1:6" x14ac:dyDescent="0.25">
      <c r="A6989" t="s">
        <v>13063</v>
      </c>
      <c r="B6989" t="s">
        <v>13064</v>
      </c>
      <c r="C6989" s="1">
        <v>44083</v>
      </c>
      <c r="D6989" t="b">
        <v>1</v>
      </c>
      <c r="E6989" t="s">
        <v>10</v>
      </c>
      <c r="F6989">
        <v>14410</v>
      </c>
    </row>
    <row r="6990" spans="1:6" x14ac:dyDescent="0.25">
      <c r="A6990" t="s">
        <v>13065</v>
      </c>
      <c r="B6990" t="s">
        <v>13066</v>
      </c>
      <c r="C6990" s="1">
        <v>44083</v>
      </c>
      <c r="D6990" t="b">
        <v>1</v>
      </c>
      <c r="E6990" t="s">
        <v>10</v>
      </c>
      <c r="F6990">
        <v>5985</v>
      </c>
    </row>
    <row r="6991" spans="1:6" x14ac:dyDescent="0.25">
      <c r="A6991" t="s">
        <v>13067</v>
      </c>
      <c r="B6991" t="s">
        <v>13068</v>
      </c>
      <c r="C6991" s="1">
        <v>44083</v>
      </c>
      <c r="D6991" t="b">
        <v>1</v>
      </c>
      <c r="E6991" t="s">
        <v>10</v>
      </c>
      <c r="F6991">
        <v>15613</v>
      </c>
    </row>
    <row r="6992" spans="1:6" x14ac:dyDescent="0.25">
      <c r="A6992" t="s">
        <v>13069</v>
      </c>
      <c r="B6992" t="s">
        <v>13070</v>
      </c>
      <c r="C6992" s="1">
        <v>44083</v>
      </c>
      <c r="D6992" t="b">
        <v>1</v>
      </c>
      <c r="E6992" t="s">
        <v>10</v>
      </c>
      <c r="F6992">
        <v>5986</v>
      </c>
    </row>
    <row r="6993" spans="1:6" x14ac:dyDescent="0.25">
      <c r="A6993" t="s">
        <v>13071</v>
      </c>
      <c r="B6993" t="s">
        <v>13072</v>
      </c>
      <c r="C6993" s="1">
        <v>44083</v>
      </c>
      <c r="D6993" t="b">
        <v>1</v>
      </c>
      <c r="E6993" t="s">
        <v>10</v>
      </c>
      <c r="F6993">
        <v>5987</v>
      </c>
    </row>
    <row r="6994" spans="1:6" x14ac:dyDescent="0.25">
      <c r="A6994" t="s">
        <v>13073</v>
      </c>
      <c r="B6994" t="s">
        <v>13074</v>
      </c>
      <c r="C6994" s="1">
        <v>44083</v>
      </c>
      <c r="D6994" t="b">
        <v>1</v>
      </c>
      <c r="E6994" t="s">
        <v>10</v>
      </c>
      <c r="F6994">
        <v>5989</v>
      </c>
    </row>
    <row r="6995" spans="1:6" x14ac:dyDescent="0.25">
      <c r="A6995" t="s">
        <v>13075</v>
      </c>
      <c r="B6995" t="s">
        <v>13076</v>
      </c>
      <c r="C6995" s="1">
        <v>44083</v>
      </c>
      <c r="D6995" t="b">
        <v>1</v>
      </c>
      <c r="E6995" t="s">
        <v>10</v>
      </c>
      <c r="F6995">
        <v>11289</v>
      </c>
    </row>
    <row r="6996" spans="1:6" x14ac:dyDescent="0.25">
      <c r="A6996" t="s">
        <v>13077</v>
      </c>
      <c r="B6996" t="s">
        <v>13078</v>
      </c>
      <c r="C6996" s="1">
        <v>44083</v>
      </c>
      <c r="D6996" t="b">
        <v>1</v>
      </c>
      <c r="E6996" t="s">
        <v>10</v>
      </c>
      <c r="F6996">
        <v>5994</v>
      </c>
    </row>
    <row r="6997" spans="1:6" x14ac:dyDescent="0.25">
      <c r="A6997" t="s">
        <v>13079</v>
      </c>
      <c r="B6997" t="s">
        <v>13080</v>
      </c>
      <c r="C6997" s="1">
        <v>44083</v>
      </c>
      <c r="D6997" t="b">
        <v>1</v>
      </c>
      <c r="E6997" t="s">
        <v>10</v>
      </c>
      <c r="F6997">
        <v>15834</v>
      </c>
    </row>
    <row r="6998" spans="1:6" x14ac:dyDescent="0.25">
      <c r="A6998" t="s">
        <v>13081</v>
      </c>
      <c r="B6998" t="s">
        <v>13082</v>
      </c>
      <c r="C6998" s="1">
        <v>44083</v>
      </c>
      <c r="D6998" t="b">
        <v>1</v>
      </c>
      <c r="E6998" t="s">
        <v>10</v>
      </c>
      <c r="F6998">
        <v>5997</v>
      </c>
    </row>
    <row r="6999" spans="1:6" x14ac:dyDescent="0.25">
      <c r="A6999" t="s">
        <v>13083</v>
      </c>
      <c r="B6999" t="s">
        <v>5080</v>
      </c>
      <c r="C6999" s="1">
        <v>44083</v>
      </c>
      <c r="D6999" t="b">
        <v>1</v>
      </c>
      <c r="E6999" t="s">
        <v>10</v>
      </c>
      <c r="F6999">
        <v>14411</v>
      </c>
    </row>
    <row r="7000" spans="1:6" x14ac:dyDescent="0.25">
      <c r="A7000" t="s">
        <v>13084</v>
      </c>
      <c r="B7000" t="s">
        <v>13085</v>
      </c>
      <c r="C7000" s="1">
        <v>44083</v>
      </c>
      <c r="D7000" t="b">
        <v>1</v>
      </c>
      <c r="E7000" t="s">
        <v>10</v>
      </c>
      <c r="F7000">
        <v>16637</v>
      </c>
    </row>
    <row r="7001" spans="1:6" x14ac:dyDescent="0.25">
      <c r="A7001" t="s">
        <v>13086</v>
      </c>
      <c r="B7001" t="s">
        <v>13087</v>
      </c>
      <c r="C7001" s="1">
        <v>44083</v>
      </c>
      <c r="D7001" t="b">
        <v>1</v>
      </c>
      <c r="E7001" t="s">
        <v>10</v>
      </c>
      <c r="F7001">
        <v>6004</v>
      </c>
    </row>
    <row r="7002" spans="1:6" x14ac:dyDescent="0.25">
      <c r="A7002" t="s">
        <v>13088</v>
      </c>
      <c r="B7002" t="s">
        <v>13089</v>
      </c>
      <c r="C7002" s="1">
        <v>44083</v>
      </c>
      <c r="D7002" t="b">
        <v>1</v>
      </c>
      <c r="E7002" t="s">
        <v>10</v>
      </c>
      <c r="F7002">
        <v>6006</v>
      </c>
    </row>
    <row r="7003" spans="1:6" x14ac:dyDescent="0.25">
      <c r="A7003" t="s">
        <v>13090</v>
      </c>
      <c r="B7003" t="s">
        <v>13091</v>
      </c>
      <c r="C7003" s="1">
        <v>44083</v>
      </c>
      <c r="D7003" t="b">
        <v>1</v>
      </c>
      <c r="E7003" t="s">
        <v>10</v>
      </c>
      <c r="F7003">
        <v>6007</v>
      </c>
    </row>
    <row r="7004" spans="1:6" x14ac:dyDescent="0.25">
      <c r="A7004" t="s">
        <v>13092</v>
      </c>
      <c r="B7004" t="s">
        <v>13093</v>
      </c>
      <c r="C7004" s="1">
        <v>44083</v>
      </c>
      <c r="D7004" t="b">
        <v>1</v>
      </c>
      <c r="E7004" t="s">
        <v>10</v>
      </c>
      <c r="F7004">
        <v>6011</v>
      </c>
    </row>
    <row r="7005" spans="1:6" x14ac:dyDescent="0.25">
      <c r="A7005" t="s">
        <v>13094</v>
      </c>
      <c r="B7005" t="s">
        <v>13095</v>
      </c>
      <c r="C7005" s="1">
        <v>44083</v>
      </c>
      <c r="D7005" t="b">
        <v>1</v>
      </c>
      <c r="E7005" t="s">
        <v>10</v>
      </c>
      <c r="F7005">
        <v>14903</v>
      </c>
    </row>
    <row r="7006" spans="1:6" x14ac:dyDescent="0.25">
      <c r="A7006" t="s">
        <v>13096</v>
      </c>
      <c r="B7006" t="s">
        <v>5080</v>
      </c>
      <c r="C7006" s="1">
        <v>44083</v>
      </c>
      <c r="D7006" t="b">
        <v>1</v>
      </c>
      <c r="E7006" t="s">
        <v>10</v>
      </c>
      <c r="F7006">
        <v>14412</v>
      </c>
    </row>
    <row r="7007" spans="1:6" x14ac:dyDescent="0.25">
      <c r="A7007" t="s">
        <v>13097</v>
      </c>
      <c r="B7007" t="s">
        <v>13098</v>
      </c>
      <c r="C7007" s="1">
        <v>44083</v>
      </c>
      <c r="D7007" t="b">
        <v>1</v>
      </c>
      <c r="E7007" t="s">
        <v>10</v>
      </c>
      <c r="F7007">
        <v>8194</v>
      </c>
    </row>
    <row r="7008" spans="1:6" x14ac:dyDescent="0.25">
      <c r="A7008" t="s">
        <v>13099</v>
      </c>
      <c r="B7008" t="s">
        <v>13100</v>
      </c>
      <c r="C7008" s="1">
        <v>44083</v>
      </c>
      <c r="D7008" t="b">
        <v>1</v>
      </c>
      <c r="E7008" t="s">
        <v>10</v>
      </c>
      <c r="F7008">
        <v>7180</v>
      </c>
    </row>
    <row r="7009" spans="1:6" x14ac:dyDescent="0.25">
      <c r="A7009" t="s">
        <v>13101</v>
      </c>
      <c r="B7009" t="s">
        <v>13102</v>
      </c>
      <c r="C7009" s="1">
        <v>44083</v>
      </c>
      <c r="D7009" t="b">
        <v>1</v>
      </c>
      <c r="E7009" t="s">
        <v>10</v>
      </c>
      <c r="F7009">
        <v>14777</v>
      </c>
    </row>
    <row r="7010" spans="1:6" x14ac:dyDescent="0.25">
      <c r="A7010" t="s">
        <v>13103</v>
      </c>
      <c r="B7010" t="s">
        <v>13104</v>
      </c>
      <c r="C7010" s="1">
        <v>44083</v>
      </c>
      <c r="D7010" t="b">
        <v>1</v>
      </c>
      <c r="E7010" t="s">
        <v>10</v>
      </c>
      <c r="F7010">
        <v>15493</v>
      </c>
    </row>
    <row r="7011" spans="1:6" x14ac:dyDescent="0.25">
      <c r="A7011" t="s">
        <v>13105</v>
      </c>
      <c r="B7011" t="s">
        <v>13106</v>
      </c>
      <c r="C7011" s="1">
        <v>44083</v>
      </c>
      <c r="D7011" t="b">
        <v>1</v>
      </c>
      <c r="E7011" t="s">
        <v>10</v>
      </c>
      <c r="F7011">
        <v>10327</v>
      </c>
    </row>
    <row r="7012" spans="1:6" x14ac:dyDescent="0.25">
      <c r="A7012" t="s">
        <v>13107</v>
      </c>
      <c r="B7012" t="s">
        <v>13108</v>
      </c>
      <c r="C7012" s="1">
        <v>44083</v>
      </c>
      <c r="D7012" t="b">
        <v>1</v>
      </c>
      <c r="E7012" t="s">
        <v>10</v>
      </c>
      <c r="F7012">
        <v>6023</v>
      </c>
    </row>
    <row r="7013" spans="1:6" x14ac:dyDescent="0.25">
      <c r="A7013" t="s">
        <v>13109</v>
      </c>
      <c r="B7013" t="s">
        <v>13110</v>
      </c>
      <c r="C7013" s="1">
        <v>44083</v>
      </c>
      <c r="D7013" t="b">
        <v>1</v>
      </c>
      <c r="E7013" t="s">
        <v>10</v>
      </c>
      <c r="F7013">
        <v>6024</v>
      </c>
    </row>
    <row r="7014" spans="1:6" x14ac:dyDescent="0.25">
      <c r="A7014" t="s">
        <v>13111</v>
      </c>
      <c r="B7014" t="s">
        <v>13112</v>
      </c>
      <c r="C7014" s="1">
        <v>44083</v>
      </c>
      <c r="D7014" t="b">
        <v>1</v>
      </c>
      <c r="E7014" t="s">
        <v>10</v>
      </c>
      <c r="F7014">
        <v>6025</v>
      </c>
    </row>
    <row r="7015" spans="1:6" x14ac:dyDescent="0.25">
      <c r="A7015" t="s">
        <v>13113</v>
      </c>
      <c r="B7015" t="s">
        <v>13114</v>
      </c>
      <c r="C7015" s="1">
        <v>44083</v>
      </c>
      <c r="D7015" t="b">
        <v>1</v>
      </c>
      <c r="E7015" t="s">
        <v>10</v>
      </c>
      <c r="F7015">
        <v>6027</v>
      </c>
    </row>
    <row r="7016" spans="1:6" x14ac:dyDescent="0.25">
      <c r="A7016" t="s">
        <v>13115</v>
      </c>
      <c r="B7016" t="s">
        <v>13116</v>
      </c>
      <c r="C7016" s="1">
        <v>44083</v>
      </c>
      <c r="D7016" t="b">
        <v>1</v>
      </c>
      <c r="E7016" t="s">
        <v>10</v>
      </c>
      <c r="F7016">
        <v>14767</v>
      </c>
    </row>
    <row r="7017" spans="1:6" x14ac:dyDescent="0.25">
      <c r="A7017" t="s">
        <v>13117</v>
      </c>
      <c r="B7017" t="s">
        <v>13118</v>
      </c>
      <c r="C7017" s="1">
        <v>44083</v>
      </c>
      <c r="D7017" t="b">
        <v>1</v>
      </c>
      <c r="E7017" t="s">
        <v>10</v>
      </c>
      <c r="F7017">
        <v>15786</v>
      </c>
    </row>
    <row r="7018" spans="1:6" x14ac:dyDescent="0.25">
      <c r="A7018" t="s">
        <v>13119</v>
      </c>
      <c r="B7018" t="s">
        <v>13120</v>
      </c>
      <c r="C7018" s="1">
        <v>44083</v>
      </c>
      <c r="D7018" t="b">
        <v>1</v>
      </c>
      <c r="E7018" t="s">
        <v>10</v>
      </c>
      <c r="F7018">
        <v>16475</v>
      </c>
    </row>
    <row r="7019" spans="1:6" x14ac:dyDescent="0.25">
      <c r="A7019" t="s">
        <v>13121</v>
      </c>
      <c r="B7019" t="s">
        <v>13122</v>
      </c>
      <c r="C7019" s="1">
        <v>44083</v>
      </c>
      <c r="D7019" t="b">
        <v>1</v>
      </c>
      <c r="E7019" t="s">
        <v>10</v>
      </c>
      <c r="F7019">
        <v>8259</v>
      </c>
    </row>
    <row r="7020" spans="1:6" x14ac:dyDescent="0.25">
      <c r="A7020" t="s">
        <v>13123</v>
      </c>
      <c r="B7020" t="s">
        <v>13124</v>
      </c>
      <c r="C7020" s="1">
        <v>44083</v>
      </c>
      <c r="D7020" t="b">
        <v>1</v>
      </c>
      <c r="E7020" t="s">
        <v>10</v>
      </c>
      <c r="F7020">
        <v>6031</v>
      </c>
    </row>
    <row r="7021" spans="1:6" x14ac:dyDescent="0.25">
      <c r="A7021" t="s">
        <v>13125</v>
      </c>
      <c r="B7021" t="s">
        <v>13126</v>
      </c>
      <c r="C7021" s="1">
        <v>44083</v>
      </c>
      <c r="D7021" t="b">
        <v>1</v>
      </c>
      <c r="E7021" t="s">
        <v>10</v>
      </c>
      <c r="F7021">
        <v>6032</v>
      </c>
    </row>
    <row r="7022" spans="1:6" x14ac:dyDescent="0.25">
      <c r="A7022" t="s">
        <v>13127</v>
      </c>
      <c r="B7022" t="s">
        <v>13128</v>
      </c>
      <c r="C7022" s="1">
        <v>44083</v>
      </c>
      <c r="D7022" t="b">
        <v>1</v>
      </c>
      <c r="E7022" t="s">
        <v>10</v>
      </c>
      <c r="F7022">
        <v>13680</v>
      </c>
    </row>
    <row r="7023" spans="1:6" x14ac:dyDescent="0.25">
      <c r="A7023" t="s">
        <v>13129</v>
      </c>
      <c r="B7023" t="s">
        <v>13130</v>
      </c>
      <c r="C7023" s="1">
        <v>44083</v>
      </c>
      <c r="D7023" t="b">
        <v>1</v>
      </c>
      <c r="E7023" t="s">
        <v>10</v>
      </c>
      <c r="F7023">
        <v>6033</v>
      </c>
    </row>
    <row r="7024" spans="1:6" x14ac:dyDescent="0.25">
      <c r="A7024" t="s">
        <v>13131</v>
      </c>
      <c r="B7024" t="s">
        <v>13132</v>
      </c>
      <c r="C7024" s="1">
        <v>44083</v>
      </c>
      <c r="D7024" t="b">
        <v>1</v>
      </c>
      <c r="E7024" t="s">
        <v>10</v>
      </c>
      <c r="F7024">
        <v>6034</v>
      </c>
    </row>
    <row r="7025" spans="1:6" x14ac:dyDescent="0.25">
      <c r="A7025" t="s">
        <v>13133</v>
      </c>
      <c r="B7025" t="s">
        <v>13134</v>
      </c>
      <c r="C7025" s="1">
        <v>44083</v>
      </c>
      <c r="D7025" t="b">
        <v>1</v>
      </c>
      <c r="E7025" t="s">
        <v>10</v>
      </c>
      <c r="F7025">
        <v>15381</v>
      </c>
    </row>
    <row r="7026" spans="1:6" x14ac:dyDescent="0.25">
      <c r="A7026" t="s">
        <v>13135</v>
      </c>
      <c r="B7026" t="s">
        <v>13136</v>
      </c>
      <c r="C7026" s="1">
        <v>44083</v>
      </c>
      <c r="D7026" t="b">
        <v>1</v>
      </c>
      <c r="E7026" t="s">
        <v>10</v>
      </c>
      <c r="F7026">
        <v>15382</v>
      </c>
    </row>
    <row r="7027" spans="1:6" x14ac:dyDescent="0.25">
      <c r="A7027" t="s">
        <v>13137</v>
      </c>
      <c r="B7027" t="s">
        <v>13138</v>
      </c>
      <c r="C7027" s="1">
        <v>44083</v>
      </c>
      <c r="D7027" t="b">
        <v>1</v>
      </c>
      <c r="E7027" t="s">
        <v>10</v>
      </c>
      <c r="F7027">
        <v>15383</v>
      </c>
    </row>
    <row r="7028" spans="1:6" x14ac:dyDescent="0.25">
      <c r="A7028" t="s">
        <v>13139</v>
      </c>
      <c r="B7028" t="s">
        <v>13140</v>
      </c>
      <c r="C7028" s="1">
        <v>44083</v>
      </c>
      <c r="D7028" t="b">
        <v>1</v>
      </c>
      <c r="E7028" t="s">
        <v>10</v>
      </c>
      <c r="F7028">
        <v>15384</v>
      </c>
    </row>
    <row r="7029" spans="1:6" x14ac:dyDescent="0.25">
      <c r="A7029" t="s">
        <v>13141</v>
      </c>
      <c r="B7029" t="s">
        <v>13142</v>
      </c>
      <c r="C7029" s="1">
        <v>44083</v>
      </c>
      <c r="D7029" t="b">
        <v>1</v>
      </c>
      <c r="E7029" t="s">
        <v>10</v>
      </c>
      <c r="F7029">
        <v>15385</v>
      </c>
    </row>
    <row r="7030" spans="1:6" x14ac:dyDescent="0.25">
      <c r="A7030" t="s">
        <v>13143</v>
      </c>
      <c r="B7030" t="s">
        <v>13144</v>
      </c>
      <c r="C7030" s="1">
        <v>44083</v>
      </c>
      <c r="D7030" t="b">
        <v>1</v>
      </c>
      <c r="E7030" t="s">
        <v>10</v>
      </c>
      <c r="F7030">
        <v>15386</v>
      </c>
    </row>
    <row r="7031" spans="1:6" x14ac:dyDescent="0.25">
      <c r="A7031" t="s">
        <v>13145</v>
      </c>
      <c r="B7031" t="s">
        <v>13146</v>
      </c>
      <c r="C7031" s="1">
        <v>44083</v>
      </c>
      <c r="D7031" t="b">
        <v>1</v>
      </c>
      <c r="E7031" t="s">
        <v>10</v>
      </c>
      <c r="F7031">
        <v>15779</v>
      </c>
    </row>
    <row r="7032" spans="1:6" x14ac:dyDescent="0.25">
      <c r="A7032" t="s">
        <v>13147</v>
      </c>
      <c r="B7032" t="s">
        <v>13148</v>
      </c>
      <c r="C7032" s="1">
        <v>44083</v>
      </c>
      <c r="D7032" t="b">
        <v>1</v>
      </c>
      <c r="E7032" t="s">
        <v>10</v>
      </c>
      <c r="F7032">
        <v>15780</v>
      </c>
    </row>
    <row r="7033" spans="1:6" x14ac:dyDescent="0.25">
      <c r="A7033" t="s">
        <v>13149</v>
      </c>
      <c r="B7033" t="s">
        <v>13150</v>
      </c>
      <c r="C7033" s="1">
        <v>44083</v>
      </c>
      <c r="D7033" t="b">
        <v>1</v>
      </c>
      <c r="E7033" t="s">
        <v>10</v>
      </c>
      <c r="F7033">
        <v>15781</v>
      </c>
    </row>
    <row r="7034" spans="1:6" x14ac:dyDescent="0.25">
      <c r="A7034" t="s">
        <v>13151</v>
      </c>
      <c r="B7034" t="s">
        <v>13152</v>
      </c>
      <c r="C7034" s="1">
        <v>44083</v>
      </c>
      <c r="D7034" t="b">
        <v>1</v>
      </c>
      <c r="E7034" t="s">
        <v>10</v>
      </c>
      <c r="F7034">
        <v>8952</v>
      </c>
    </row>
    <row r="7035" spans="1:6" x14ac:dyDescent="0.25">
      <c r="A7035" t="s">
        <v>13153</v>
      </c>
      <c r="B7035" t="s">
        <v>13154</v>
      </c>
      <c r="C7035" s="1">
        <v>44083</v>
      </c>
      <c r="D7035" t="b">
        <v>1</v>
      </c>
      <c r="E7035" t="s">
        <v>10</v>
      </c>
      <c r="F7035">
        <v>15387</v>
      </c>
    </row>
    <row r="7036" spans="1:6" x14ac:dyDescent="0.25">
      <c r="A7036" t="s">
        <v>13155</v>
      </c>
      <c r="B7036" t="s">
        <v>13156</v>
      </c>
      <c r="C7036" s="1">
        <v>44083</v>
      </c>
      <c r="D7036" t="b">
        <v>1</v>
      </c>
      <c r="E7036" t="s">
        <v>10</v>
      </c>
      <c r="F7036">
        <v>6040</v>
      </c>
    </row>
    <row r="7037" spans="1:6" x14ac:dyDescent="0.25">
      <c r="A7037" t="s">
        <v>13157</v>
      </c>
      <c r="B7037" t="s">
        <v>13158</v>
      </c>
      <c r="C7037" s="1">
        <v>44083</v>
      </c>
      <c r="D7037" t="b">
        <v>1</v>
      </c>
      <c r="E7037" t="s">
        <v>10</v>
      </c>
      <c r="F7037">
        <v>6041</v>
      </c>
    </row>
    <row r="7038" spans="1:6" x14ac:dyDescent="0.25">
      <c r="A7038" t="s">
        <v>13159</v>
      </c>
      <c r="B7038" t="s">
        <v>13160</v>
      </c>
      <c r="C7038" s="1">
        <v>44083</v>
      </c>
      <c r="D7038" t="b">
        <v>1</v>
      </c>
      <c r="E7038" t="s">
        <v>10</v>
      </c>
      <c r="F7038">
        <v>6042</v>
      </c>
    </row>
    <row r="7039" spans="1:6" x14ac:dyDescent="0.25">
      <c r="A7039" t="s">
        <v>13161</v>
      </c>
      <c r="B7039" t="s">
        <v>13162</v>
      </c>
      <c r="C7039" s="1">
        <v>44083</v>
      </c>
      <c r="D7039" t="b">
        <v>1</v>
      </c>
      <c r="E7039" t="s">
        <v>10</v>
      </c>
      <c r="F7039">
        <v>15388</v>
      </c>
    </row>
    <row r="7040" spans="1:6" x14ac:dyDescent="0.25">
      <c r="A7040" t="s">
        <v>13163</v>
      </c>
      <c r="B7040" t="s">
        <v>13164</v>
      </c>
      <c r="C7040" s="1">
        <v>44083</v>
      </c>
      <c r="D7040" t="b">
        <v>1</v>
      </c>
      <c r="E7040" t="s">
        <v>10</v>
      </c>
      <c r="F7040">
        <v>6043</v>
      </c>
    </row>
    <row r="7041" spans="1:6" x14ac:dyDescent="0.25">
      <c r="A7041" t="s">
        <v>13165</v>
      </c>
      <c r="B7041" t="s">
        <v>13166</v>
      </c>
      <c r="C7041" s="1">
        <v>44083</v>
      </c>
      <c r="D7041" t="b">
        <v>1</v>
      </c>
      <c r="E7041" t="s">
        <v>10</v>
      </c>
      <c r="F7041">
        <v>15389</v>
      </c>
    </row>
    <row r="7042" spans="1:6" x14ac:dyDescent="0.25">
      <c r="A7042" t="s">
        <v>13167</v>
      </c>
      <c r="B7042" t="s">
        <v>13168</v>
      </c>
      <c r="C7042" s="1">
        <v>44083</v>
      </c>
      <c r="D7042" t="b">
        <v>1</v>
      </c>
      <c r="E7042" t="s">
        <v>10</v>
      </c>
      <c r="F7042">
        <v>15390</v>
      </c>
    </row>
    <row r="7043" spans="1:6" x14ac:dyDescent="0.25">
      <c r="A7043" t="s">
        <v>13169</v>
      </c>
      <c r="B7043" t="s">
        <v>13170</v>
      </c>
      <c r="C7043" s="1">
        <v>44083</v>
      </c>
      <c r="D7043" t="b">
        <v>1</v>
      </c>
      <c r="E7043" t="s">
        <v>10</v>
      </c>
      <c r="F7043">
        <v>6046</v>
      </c>
    </row>
    <row r="7044" spans="1:6" x14ac:dyDescent="0.25">
      <c r="A7044" t="s">
        <v>13171</v>
      </c>
      <c r="B7044" t="s">
        <v>13172</v>
      </c>
      <c r="C7044" s="1">
        <v>44083</v>
      </c>
      <c r="D7044" t="b">
        <v>1</v>
      </c>
      <c r="E7044" t="s">
        <v>10</v>
      </c>
      <c r="F7044">
        <v>6048</v>
      </c>
    </row>
    <row r="7045" spans="1:6" x14ac:dyDescent="0.25">
      <c r="A7045" t="s">
        <v>13173</v>
      </c>
      <c r="B7045" t="s">
        <v>13174</v>
      </c>
      <c r="C7045" s="1">
        <v>44083</v>
      </c>
      <c r="D7045" t="b">
        <v>1</v>
      </c>
      <c r="E7045" t="s">
        <v>10</v>
      </c>
      <c r="F7045">
        <v>6049</v>
      </c>
    </row>
    <row r="7046" spans="1:6" x14ac:dyDescent="0.25">
      <c r="A7046" t="s">
        <v>13175</v>
      </c>
      <c r="B7046" t="s">
        <v>13176</v>
      </c>
      <c r="C7046" s="1">
        <v>44083</v>
      </c>
      <c r="D7046" t="b">
        <v>1</v>
      </c>
      <c r="E7046" t="s">
        <v>10</v>
      </c>
      <c r="F7046">
        <v>6050</v>
      </c>
    </row>
    <row r="7047" spans="1:6" x14ac:dyDescent="0.25">
      <c r="A7047" t="s">
        <v>13177</v>
      </c>
      <c r="B7047" t="s">
        <v>13178</v>
      </c>
      <c r="C7047" s="1">
        <v>44083</v>
      </c>
      <c r="D7047" t="b">
        <v>1</v>
      </c>
      <c r="E7047" t="s">
        <v>10</v>
      </c>
      <c r="F7047">
        <v>6051</v>
      </c>
    </row>
    <row r="7048" spans="1:6" x14ac:dyDescent="0.25">
      <c r="A7048" t="s">
        <v>13179</v>
      </c>
      <c r="B7048" t="s">
        <v>13180</v>
      </c>
      <c r="C7048" s="1">
        <v>44083</v>
      </c>
      <c r="D7048" t="b">
        <v>1</v>
      </c>
      <c r="E7048" t="s">
        <v>10</v>
      </c>
      <c r="F7048">
        <v>16961</v>
      </c>
    </row>
    <row r="7049" spans="1:6" x14ac:dyDescent="0.25">
      <c r="A7049" t="s">
        <v>13181</v>
      </c>
      <c r="B7049" t="s">
        <v>13182</v>
      </c>
      <c r="C7049" s="1">
        <v>44083</v>
      </c>
      <c r="D7049" t="b">
        <v>1</v>
      </c>
      <c r="E7049" t="s">
        <v>10</v>
      </c>
      <c r="F7049">
        <v>6052</v>
      </c>
    </row>
    <row r="7050" spans="1:6" x14ac:dyDescent="0.25">
      <c r="A7050" t="s">
        <v>13183</v>
      </c>
      <c r="C7050" s="1">
        <v>44083</v>
      </c>
      <c r="D7050" t="b">
        <v>1</v>
      </c>
      <c r="E7050" t="s">
        <v>10</v>
      </c>
      <c r="F7050">
        <v>10763</v>
      </c>
    </row>
    <row r="7051" spans="1:6" x14ac:dyDescent="0.25">
      <c r="A7051" t="s">
        <v>13184</v>
      </c>
      <c r="B7051" t="s">
        <v>13185</v>
      </c>
      <c r="C7051" s="1">
        <v>44083</v>
      </c>
      <c r="D7051" t="b">
        <v>1</v>
      </c>
      <c r="E7051" t="s">
        <v>10</v>
      </c>
      <c r="F7051">
        <v>6053</v>
      </c>
    </row>
    <row r="7052" spans="1:6" x14ac:dyDescent="0.25">
      <c r="A7052" t="s">
        <v>13186</v>
      </c>
      <c r="B7052" t="s">
        <v>13187</v>
      </c>
      <c r="C7052" s="1">
        <v>44083</v>
      </c>
      <c r="D7052" t="b">
        <v>1</v>
      </c>
      <c r="E7052" t="s">
        <v>10</v>
      </c>
      <c r="F7052">
        <v>8826</v>
      </c>
    </row>
    <row r="7053" spans="1:6" x14ac:dyDescent="0.25">
      <c r="A7053" t="s">
        <v>13188</v>
      </c>
      <c r="B7053" t="s">
        <v>13189</v>
      </c>
      <c r="C7053" s="1">
        <v>44083</v>
      </c>
      <c r="D7053" t="b">
        <v>1</v>
      </c>
      <c r="E7053" t="s">
        <v>10</v>
      </c>
      <c r="F7053">
        <v>13333</v>
      </c>
    </row>
    <row r="7054" spans="1:6" x14ac:dyDescent="0.25">
      <c r="A7054" t="s">
        <v>13190</v>
      </c>
      <c r="B7054" t="s">
        <v>5080</v>
      </c>
      <c r="C7054" s="1">
        <v>44083</v>
      </c>
      <c r="D7054" t="b">
        <v>1</v>
      </c>
      <c r="E7054" t="s">
        <v>10</v>
      </c>
      <c r="F7054">
        <v>14413</v>
      </c>
    </row>
    <row r="7055" spans="1:6" x14ac:dyDescent="0.25">
      <c r="A7055" t="s">
        <v>13191</v>
      </c>
      <c r="B7055" t="s">
        <v>5080</v>
      </c>
      <c r="C7055" s="1">
        <v>44083</v>
      </c>
      <c r="D7055" t="b">
        <v>1</v>
      </c>
      <c r="E7055" t="s">
        <v>10</v>
      </c>
      <c r="F7055">
        <v>14414</v>
      </c>
    </row>
    <row r="7056" spans="1:6" x14ac:dyDescent="0.25">
      <c r="A7056" t="s">
        <v>13192</v>
      </c>
      <c r="B7056" t="s">
        <v>5080</v>
      </c>
      <c r="C7056" s="1">
        <v>44083</v>
      </c>
      <c r="D7056" t="b">
        <v>1</v>
      </c>
      <c r="E7056" t="s">
        <v>10</v>
      </c>
      <c r="F7056">
        <v>14415</v>
      </c>
    </row>
    <row r="7057" spans="1:6" x14ac:dyDescent="0.25">
      <c r="A7057" t="s">
        <v>13193</v>
      </c>
      <c r="B7057" t="s">
        <v>13194</v>
      </c>
      <c r="C7057" s="1">
        <v>44083</v>
      </c>
      <c r="D7057" t="b">
        <v>1</v>
      </c>
      <c r="E7057" t="s">
        <v>10</v>
      </c>
      <c r="F7057">
        <v>7870</v>
      </c>
    </row>
    <row r="7058" spans="1:6" x14ac:dyDescent="0.25">
      <c r="A7058" t="s">
        <v>13195</v>
      </c>
      <c r="B7058" t="s">
        <v>13196</v>
      </c>
      <c r="C7058" s="1">
        <v>44083</v>
      </c>
      <c r="D7058" t="b">
        <v>1</v>
      </c>
      <c r="E7058" t="s">
        <v>10</v>
      </c>
      <c r="F7058">
        <v>14660</v>
      </c>
    </row>
    <row r="7059" spans="1:6" x14ac:dyDescent="0.25">
      <c r="A7059" t="s">
        <v>13197</v>
      </c>
      <c r="B7059" t="s">
        <v>13198</v>
      </c>
      <c r="C7059" s="1">
        <v>44083</v>
      </c>
      <c r="D7059" t="b">
        <v>1</v>
      </c>
      <c r="E7059" t="s">
        <v>10</v>
      </c>
      <c r="F7059">
        <v>15652</v>
      </c>
    </row>
    <row r="7060" spans="1:6" x14ac:dyDescent="0.25">
      <c r="A7060" t="s">
        <v>13199</v>
      </c>
      <c r="B7060" t="s">
        <v>13200</v>
      </c>
      <c r="C7060" s="1">
        <v>44083</v>
      </c>
      <c r="D7060" t="b">
        <v>1</v>
      </c>
      <c r="E7060" t="s">
        <v>10</v>
      </c>
      <c r="F7060">
        <v>6059</v>
      </c>
    </row>
    <row r="7061" spans="1:6" x14ac:dyDescent="0.25">
      <c r="A7061" t="s">
        <v>13201</v>
      </c>
      <c r="B7061" t="s">
        <v>5080</v>
      </c>
      <c r="C7061" s="1">
        <v>44083</v>
      </c>
      <c r="D7061" t="b">
        <v>1</v>
      </c>
      <c r="E7061" t="s">
        <v>10</v>
      </c>
      <c r="F7061">
        <v>14416</v>
      </c>
    </row>
    <row r="7062" spans="1:6" x14ac:dyDescent="0.25">
      <c r="A7062" t="s">
        <v>13202</v>
      </c>
      <c r="B7062" t="s">
        <v>13203</v>
      </c>
      <c r="C7062" s="1">
        <v>44083</v>
      </c>
      <c r="D7062" t="b">
        <v>1</v>
      </c>
      <c r="E7062" t="s">
        <v>10</v>
      </c>
      <c r="F7062">
        <v>13496</v>
      </c>
    </row>
    <row r="7063" spans="1:6" x14ac:dyDescent="0.25">
      <c r="A7063" t="s">
        <v>13204</v>
      </c>
      <c r="B7063" t="s">
        <v>5080</v>
      </c>
      <c r="C7063" s="1">
        <v>44083</v>
      </c>
      <c r="D7063" t="b">
        <v>1</v>
      </c>
      <c r="E7063" t="s">
        <v>10</v>
      </c>
      <c r="F7063">
        <v>14417</v>
      </c>
    </row>
    <row r="7064" spans="1:6" x14ac:dyDescent="0.25">
      <c r="A7064" t="s">
        <v>13205</v>
      </c>
      <c r="C7064" s="1">
        <v>44083</v>
      </c>
      <c r="D7064" t="b">
        <v>1</v>
      </c>
      <c r="E7064" t="s">
        <v>10</v>
      </c>
      <c r="F7064">
        <v>6062</v>
      </c>
    </row>
    <row r="7065" spans="1:6" x14ac:dyDescent="0.25">
      <c r="A7065" t="s">
        <v>13206</v>
      </c>
      <c r="C7065" s="1">
        <v>44083</v>
      </c>
      <c r="D7065" t="b">
        <v>1</v>
      </c>
      <c r="E7065" t="s">
        <v>10</v>
      </c>
      <c r="F7065">
        <v>11488</v>
      </c>
    </row>
    <row r="7066" spans="1:6" x14ac:dyDescent="0.25">
      <c r="A7066" t="s">
        <v>13207</v>
      </c>
      <c r="B7066" t="s">
        <v>13208</v>
      </c>
      <c r="C7066" s="1">
        <v>44083</v>
      </c>
      <c r="D7066" t="b">
        <v>1</v>
      </c>
      <c r="E7066" t="s">
        <v>10</v>
      </c>
      <c r="F7066">
        <v>14418</v>
      </c>
    </row>
    <row r="7067" spans="1:6" x14ac:dyDescent="0.25">
      <c r="A7067" t="s">
        <v>13209</v>
      </c>
      <c r="B7067" t="s">
        <v>13208</v>
      </c>
      <c r="C7067" s="1">
        <v>44083</v>
      </c>
      <c r="D7067" t="b">
        <v>1</v>
      </c>
      <c r="E7067" t="s">
        <v>10</v>
      </c>
      <c r="F7067">
        <v>14419</v>
      </c>
    </row>
    <row r="7068" spans="1:6" x14ac:dyDescent="0.25">
      <c r="A7068" t="s">
        <v>13210</v>
      </c>
      <c r="B7068" t="s">
        <v>13211</v>
      </c>
      <c r="C7068" s="1">
        <v>44083</v>
      </c>
      <c r="D7068" t="b">
        <v>1</v>
      </c>
      <c r="E7068" t="s">
        <v>10</v>
      </c>
      <c r="F7068">
        <v>6066</v>
      </c>
    </row>
    <row r="7069" spans="1:6" x14ac:dyDescent="0.25">
      <c r="A7069" t="s">
        <v>13212</v>
      </c>
      <c r="B7069" t="s">
        <v>13213</v>
      </c>
      <c r="C7069" s="1">
        <v>44083</v>
      </c>
      <c r="D7069" t="b">
        <v>1</v>
      </c>
      <c r="E7069" t="s">
        <v>10</v>
      </c>
      <c r="F7069">
        <v>6067</v>
      </c>
    </row>
    <row r="7070" spans="1:6" x14ac:dyDescent="0.25">
      <c r="A7070" t="s">
        <v>13214</v>
      </c>
      <c r="B7070" t="s">
        <v>13215</v>
      </c>
      <c r="C7070" s="1">
        <v>44083</v>
      </c>
      <c r="D7070" t="b">
        <v>1</v>
      </c>
      <c r="E7070" t="s">
        <v>10</v>
      </c>
      <c r="F7070">
        <v>8329</v>
      </c>
    </row>
    <row r="7071" spans="1:6" x14ac:dyDescent="0.25">
      <c r="A7071" t="s">
        <v>13216</v>
      </c>
      <c r="C7071" s="1">
        <v>44083</v>
      </c>
      <c r="D7071" t="b">
        <v>1</v>
      </c>
      <c r="E7071" t="s">
        <v>10</v>
      </c>
      <c r="F7071">
        <v>16291</v>
      </c>
    </row>
    <row r="7072" spans="1:6" x14ac:dyDescent="0.25">
      <c r="A7072" t="s">
        <v>13217</v>
      </c>
      <c r="B7072" t="s">
        <v>13218</v>
      </c>
      <c r="C7072" s="1">
        <v>44083</v>
      </c>
      <c r="D7072" t="b">
        <v>1</v>
      </c>
      <c r="E7072" t="s">
        <v>10</v>
      </c>
      <c r="F7072">
        <v>12369</v>
      </c>
    </row>
    <row r="7073" spans="1:6" x14ac:dyDescent="0.25">
      <c r="A7073" t="s">
        <v>13219</v>
      </c>
      <c r="C7073" s="1">
        <v>44083</v>
      </c>
      <c r="D7073" t="b">
        <v>1</v>
      </c>
      <c r="E7073" t="s">
        <v>10</v>
      </c>
      <c r="F7073">
        <v>14971</v>
      </c>
    </row>
    <row r="7074" spans="1:6" x14ac:dyDescent="0.25">
      <c r="A7074" t="s">
        <v>13220</v>
      </c>
      <c r="B7074" t="s">
        <v>13221</v>
      </c>
      <c r="C7074" s="1">
        <v>44083</v>
      </c>
      <c r="D7074" t="b">
        <v>1</v>
      </c>
      <c r="E7074" t="s">
        <v>10</v>
      </c>
      <c r="F7074">
        <v>13046</v>
      </c>
    </row>
    <row r="7075" spans="1:6" x14ac:dyDescent="0.25">
      <c r="A7075" t="s">
        <v>13222</v>
      </c>
      <c r="B7075" t="s">
        <v>13223</v>
      </c>
      <c r="C7075" s="1">
        <v>44083</v>
      </c>
      <c r="D7075" t="b">
        <v>1</v>
      </c>
      <c r="E7075" t="s">
        <v>10</v>
      </c>
      <c r="F7075">
        <v>6070</v>
      </c>
    </row>
    <row r="7076" spans="1:6" x14ac:dyDescent="0.25">
      <c r="A7076" t="s">
        <v>13224</v>
      </c>
      <c r="B7076" t="s">
        <v>13225</v>
      </c>
      <c r="C7076" s="1">
        <v>44083</v>
      </c>
      <c r="D7076" t="b">
        <v>1</v>
      </c>
      <c r="E7076" t="s">
        <v>10</v>
      </c>
      <c r="F7076">
        <v>6071</v>
      </c>
    </row>
    <row r="7077" spans="1:6" x14ac:dyDescent="0.25">
      <c r="A7077" t="s">
        <v>13226</v>
      </c>
      <c r="B7077" t="s">
        <v>13227</v>
      </c>
      <c r="C7077" s="1">
        <v>44083</v>
      </c>
      <c r="D7077" t="b">
        <v>1</v>
      </c>
      <c r="E7077" t="s">
        <v>10</v>
      </c>
      <c r="F7077">
        <v>8850</v>
      </c>
    </row>
    <row r="7078" spans="1:6" x14ac:dyDescent="0.25">
      <c r="A7078" t="s">
        <v>13228</v>
      </c>
      <c r="B7078" t="s">
        <v>13229</v>
      </c>
      <c r="C7078" s="1">
        <v>44083</v>
      </c>
      <c r="D7078" t="b">
        <v>1</v>
      </c>
      <c r="E7078" t="s">
        <v>10</v>
      </c>
      <c r="F7078">
        <v>6073</v>
      </c>
    </row>
    <row r="7079" spans="1:6" x14ac:dyDescent="0.25">
      <c r="A7079" t="s">
        <v>13230</v>
      </c>
      <c r="B7079" t="s">
        <v>13231</v>
      </c>
      <c r="C7079" s="1">
        <v>44083</v>
      </c>
      <c r="D7079" t="b">
        <v>1</v>
      </c>
      <c r="E7079" t="s">
        <v>10</v>
      </c>
      <c r="F7079">
        <v>6075</v>
      </c>
    </row>
    <row r="7080" spans="1:6" x14ac:dyDescent="0.25">
      <c r="A7080" t="s">
        <v>13232</v>
      </c>
      <c r="B7080" t="s">
        <v>13233</v>
      </c>
      <c r="C7080" s="1">
        <v>44083</v>
      </c>
      <c r="D7080" t="b">
        <v>1</v>
      </c>
      <c r="E7080" t="s">
        <v>10</v>
      </c>
      <c r="F7080">
        <v>7769</v>
      </c>
    </row>
    <row r="7081" spans="1:6" x14ac:dyDescent="0.25">
      <c r="A7081" t="s">
        <v>13234</v>
      </c>
      <c r="B7081" t="s">
        <v>13235</v>
      </c>
      <c r="C7081" s="1">
        <v>44083</v>
      </c>
      <c r="D7081" t="b">
        <v>1</v>
      </c>
      <c r="E7081" t="s">
        <v>10</v>
      </c>
      <c r="F7081">
        <v>13635</v>
      </c>
    </row>
    <row r="7082" spans="1:6" x14ac:dyDescent="0.25">
      <c r="A7082" t="s">
        <v>13236</v>
      </c>
      <c r="C7082" s="1">
        <v>44083</v>
      </c>
      <c r="D7082" t="b">
        <v>1</v>
      </c>
      <c r="E7082" t="s">
        <v>10</v>
      </c>
      <c r="F7082">
        <v>16911</v>
      </c>
    </row>
    <row r="7083" spans="1:6" x14ac:dyDescent="0.25">
      <c r="A7083" t="s">
        <v>13237</v>
      </c>
      <c r="B7083" t="s">
        <v>13238</v>
      </c>
      <c r="C7083" s="1">
        <v>44083</v>
      </c>
      <c r="D7083" t="b">
        <v>1</v>
      </c>
      <c r="E7083" t="s">
        <v>10</v>
      </c>
      <c r="F7083">
        <v>6076</v>
      </c>
    </row>
    <row r="7084" spans="1:6" x14ac:dyDescent="0.25">
      <c r="A7084" t="s">
        <v>13239</v>
      </c>
      <c r="B7084" t="s">
        <v>13240</v>
      </c>
      <c r="C7084" s="1">
        <v>44083</v>
      </c>
      <c r="D7084" t="b">
        <v>1</v>
      </c>
      <c r="E7084" t="s">
        <v>10</v>
      </c>
      <c r="F7084">
        <v>6078</v>
      </c>
    </row>
    <row r="7085" spans="1:6" x14ac:dyDescent="0.25">
      <c r="A7085" t="s">
        <v>13241</v>
      </c>
      <c r="B7085" t="s">
        <v>13242</v>
      </c>
      <c r="C7085" s="1">
        <v>44083</v>
      </c>
      <c r="D7085" t="b">
        <v>1</v>
      </c>
      <c r="E7085" t="s">
        <v>10</v>
      </c>
      <c r="F7085">
        <v>8102</v>
      </c>
    </row>
    <row r="7086" spans="1:6" x14ac:dyDescent="0.25">
      <c r="A7086" t="s">
        <v>13243</v>
      </c>
      <c r="B7086" t="s">
        <v>13244</v>
      </c>
      <c r="C7086" s="1">
        <v>44083</v>
      </c>
      <c r="D7086" t="b">
        <v>1</v>
      </c>
      <c r="E7086" t="s">
        <v>10</v>
      </c>
      <c r="F7086">
        <v>6079</v>
      </c>
    </row>
    <row r="7087" spans="1:6" x14ac:dyDescent="0.25">
      <c r="A7087" t="s">
        <v>13245</v>
      </c>
      <c r="B7087" t="s">
        <v>13246</v>
      </c>
      <c r="C7087" s="1">
        <v>44083</v>
      </c>
      <c r="D7087" t="b">
        <v>1</v>
      </c>
      <c r="E7087" t="s">
        <v>10</v>
      </c>
      <c r="F7087">
        <v>15368</v>
      </c>
    </row>
    <row r="7088" spans="1:6" x14ac:dyDescent="0.25">
      <c r="A7088" t="s">
        <v>13247</v>
      </c>
      <c r="B7088" t="s">
        <v>13246</v>
      </c>
      <c r="C7088" s="1">
        <v>44083</v>
      </c>
      <c r="D7088" t="b">
        <v>1</v>
      </c>
      <c r="E7088" t="s">
        <v>10</v>
      </c>
      <c r="F7088">
        <v>15250</v>
      </c>
    </row>
    <row r="7089" spans="1:6" x14ac:dyDescent="0.25">
      <c r="A7089" t="s">
        <v>13248</v>
      </c>
      <c r="C7089" s="1">
        <v>44083</v>
      </c>
      <c r="D7089" t="b">
        <v>1</v>
      </c>
      <c r="E7089" t="s">
        <v>10</v>
      </c>
      <c r="F7089">
        <v>15372</v>
      </c>
    </row>
    <row r="7090" spans="1:6" x14ac:dyDescent="0.25">
      <c r="A7090" t="s">
        <v>13249</v>
      </c>
      <c r="B7090" t="s">
        <v>13250</v>
      </c>
      <c r="C7090" s="1">
        <v>44083</v>
      </c>
      <c r="D7090" t="b">
        <v>1</v>
      </c>
      <c r="E7090" t="s">
        <v>10</v>
      </c>
      <c r="F7090">
        <v>6080</v>
      </c>
    </row>
    <row r="7091" spans="1:6" x14ac:dyDescent="0.25">
      <c r="A7091" t="s">
        <v>13251</v>
      </c>
      <c r="B7091" t="s">
        <v>13252</v>
      </c>
      <c r="C7091" s="1">
        <v>44083</v>
      </c>
      <c r="D7091" t="b">
        <v>1</v>
      </c>
      <c r="E7091" t="s">
        <v>10</v>
      </c>
      <c r="F7091">
        <v>6081</v>
      </c>
    </row>
    <row r="7092" spans="1:6" x14ac:dyDescent="0.25">
      <c r="A7092" t="s">
        <v>13253</v>
      </c>
      <c r="C7092" s="1">
        <v>44083</v>
      </c>
      <c r="D7092" t="b">
        <v>1</v>
      </c>
      <c r="E7092" t="s">
        <v>10</v>
      </c>
      <c r="F7092">
        <v>14623</v>
      </c>
    </row>
    <row r="7093" spans="1:6" x14ac:dyDescent="0.25">
      <c r="A7093" t="s">
        <v>13254</v>
      </c>
      <c r="B7093" t="s">
        <v>13255</v>
      </c>
      <c r="C7093" s="1">
        <v>44083</v>
      </c>
      <c r="D7093" t="b">
        <v>1</v>
      </c>
      <c r="E7093" t="s">
        <v>10</v>
      </c>
      <c r="F7093">
        <v>6082</v>
      </c>
    </row>
    <row r="7094" spans="1:6" x14ac:dyDescent="0.25">
      <c r="A7094" t="s">
        <v>13256</v>
      </c>
      <c r="B7094" t="s">
        <v>13257</v>
      </c>
      <c r="C7094" s="1">
        <v>44083</v>
      </c>
      <c r="D7094" t="b">
        <v>1</v>
      </c>
      <c r="E7094" t="s">
        <v>10</v>
      </c>
      <c r="F7094">
        <v>6083</v>
      </c>
    </row>
    <row r="7095" spans="1:6" x14ac:dyDescent="0.25">
      <c r="A7095" t="s">
        <v>13258</v>
      </c>
      <c r="B7095" t="s">
        <v>13259</v>
      </c>
      <c r="C7095" s="1">
        <v>44083</v>
      </c>
      <c r="D7095" t="b">
        <v>1</v>
      </c>
      <c r="E7095" t="s">
        <v>10</v>
      </c>
      <c r="F7095">
        <v>6084</v>
      </c>
    </row>
    <row r="7096" spans="1:6" x14ac:dyDescent="0.25">
      <c r="A7096" t="s">
        <v>13260</v>
      </c>
      <c r="B7096" t="s">
        <v>13261</v>
      </c>
      <c r="C7096" s="1">
        <v>44083</v>
      </c>
      <c r="D7096" t="b">
        <v>1</v>
      </c>
      <c r="E7096" t="s">
        <v>10</v>
      </c>
      <c r="F7096">
        <v>6085</v>
      </c>
    </row>
    <row r="7097" spans="1:6" x14ac:dyDescent="0.25">
      <c r="A7097" t="s">
        <v>13262</v>
      </c>
      <c r="B7097" t="s">
        <v>13263</v>
      </c>
      <c r="C7097" s="1">
        <v>44083</v>
      </c>
      <c r="D7097" t="b">
        <v>1</v>
      </c>
      <c r="E7097" t="s">
        <v>10</v>
      </c>
      <c r="F7097">
        <v>16439</v>
      </c>
    </row>
    <row r="7098" spans="1:6" x14ac:dyDescent="0.25">
      <c r="A7098" t="s">
        <v>13264</v>
      </c>
      <c r="B7098" t="s">
        <v>13265</v>
      </c>
      <c r="C7098" s="1">
        <v>44083</v>
      </c>
      <c r="D7098" t="b">
        <v>1</v>
      </c>
      <c r="E7098" t="s">
        <v>10</v>
      </c>
      <c r="F7098">
        <v>16228</v>
      </c>
    </row>
    <row r="7099" spans="1:6" x14ac:dyDescent="0.25">
      <c r="A7099" t="s">
        <v>13266</v>
      </c>
      <c r="C7099" s="1">
        <v>44083</v>
      </c>
      <c r="D7099" t="b">
        <v>1</v>
      </c>
      <c r="E7099" t="s">
        <v>10</v>
      </c>
      <c r="F7099">
        <v>16441</v>
      </c>
    </row>
    <row r="7100" spans="1:6" x14ac:dyDescent="0.25">
      <c r="A7100" t="s">
        <v>13267</v>
      </c>
      <c r="B7100" t="s">
        <v>13268</v>
      </c>
      <c r="C7100" s="1">
        <v>44083</v>
      </c>
      <c r="D7100" t="b">
        <v>1</v>
      </c>
      <c r="E7100" t="s">
        <v>10</v>
      </c>
      <c r="F7100">
        <v>6088</v>
      </c>
    </row>
    <row r="7101" spans="1:6" x14ac:dyDescent="0.25">
      <c r="A7101" t="s">
        <v>13269</v>
      </c>
      <c r="B7101" t="s">
        <v>13270</v>
      </c>
      <c r="C7101" s="1">
        <v>44083</v>
      </c>
      <c r="D7101" t="b">
        <v>1</v>
      </c>
      <c r="E7101" t="s">
        <v>10</v>
      </c>
      <c r="F7101">
        <v>6090</v>
      </c>
    </row>
    <row r="7102" spans="1:6" x14ac:dyDescent="0.25">
      <c r="A7102" t="s">
        <v>13271</v>
      </c>
      <c r="B7102" t="s">
        <v>13272</v>
      </c>
      <c r="C7102" s="1">
        <v>44083</v>
      </c>
      <c r="D7102" t="b">
        <v>1</v>
      </c>
      <c r="E7102" t="s">
        <v>10</v>
      </c>
      <c r="F7102">
        <v>6091</v>
      </c>
    </row>
    <row r="7103" spans="1:6" x14ac:dyDescent="0.25">
      <c r="A7103" t="s">
        <v>13273</v>
      </c>
      <c r="B7103" t="s">
        <v>13274</v>
      </c>
      <c r="C7103" s="1">
        <v>44083</v>
      </c>
      <c r="D7103" t="b">
        <v>1</v>
      </c>
      <c r="E7103" t="s">
        <v>10</v>
      </c>
      <c r="F7103">
        <v>5646</v>
      </c>
    </row>
    <row r="7104" spans="1:6" x14ac:dyDescent="0.25">
      <c r="A7104" t="s">
        <v>13275</v>
      </c>
      <c r="B7104" t="s">
        <v>13276</v>
      </c>
      <c r="C7104" s="1">
        <v>44083</v>
      </c>
      <c r="D7104" t="b">
        <v>1</v>
      </c>
      <c r="E7104" t="s">
        <v>10</v>
      </c>
      <c r="F7104">
        <v>6092</v>
      </c>
    </row>
    <row r="7105" spans="1:6" x14ac:dyDescent="0.25">
      <c r="A7105" t="s">
        <v>13277</v>
      </c>
      <c r="B7105" t="s">
        <v>13278</v>
      </c>
      <c r="C7105" s="1">
        <v>44083</v>
      </c>
      <c r="D7105" t="b">
        <v>1</v>
      </c>
      <c r="E7105" t="s">
        <v>10</v>
      </c>
      <c r="F7105">
        <v>6093</v>
      </c>
    </row>
    <row r="7106" spans="1:6" x14ac:dyDescent="0.25">
      <c r="A7106" t="s">
        <v>13279</v>
      </c>
      <c r="C7106" s="1">
        <v>44083</v>
      </c>
      <c r="D7106" t="b">
        <v>1</v>
      </c>
      <c r="E7106" t="s">
        <v>10</v>
      </c>
      <c r="F7106">
        <v>14625</v>
      </c>
    </row>
    <row r="7107" spans="1:6" x14ac:dyDescent="0.25">
      <c r="A7107" t="s">
        <v>13280</v>
      </c>
      <c r="C7107" s="1">
        <v>44083</v>
      </c>
      <c r="D7107" t="b">
        <v>1</v>
      </c>
      <c r="E7107" t="s">
        <v>10</v>
      </c>
      <c r="F7107">
        <v>14626</v>
      </c>
    </row>
    <row r="7108" spans="1:6" x14ac:dyDescent="0.25">
      <c r="A7108" t="s">
        <v>13281</v>
      </c>
      <c r="B7108" t="s">
        <v>13282</v>
      </c>
      <c r="C7108" s="1">
        <v>44083</v>
      </c>
      <c r="D7108" t="b">
        <v>1</v>
      </c>
      <c r="E7108" t="s">
        <v>10</v>
      </c>
      <c r="F7108">
        <v>6094</v>
      </c>
    </row>
    <row r="7109" spans="1:6" x14ac:dyDescent="0.25">
      <c r="A7109" t="s">
        <v>13283</v>
      </c>
      <c r="B7109" t="s">
        <v>13284</v>
      </c>
      <c r="C7109" s="1">
        <v>44083</v>
      </c>
      <c r="D7109" t="b">
        <v>1</v>
      </c>
      <c r="E7109" t="s">
        <v>10</v>
      </c>
      <c r="F7109">
        <v>6095</v>
      </c>
    </row>
    <row r="7110" spans="1:6" x14ac:dyDescent="0.25">
      <c r="A7110" t="s">
        <v>13285</v>
      </c>
      <c r="C7110" s="1">
        <v>44083</v>
      </c>
      <c r="D7110" t="b">
        <v>1</v>
      </c>
      <c r="E7110" t="s">
        <v>10</v>
      </c>
      <c r="F7110">
        <v>16796</v>
      </c>
    </row>
    <row r="7111" spans="1:6" x14ac:dyDescent="0.25">
      <c r="A7111" t="s">
        <v>13286</v>
      </c>
      <c r="B7111" t="s">
        <v>13287</v>
      </c>
      <c r="C7111" s="1">
        <v>44083</v>
      </c>
      <c r="D7111" t="b">
        <v>1</v>
      </c>
      <c r="E7111" t="s">
        <v>10</v>
      </c>
      <c r="F7111">
        <v>10469</v>
      </c>
    </row>
    <row r="7112" spans="1:6" x14ac:dyDescent="0.25">
      <c r="A7112" t="s">
        <v>13288</v>
      </c>
      <c r="B7112" t="s">
        <v>13289</v>
      </c>
      <c r="C7112" s="1">
        <v>44083</v>
      </c>
      <c r="D7112" t="b">
        <v>1</v>
      </c>
      <c r="E7112" t="s">
        <v>10</v>
      </c>
      <c r="F7112">
        <v>6097</v>
      </c>
    </row>
    <row r="7113" spans="1:6" x14ac:dyDescent="0.25">
      <c r="A7113" t="s">
        <v>13290</v>
      </c>
      <c r="B7113" t="s">
        <v>13291</v>
      </c>
      <c r="C7113" s="1">
        <v>44083</v>
      </c>
      <c r="D7113" t="b">
        <v>1</v>
      </c>
      <c r="E7113" t="s">
        <v>10</v>
      </c>
      <c r="F7113">
        <v>16062</v>
      </c>
    </row>
    <row r="7114" spans="1:6" x14ac:dyDescent="0.25">
      <c r="A7114" t="s">
        <v>13292</v>
      </c>
      <c r="C7114" s="1">
        <v>44083</v>
      </c>
      <c r="D7114" t="b">
        <v>1</v>
      </c>
      <c r="E7114" t="s">
        <v>10</v>
      </c>
      <c r="F7114">
        <v>16078</v>
      </c>
    </row>
    <row r="7115" spans="1:6" x14ac:dyDescent="0.25">
      <c r="A7115" t="s">
        <v>13293</v>
      </c>
      <c r="B7115" t="s">
        <v>13294</v>
      </c>
      <c r="C7115" s="1">
        <v>44083</v>
      </c>
      <c r="D7115" t="b">
        <v>1</v>
      </c>
      <c r="E7115" t="s">
        <v>10</v>
      </c>
      <c r="F7115">
        <v>15971</v>
      </c>
    </row>
    <row r="7116" spans="1:6" x14ac:dyDescent="0.25">
      <c r="A7116" t="s">
        <v>13295</v>
      </c>
      <c r="B7116" t="s">
        <v>13296</v>
      </c>
      <c r="C7116" s="1">
        <v>44083</v>
      </c>
      <c r="D7116" t="b">
        <v>1</v>
      </c>
      <c r="E7116" t="s">
        <v>10</v>
      </c>
      <c r="F7116">
        <v>6098</v>
      </c>
    </row>
    <row r="7117" spans="1:6" x14ac:dyDescent="0.25">
      <c r="A7117" t="s">
        <v>13297</v>
      </c>
      <c r="B7117" t="s">
        <v>13298</v>
      </c>
      <c r="C7117" s="1">
        <v>44083</v>
      </c>
      <c r="D7117" t="b">
        <v>1</v>
      </c>
      <c r="E7117" t="s">
        <v>10</v>
      </c>
      <c r="F7117">
        <v>6099</v>
      </c>
    </row>
    <row r="7118" spans="1:6" x14ac:dyDescent="0.25">
      <c r="A7118" t="s">
        <v>13299</v>
      </c>
      <c r="B7118" t="s">
        <v>13300</v>
      </c>
      <c r="C7118" s="1">
        <v>44083</v>
      </c>
      <c r="D7118" t="b">
        <v>1</v>
      </c>
      <c r="E7118" t="s">
        <v>10</v>
      </c>
      <c r="F7118">
        <v>6101</v>
      </c>
    </row>
    <row r="7119" spans="1:6" x14ac:dyDescent="0.25">
      <c r="A7119" t="s">
        <v>13301</v>
      </c>
      <c r="B7119" t="s">
        <v>13302</v>
      </c>
      <c r="C7119" s="1">
        <v>44083</v>
      </c>
      <c r="D7119" t="b">
        <v>1</v>
      </c>
      <c r="E7119" t="s">
        <v>10</v>
      </c>
      <c r="F7119">
        <v>6102</v>
      </c>
    </row>
    <row r="7120" spans="1:6" x14ac:dyDescent="0.25">
      <c r="A7120" t="s">
        <v>13303</v>
      </c>
      <c r="B7120" t="s">
        <v>13304</v>
      </c>
      <c r="C7120" s="1">
        <v>44083</v>
      </c>
      <c r="D7120" t="b">
        <v>1</v>
      </c>
      <c r="E7120" t="s">
        <v>10</v>
      </c>
      <c r="F7120">
        <v>9624</v>
      </c>
    </row>
    <row r="7121" spans="1:6" x14ac:dyDescent="0.25">
      <c r="A7121" t="s">
        <v>13305</v>
      </c>
      <c r="B7121" t="s">
        <v>13306</v>
      </c>
      <c r="C7121" s="1">
        <v>44083</v>
      </c>
      <c r="D7121" t="b">
        <v>1</v>
      </c>
      <c r="E7121" t="s">
        <v>10</v>
      </c>
      <c r="F7121">
        <v>6103</v>
      </c>
    </row>
    <row r="7122" spans="1:6" x14ac:dyDescent="0.25">
      <c r="A7122" t="s">
        <v>13307</v>
      </c>
      <c r="C7122" s="1">
        <v>44083</v>
      </c>
      <c r="D7122" t="b">
        <v>1</v>
      </c>
      <c r="E7122" t="s">
        <v>10</v>
      </c>
      <c r="F7122">
        <v>14628</v>
      </c>
    </row>
    <row r="7123" spans="1:6" x14ac:dyDescent="0.25">
      <c r="A7123" t="s">
        <v>13308</v>
      </c>
      <c r="B7123" t="s">
        <v>13309</v>
      </c>
      <c r="C7123" s="1">
        <v>44083</v>
      </c>
      <c r="D7123" t="b">
        <v>1</v>
      </c>
      <c r="E7123" t="s">
        <v>10</v>
      </c>
      <c r="F7123">
        <v>6104</v>
      </c>
    </row>
    <row r="7124" spans="1:6" x14ac:dyDescent="0.25">
      <c r="A7124" t="s">
        <v>13310</v>
      </c>
      <c r="B7124" t="s">
        <v>13311</v>
      </c>
      <c r="C7124" s="1">
        <v>44083</v>
      </c>
      <c r="D7124" t="b">
        <v>1</v>
      </c>
      <c r="E7124" t="s">
        <v>10</v>
      </c>
      <c r="F7124">
        <v>6106</v>
      </c>
    </row>
    <row r="7125" spans="1:6" x14ac:dyDescent="0.25">
      <c r="A7125" t="s">
        <v>13312</v>
      </c>
      <c r="B7125" t="s">
        <v>13313</v>
      </c>
      <c r="C7125" s="1">
        <v>44083</v>
      </c>
      <c r="D7125" t="b">
        <v>1</v>
      </c>
      <c r="E7125" t="s">
        <v>10</v>
      </c>
      <c r="F7125">
        <v>12883</v>
      </c>
    </row>
    <row r="7126" spans="1:6" x14ac:dyDescent="0.25">
      <c r="A7126" t="s">
        <v>13314</v>
      </c>
      <c r="B7126" t="s">
        <v>13315</v>
      </c>
      <c r="C7126" s="1">
        <v>44083</v>
      </c>
      <c r="D7126" t="b">
        <v>1</v>
      </c>
      <c r="E7126" t="s">
        <v>10</v>
      </c>
      <c r="F7126">
        <v>11072</v>
      </c>
    </row>
    <row r="7127" spans="1:6" x14ac:dyDescent="0.25">
      <c r="A7127" t="s">
        <v>13316</v>
      </c>
      <c r="B7127" t="s">
        <v>13317</v>
      </c>
      <c r="C7127" s="1">
        <v>44083</v>
      </c>
      <c r="D7127" t="b">
        <v>1</v>
      </c>
      <c r="E7127" t="s">
        <v>10</v>
      </c>
      <c r="F7127">
        <v>6107</v>
      </c>
    </row>
    <row r="7128" spans="1:6" x14ac:dyDescent="0.25">
      <c r="A7128" t="s">
        <v>13318</v>
      </c>
      <c r="B7128" t="s">
        <v>13319</v>
      </c>
      <c r="C7128" s="1">
        <v>44083</v>
      </c>
      <c r="D7128" t="b">
        <v>1</v>
      </c>
      <c r="E7128" t="s">
        <v>10</v>
      </c>
      <c r="F7128">
        <v>6108</v>
      </c>
    </row>
    <row r="7129" spans="1:6" x14ac:dyDescent="0.25">
      <c r="A7129" t="s">
        <v>13320</v>
      </c>
      <c r="B7129" t="s">
        <v>13321</v>
      </c>
      <c r="C7129" s="1">
        <v>44083</v>
      </c>
      <c r="D7129" t="b">
        <v>1</v>
      </c>
      <c r="E7129" t="s">
        <v>10</v>
      </c>
      <c r="F7129">
        <v>6110</v>
      </c>
    </row>
    <row r="7130" spans="1:6" x14ac:dyDescent="0.25">
      <c r="A7130" t="s">
        <v>13322</v>
      </c>
      <c r="B7130" t="s">
        <v>13323</v>
      </c>
      <c r="C7130" s="1">
        <v>44083</v>
      </c>
      <c r="D7130" t="b">
        <v>1</v>
      </c>
      <c r="E7130" t="s">
        <v>10</v>
      </c>
      <c r="F7130">
        <v>6112</v>
      </c>
    </row>
    <row r="7131" spans="1:6" x14ac:dyDescent="0.25">
      <c r="A7131" t="s">
        <v>13324</v>
      </c>
      <c r="B7131" t="s">
        <v>13325</v>
      </c>
      <c r="C7131" s="1">
        <v>44083</v>
      </c>
      <c r="D7131" t="b">
        <v>1</v>
      </c>
      <c r="E7131" t="s">
        <v>10</v>
      </c>
      <c r="F7131">
        <v>16531</v>
      </c>
    </row>
    <row r="7132" spans="1:6" x14ac:dyDescent="0.25">
      <c r="A7132" t="s">
        <v>13326</v>
      </c>
      <c r="B7132" t="s">
        <v>13327</v>
      </c>
      <c r="C7132" s="1">
        <v>44083</v>
      </c>
      <c r="D7132" t="b">
        <v>1</v>
      </c>
      <c r="E7132" t="s">
        <v>10</v>
      </c>
      <c r="F7132">
        <v>13757</v>
      </c>
    </row>
    <row r="7133" spans="1:6" x14ac:dyDescent="0.25">
      <c r="A7133" t="s">
        <v>13328</v>
      </c>
      <c r="B7133" t="s">
        <v>13329</v>
      </c>
      <c r="C7133" s="1">
        <v>44083</v>
      </c>
      <c r="D7133" t="b">
        <v>1</v>
      </c>
      <c r="E7133" t="s">
        <v>10</v>
      </c>
      <c r="F7133">
        <v>16169</v>
      </c>
    </row>
    <row r="7134" spans="1:6" x14ac:dyDescent="0.25">
      <c r="A7134" t="s">
        <v>13330</v>
      </c>
      <c r="B7134" t="s">
        <v>13331</v>
      </c>
      <c r="C7134" s="1">
        <v>44083</v>
      </c>
      <c r="D7134" t="b">
        <v>1</v>
      </c>
      <c r="E7134" t="s">
        <v>10</v>
      </c>
      <c r="F7134">
        <v>6113</v>
      </c>
    </row>
    <row r="7135" spans="1:6" x14ac:dyDescent="0.25">
      <c r="A7135" t="s">
        <v>13332</v>
      </c>
      <c r="B7135" t="s">
        <v>13333</v>
      </c>
      <c r="C7135" s="1">
        <v>44083</v>
      </c>
      <c r="D7135" t="b">
        <v>1</v>
      </c>
      <c r="E7135" t="s">
        <v>10</v>
      </c>
      <c r="F7135">
        <v>8219</v>
      </c>
    </row>
    <row r="7136" spans="1:6" x14ac:dyDescent="0.25">
      <c r="A7136" t="s">
        <v>13334</v>
      </c>
      <c r="C7136" s="1">
        <v>44083</v>
      </c>
      <c r="D7136" t="b">
        <v>1</v>
      </c>
      <c r="E7136" t="s">
        <v>10</v>
      </c>
      <c r="F7136">
        <v>13322</v>
      </c>
    </row>
    <row r="7137" spans="1:6" x14ac:dyDescent="0.25">
      <c r="A7137" t="s">
        <v>13335</v>
      </c>
      <c r="B7137" t="s">
        <v>13336</v>
      </c>
      <c r="C7137" s="1">
        <v>44083</v>
      </c>
      <c r="D7137" t="b">
        <v>1</v>
      </c>
      <c r="E7137" t="s">
        <v>10</v>
      </c>
      <c r="F7137">
        <v>6118</v>
      </c>
    </row>
    <row r="7138" spans="1:6" x14ac:dyDescent="0.25">
      <c r="A7138" t="s">
        <v>13337</v>
      </c>
      <c r="C7138" s="1">
        <v>44083</v>
      </c>
      <c r="D7138" t="b">
        <v>1</v>
      </c>
      <c r="E7138" t="s">
        <v>10</v>
      </c>
      <c r="F7138">
        <v>15893</v>
      </c>
    </row>
    <row r="7139" spans="1:6" x14ac:dyDescent="0.25">
      <c r="A7139" t="s">
        <v>13338</v>
      </c>
      <c r="B7139" t="s">
        <v>13339</v>
      </c>
      <c r="C7139" s="1">
        <v>44083</v>
      </c>
      <c r="D7139" t="b">
        <v>1</v>
      </c>
      <c r="E7139" t="s">
        <v>10</v>
      </c>
      <c r="F7139">
        <v>6119</v>
      </c>
    </row>
    <row r="7140" spans="1:6" x14ac:dyDescent="0.25">
      <c r="A7140" t="s">
        <v>13340</v>
      </c>
      <c r="B7140" t="s">
        <v>13341</v>
      </c>
      <c r="C7140" s="1">
        <v>44083</v>
      </c>
      <c r="D7140" t="b">
        <v>1</v>
      </c>
      <c r="E7140" t="s">
        <v>10</v>
      </c>
      <c r="F7140">
        <v>6120</v>
      </c>
    </row>
    <row r="7141" spans="1:6" x14ac:dyDescent="0.25">
      <c r="A7141" t="s">
        <v>13342</v>
      </c>
      <c r="C7141" s="1">
        <v>44083</v>
      </c>
      <c r="D7141" t="b">
        <v>1</v>
      </c>
      <c r="E7141" t="s">
        <v>10</v>
      </c>
      <c r="F7141">
        <v>6121</v>
      </c>
    </row>
    <row r="7142" spans="1:6" x14ac:dyDescent="0.25">
      <c r="A7142" t="s">
        <v>13343</v>
      </c>
      <c r="C7142" s="1">
        <v>44083</v>
      </c>
      <c r="D7142" t="b">
        <v>1</v>
      </c>
      <c r="E7142" t="s">
        <v>10</v>
      </c>
      <c r="F7142">
        <v>6122</v>
      </c>
    </row>
    <row r="7143" spans="1:6" x14ac:dyDescent="0.25">
      <c r="A7143" t="s">
        <v>13344</v>
      </c>
      <c r="C7143" s="1">
        <v>44083</v>
      </c>
      <c r="D7143" t="b">
        <v>1</v>
      </c>
      <c r="E7143" t="s">
        <v>10</v>
      </c>
      <c r="F7143">
        <v>6123</v>
      </c>
    </row>
    <row r="7144" spans="1:6" x14ac:dyDescent="0.25">
      <c r="A7144" t="s">
        <v>13345</v>
      </c>
      <c r="C7144" s="1">
        <v>44083</v>
      </c>
      <c r="D7144" t="b">
        <v>1</v>
      </c>
      <c r="E7144" t="s">
        <v>10</v>
      </c>
      <c r="F7144">
        <v>6124</v>
      </c>
    </row>
    <row r="7145" spans="1:6" x14ac:dyDescent="0.25">
      <c r="A7145" t="s">
        <v>13346</v>
      </c>
      <c r="C7145" s="1">
        <v>44083</v>
      </c>
      <c r="D7145" t="b">
        <v>1</v>
      </c>
      <c r="E7145" t="s">
        <v>10</v>
      </c>
      <c r="F7145">
        <v>6126</v>
      </c>
    </row>
    <row r="7146" spans="1:6" x14ac:dyDescent="0.25">
      <c r="A7146" t="s">
        <v>13347</v>
      </c>
      <c r="C7146" s="1">
        <v>44083</v>
      </c>
      <c r="D7146" t="b">
        <v>1</v>
      </c>
      <c r="E7146" t="s">
        <v>10</v>
      </c>
      <c r="F7146">
        <v>8432</v>
      </c>
    </row>
    <row r="7147" spans="1:6" x14ac:dyDescent="0.25">
      <c r="A7147" t="s">
        <v>13348</v>
      </c>
      <c r="C7147" s="1">
        <v>44083</v>
      </c>
      <c r="D7147" t="b">
        <v>1</v>
      </c>
      <c r="E7147" t="s">
        <v>10</v>
      </c>
      <c r="F7147">
        <v>10456</v>
      </c>
    </row>
    <row r="7148" spans="1:6" x14ac:dyDescent="0.25">
      <c r="A7148" t="s">
        <v>13349</v>
      </c>
      <c r="C7148" s="1">
        <v>44083</v>
      </c>
      <c r="D7148" t="b">
        <v>1</v>
      </c>
      <c r="E7148" t="s">
        <v>10</v>
      </c>
      <c r="F7148">
        <v>11146</v>
      </c>
    </row>
    <row r="7149" spans="1:6" x14ac:dyDescent="0.25">
      <c r="A7149" t="s">
        <v>13350</v>
      </c>
      <c r="C7149" s="1">
        <v>44083</v>
      </c>
      <c r="D7149" t="b">
        <v>1</v>
      </c>
      <c r="E7149" t="s">
        <v>10</v>
      </c>
      <c r="F7149">
        <v>13092</v>
      </c>
    </row>
    <row r="7150" spans="1:6" x14ac:dyDescent="0.25">
      <c r="A7150" t="s">
        <v>13351</v>
      </c>
      <c r="B7150" t="s">
        <v>13352</v>
      </c>
      <c r="C7150" s="1">
        <v>44083</v>
      </c>
      <c r="D7150" t="b">
        <v>1</v>
      </c>
      <c r="E7150" t="s">
        <v>10</v>
      </c>
      <c r="F7150">
        <v>6128</v>
      </c>
    </row>
    <row r="7151" spans="1:6" x14ac:dyDescent="0.25">
      <c r="A7151" t="s">
        <v>13353</v>
      </c>
      <c r="B7151" t="s">
        <v>13354</v>
      </c>
      <c r="C7151" s="1">
        <v>44083</v>
      </c>
      <c r="D7151" t="b">
        <v>1</v>
      </c>
      <c r="E7151" t="s">
        <v>10</v>
      </c>
      <c r="F7151">
        <v>6129</v>
      </c>
    </row>
    <row r="7152" spans="1:6" x14ac:dyDescent="0.25">
      <c r="A7152" t="s">
        <v>13355</v>
      </c>
      <c r="B7152" t="s">
        <v>13356</v>
      </c>
      <c r="C7152" s="1">
        <v>44083</v>
      </c>
      <c r="D7152" t="b">
        <v>1</v>
      </c>
      <c r="E7152" t="s">
        <v>10</v>
      </c>
      <c r="F7152">
        <v>6130</v>
      </c>
    </row>
    <row r="7153" spans="1:6" x14ac:dyDescent="0.25">
      <c r="A7153" t="s">
        <v>13357</v>
      </c>
      <c r="B7153" t="s">
        <v>13358</v>
      </c>
      <c r="C7153" s="1">
        <v>44083</v>
      </c>
      <c r="D7153" t="b">
        <v>1</v>
      </c>
      <c r="E7153" t="s">
        <v>10</v>
      </c>
      <c r="F7153">
        <v>6131</v>
      </c>
    </row>
    <row r="7154" spans="1:6" x14ac:dyDescent="0.25">
      <c r="A7154" t="s">
        <v>13359</v>
      </c>
      <c r="B7154" t="s">
        <v>13360</v>
      </c>
      <c r="C7154" s="1">
        <v>44083</v>
      </c>
      <c r="D7154" t="b">
        <v>1</v>
      </c>
      <c r="E7154" t="s">
        <v>10</v>
      </c>
      <c r="F7154">
        <v>6132</v>
      </c>
    </row>
    <row r="7155" spans="1:6" x14ac:dyDescent="0.25">
      <c r="A7155" t="s">
        <v>13361</v>
      </c>
      <c r="B7155" t="s">
        <v>13362</v>
      </c>
      <c r="C7155" s="1">
        <v>44083</v>
      </c>
      <c r="D7155" t="b">
        <v>1</v>
      </c>
      <c r="E7155" t="s">
        <v>10</v>
      </c>
      <c r="F7155">
        <v>6133</v>
      </c>
    </row>
    <row r="7156" spans="1:6" x14ac:dyDescent="0.25">
      <c r="A7156" t="s">
        <v>13363</v>
      </c>
      <c r="B7156" t="s">
        <v>13364</v>
      </c>
      <c r="C7156" s="1">
        <v>44083</v>
      </c>
      <c r="D7156" t="b">
        <v>1</v>
      </c>
      <c r="E7156" t="s">
        <v>10</v>
      </c>
      <c r="F7156">
        <v>6134</v>
      </c>
    </row>
    <row r="7157" spans="1:6" x14ac:dyDescent="0.25">
      <c r="A7157" t="s">
        <v>13365</v>
      </c>
      <c r="B7157" t="s">
        <v>13366</v>
      </c>
      <c r="C7157" s="1">
        <v>44083</v>
      </c>
      <c r="D7157" t="b">
        <v>1</v>
      </c>
      <c r="E7157" t="s">
        <v>10</v>
      </c>
      <c r="F7157">
        <v>6135</v>
      </c>
    </row>
    <row r="7158" spans="1:6" x14ac:dyDescent="0.25">
      <c r="A7158" t="s">
        <v>13367</v>
      </c>
      <c r="B7158" t="s">
        <v>13368</v>
      </c>
      <c r="C7158" s="1">
        <v>44083</v>
      </c>
      <c r="D7158" t="b">
        <v>1</v>
      </c>
      <c r="E7158" t="s">
        <v>10</v>
      </c>
      <c r="F7158">
        <v>16179</v>
      </c>
    </row>
    <row r="7159" spans="1:6" x14ac:dyDescent="0.25">
      <c r="A7159" t="s">
        <v>13369</v>
      </c>
      <c r="B7159" t="s">
        <v>13370</v>
      </c>
      <c r="C7159" s="1">
        <v>44083</v>
      </c>
      <c r="D7159" t="b">
        <v>1</v>
      </c>
      <c r="E7159" t="s">
        <v>10</v>
      </c>
      <c r="F7159">
        <v>16180</v>
      </c>
    </row>
    <row r="7160" spans="1:6" x14ac:dyDescent="0.25">
      <c r="A7160" t="s">
        <v>13371</v>
      </c>
      <c r="B7160" t="s">
        <v>13372</v>
      </c>
      <c r="C7160" s="1">
        <v>44083</v>
      </c>
      <c r="D7160" t="b">
        <v>1</v>
      </c>
      <c r="E7160" t="s">
        <v>10</v>
      </c>
      <c r="F7160">
        <v>13539</v>
      </c>
    </row>
    <row r="7161" spans="1:6" x14ac:dyDescent="0.25">
      <c r="A7161" t="s">
        <v>13373</v>
      </c>
      <c r="B7161" t="s">
        <v>13374</v>
      </c>
      <c r="C7161" s="1">
        <v>44083</v>
      </c>
      <c r="D7161" t="b">
        <v>1</v>
      </c>
      <c r="E7161" t="s">
        <v>10</v>
      </c>
      <c r="F7161">
        <v>6136</v>
      </c>
    </row>
    <row r="7162" spans="1:6" x14ac:dyDescent="0.25">
      <c r="A7162" t="s">
        <v>13375</v>
      </c>
      <c r="B7162" t="s">
        <v>13376</v>
      </c>
      <c r="C7162" s="1">
        <v>44083</v>
      </c>
      <c r="D7162" t="b">
        <v>1</v>
      </c>
      <c r="E7162" t="s">
        <v>10</v>
      </c>
      <c r="F7162">
        <v>6137</v>
      </c>
    </row>
    <row r="7163" spans="1:6" x14ac:dyDescent="0.25">
      <c r="A7163" t="s">
        <v>13377</v>
      </c>
      <c r="B7163" t="s">
        <v>13378</v>
      </c>
      <c r="C7163" s="1">
        <v>44083</v>
      </c>
      <c r="D7163" t="b">
        <v>1</v>
      </c>
      <c r="E7163" t="s">
        <v>10</v>
      </c>
      <c r="F7163">
        <v>6138</v>
      </c>
    </row>
    <row r="7164" spans="1:6" x14ac:dyDescent="0.25">
      <c r="A7164" t="s">
        <v>13379</v>
      </c>
      <c r="B7164" t="s">
        <v>13380</v>
      </c>
      <c r="C7164" s="1">
        <v>44083</v>
      </c>
      <c r="D7164" t="b">
        <v>1</v>
      </c>
      <c r="E7164" t="s">
        <v>10</v>
      </c>
      <c r="F7164">
        <v>6139</v>
      </c>
    </row>
    <row r="7165" spans="1:6" x14ac:dyDescent="0.25">
      <c r="A7165" t="s">
        <v>13381</v>
      </c>
      <c r="B7165" t="s">
        <v>13382</v>
      </c>
      <c r="C7165" s="1">
        <v>44083</v>
      </c>
      <c r="D7165" t="b">
        <v>1</v>
      </c>
      <c r="E7165" t="s">
        <v>10</v>
      </c>
      <c r="F7165">
        <v>6140</v>
      </c>
    </row>
    <row r="7166" spans="1:6" x14ac:dyDescent="0.25">
      <c r="A7166" t="s">
        <v>13383</v>
      </c>
      <c r="B7166" t="s">
        <v>13384</v>
      </c>
      <c r="C7166" s="1">
        <v>44083</v>
      </c>
      <c r="D7166" t="b">
        <v>1</v>
      </c>
      <c r="E7166" t="s">
        <v>10</v>
      </c>
      <c r="F7166">
        <v>16181</v>
      </c>
    </row>
    <row r="7167" spans="1:6" x14ac:dyDescent="0.25">
      <c r="A7167" t="s">
        <v>13385</v>
      </c>
      <c r="B7167" t="s">
        <v>13386</v>
      </c>
      <c r="C7167" s="1">
        <v>44083</v>
      </c>
      <c r="D7167" t="b">
        <v>1</v>
      </c>
      <c r="E7167" t="s">
        <v>10</v>
      </c>
      <c r="F7167">
        <v>6141</v>
      </c>
    </row>
    <row r="7168" spans="1:6" x14ac:dyDescent="0.25">
      <c r="A7168" t="s">
        <v>13387</v>
      </c>
      <c r="B7168" t="s">
        <v>13388</v>
      </c>
      <c r="C7168" s="1">
        <v>44083</v>
      </c>
      <c r="D7168" t="b">
        <v>1</v>
      </c>
      <c r="E7168" t="s">
        <v>10</v>
      </c>
      <c r="F7168">
        <v>6142</v>
      </c>
    </row>
    <row r="7169" spans="1:6" x14ac:dyDescent="0.25">
      <c r="A7169" t="s">
        <v>13389</v>
      </c>
      <c r="B7169" t="s">
        <v>13390</v>
      </c>
      <c r="C7169" s="1">
        <v>44083</v>
      </c>
      <c r="D7169" t="b">
        <v>1</v>
      </c>
      <c r="E7169" t="s">
        <v>10</v>
      </c>
      <c r="F7169">
        <v>6143</v>
      </c>
    </row>
    <row r="7170" spans="1:6" x14ac:dyDescent="0.25">
      <c r="A7170" t="s">
        <v>13391</v>
      </c>
      <c r="C7170" s="1">
        <v>44083</v>
      </c>
      <c r="D7170" t="b">
        <v>1</v>
      </c>
      <c r="E7170" t="s">
        <v>10</v>
      </c>
      <c r="F7170">
        <v>10380</v>
      </c>
    </row>
    <row r="7171" spans="1:6" x14ac:dyDescent="0.25">
      <c r="A7171" t="s">
        <v>13392</v>
      </c>
      <c r="C7171" s="1">
        <v>44083</v>
      </c>
      <c r="D7171" t="b">
        <v>1</v>
      </c>
      <c r="E7171" t="s">
        <v>10</v>
      </c>
      <c r="F7171">
        <v>11139</v>
      </c>
    </row>
    <row r="7172" spans="1:6" x14ac:dyDescent="0.25">
      <c r="A7172" t="s">
        <v>13393</v>
      </c>
      <c r="B7172" t="s">
        <v>13394</v>
      </c>
      <c r="C7172" s="1">
        <v>44083</v>
      </c>
      <c r="D7172" t="b">
        <v>1</v>
      </c>
      <c r="E7172" t="s">
        <v>10</v>
      </c>
      <c r="F7172">
        <v>6145</v>
      </c>
    </row>
    <row r="7173" spans="1:6" x14ac:dyDescent="0.25">
      <c r="A7173" t="s">
        <v>13395</v>
      </c>
      <c r="B7173" t="s">
        <v>13396</v>
      </c>
      <c r="C7173" s="1">
        <v>44083</v>
      </c>
      <c r="D7173" t="b">
        <v>1</v>
      </c>
      <c r="E7173" t="s">
        <v>10</v>
      </c>
      <c r="F7173">
        <v>6146</v>
      </c>
    </row>
    <row r="7174" spans="1:6" x14ac:dyDescent="0.25">
      <c r="A7174" t="s">
        <v>13397</v>
      </c>
      <c r="B7174" t="s">
        <v>13398</v>
      </c>
      <c r="C7174" s="1">
        <v>44083</v>
      </c>
      <c r="D7174" t="b">
        <v>1</v>
      </c>
      <c r="E7174" t="s">
        <v>10</v>
      </c>
      <c r="F7174">
        <v>6147</v>
      </c>
    </row>
    <row r="7175" spans="1:6" x14ac:dyDescent="0.25">
      <c r="A7175" t="s">
        <v>13399</v>
      </c>
      <c r="B7175" t="s">
        <v>13400</v>
      </c>
      <c r="C7175" s="1">
        <v>44083</v>
      </c>
      <c r="D7175" t="b">
        <v>1</v>
      </c>
      <c r="E7175" t="s">
        <v>10</v>
      </c>
      <c r="F7175">
        <v>6150</v>
      </c>
    </row>
    <row r="7176" spans="1:6" x14ac:dyDescent="0.25">
      <c r="A7176" t="s">
        <v>13401</v>
      </c>
      <c r="B7176" t="s">
        <v>13402</v>
      </c>
      <c r="C7176" s="1">
        <v>44083</v>
      </c>
      <c r="D7176" t="b">
        <v>1</v>
      </c>
      <c r="E7176" t="s">
        <v>10</v>
      </c>
      <c r="F7176">
        <v>11516</v>
      </c>
    </row>
    <row r="7177" spans="1:6" x14ac:dyDescent="0.25">
      <c r="A7177" t="s">
        <v>13403</v>
      </c>
      <c r="B7177" t="s">
        <v>13404</v>
      </c>
      <c r="C7177" s="1">
        <v>44083</v>
      </c>
      <c r="D7177" t="b">
        <v>1</v>
      </c>
      <c r="E7177" t="s">
        <v>10</v>
      </c>
      <c r="F7177">
        <v>6151</v>
      </c>
    </row>
    <row r="7178" spans="1:6" x14ac:dyDescent="0.25">
      <c r="A7178" t="s">
        <v>13405</v>
      </c>
      <c r="B7178" t="s">
        <v>13406</v>
      </c>
      <c r="C7178" s="1">
        <v>44083</v>
      </c>
      <c r="D7178" t="b">
        <v>1</v>
      </c>
      <c r="E7178" t="s">
        <v>10</v>
      </c>
      <c r="F7178">
        <v>6155</v>
      </c>
    </row>
    <row r="7179" spans="1:6" x14ac:dyDescent="0.25">
      <c r="A7179" t="s">
        <v>13407</v>
      </c>
      <c r="B7179" t="s">
        <v>8866</v>
      </c>
      <c r="C7179" s="1">
        <v>44083</v>
      </c>
      <c r="D7179" t="b">
        <v>1</v>
      </c>
      <c r="E7179" t="s">
        <v>10</v>
      </c>
      <c r="F7179">
        <v>6157</v>
      </c>
    </row>
    <row r="7180" spans="1:6" x14ac:dyDescent="0.25">
      <c r="A7180" t="s">
        <v>13408</v>
      </c>
      <c r="B7180" t="s">
        <v>13409</v>
      </c>
      <c r="C7180" s="1">
        <v>44083</v>
      </c>
      <c r="D7180" t="b">
        <v>1</v>
      </c>
      <c r="E7180" t="s">
        <v>10</v>
      </c>
      <c r="F7180">
        <v>6159</v>
      </c>
    </row>
    <row r="7181" spans="1:6" x14ac:dyDescent="0.25">
      <c r="A7181" t="s">
        <v>13410</v>
      </c>
      <c r="B7181" t="s">
        <v>13411</v>
      </c>
      <c r="C7181" s="1">
        <v>44083</v>
      </c>
      <c r="D7181" t="b">
        <v>1</v>
      </c>
      <c r="E7181" t="s">
        <v>10</v>
      </c>
      <c r="F7181">
        <v>6160</v>
      </c>
    </row>
    <row r="7182" spans="1:6" x14ac:dyDescent="0.25">
      <c r="A7182" t="s">
        <v>13412</v>
      </c>
      <c r="B7182" t="s">
        <v>13413</v>
      </c>
      <c r="C7182" s="1">
        <v>44083</v>
      </c>
      <c r="D7182" t="b">
        <v>1</v>
      </c>
      <c r="E7182" t="s">
        <v>10</v>
      </c>
      <c r="F7182">
        <v>16023</v>
      </c>
    </row>
    <row r="7183" spans="1:6" x14ac:dyDescent="0.25">
      <c r="A7183" t="s">
        <v>13414</v>
      </c>
      <c r="C7183" s="1">
        <v>44083</v>
      </c>
      <c r="D7183" t="b">
        <v>1</v>
      </c>
      <c r="E7183" t="s">
        <v>10</v>
      </c>
      <c r="F7183">
        <v>16041</v>
      </c>
    </row>
    <row r="7184" spans="1:6" x14ac:dyDescent="0.25">
      <c r="A7184" t="s">
        <v>13415</v>
      </c>
      <c r="B7184" t="s">
        <v>13416</v>
      </c>
      <c r="C7184" s="1">
        <v>44083</v>
      </c>
      <c r="D7184" t="b">
        <v>1</v>
      </c>
      <c r="E7184" t="s">
        <v>10</v>
      </c>
      <c r="F7184">
        <v>15920</v>
      </c>
    </row>
    <row r="7185" spans="1:6" x14ac:dyDescent="0.25">
      <c r="A7185" t="s">
        <v>13417</v>
      </c>
      <c r="B7185" t="s">
        <v>13418</v>
      </c>
      <c r="C7185" s="1">
        <v>44083</v>
      </c>
      <c r="D7185" t="b">
        <v>1</v>
      </c>
      <c r="E7185" t="s">
        <v>10</v>
      </c>
      <c r="F7185">
        <v>13644</v>
      </c>
    </row>
    <row r="7186" spans="1:6" x14ac:dyDescent="0.25">
      <c r="A7186" t="s">
        <v>13419</v>
      </c>
      <c r="B7186" t="s">
        <v>13420</v>
      </c>
      <c r="C7186" s="1">
        <v>44083</v>
      </c>
      <c r="D7186" t="b">
        <v>1</v>
      </c>
      <c r="E7186" t="s">
        <v>10</v>
      </c>
      <c r="F7186">
        <v>15599</v>
      </c>
    </row>
    <row r="7187" spans="1:6" x14ac:dyDescent="0.25">
      <c r="A7187" t="s">
        <v>13421</v>
      </c>
      <c r="B7187" t="s">
        <v>13422</v>
      </c>
      <c r="C7187" s="1">
        <v>44083</v>
      </c>
      <c r="D7187" t="b">
        <v>1</v>
      </c>
      <c r="E7187" t="s">
        <v>10</v>
      </c>
      <c r="F7187">
        <v>6164</v>
      </c>
    </row>
    <row r="7188" spans="1:6" x14ac:dyDescent="0.25">
      <c r="A7188" t="s">
        <v>13423</v>
      </c>
      <c r="B7188" t="s">
        <v>13424</v>
      </c>
      <c r="C7188" s="1">
        <v>44083</v>
      </c>
      <c r="D7188" t="b">
        <v>1</v>
      </c>
      <c r="E7188" t="s">
        <v>10</v>
      </c>
      <c r="F7188">
        <v>6165</v>
      </c>
    </row>
    <row r="7189" spans="1:6" x14ac:dyDescent="0.25">
      <c r="A7189" t="s">
        <v>13425</v>
      </c>
      <c r="B7189" t="s">
        <v>13426</v>
      </c>
      <c r="C7189" s="1">
        <v>44083</v>
      </c>
      <c r="D7189" t="b">
        <v>1</v>
      </c>
      <c r="E7189" t="s">
        <v>10</v>
      </c>
      <c r="F7189">
        <v>5224</v>
      </c>
    </row>
    <row r="7190" spans="1:6" x14ac:dyDescent="0.25">
      <c r="A7190" t="s">
        <v>13427</v>
      </c>
      <c r="B7190" t="s">
        <v>13428</v>
      </c>
      <c r="C7190" s="1">
        <v>44083</v>
      </c>
      <c r="D7190" t="b">
        <v>1</v>
      </c>
      <c r="E7190" t="s">
        <v>10</v>
      </c>
      <c r="F7190">
        <v>6169</v>
      </c>
    </row>
    <row r="7191" spans="1:6" x14ac:dyDescent="0.25">
      <c r="A7191" t="s">
        <v>13429</v>
      </c>
      <c r="B7191" t="s">
        <v>13430</v>
      </c>
      <c r="C7191" s="1">
        <v>44083</v>
      </c>
      <c r="D7191" t="b">
        <v>1</v>
      </c>
      <c r="E7191" t="s">
        <v>10</v>
      </c>
      <c r="F7191">
        <v>16610</v>
      </c>
    </row>
    <row r="7192" spans="1:6" x14ac:dyDescent="0.25">
      <c r="A7192" t="s">
        <v>13431</v>
      </c>
      <c r="C7192" s="1">
        <v>44083</v>
      </c>
      <c r="D7192" t="b">
        <v>1</v>
      </c>
      <c r="E7192" t="s">
        <v>10</v>
      </c>
      <c r="F7192">
        <v>16620</v>
      </c>
    </row>
    <row r="7193" spans="1:6" x14ac:dyDescent="0.25">
      <c r="A7193" t="s">
        <v>13432</v>
      </c>
      <c r="B7193" t="s">
        <v>13433</v>
      </c>
      <c r="C7193" s="1">
        <v>44083</v>
      </c>
      <c r="D7193" t="b">
        <v>1</v>
      </c>
      <c r="E7193" t="s">
        <v>10</v>
      </c>
      <c r="F7193">
        <v>16414</v>
      </c>
    </row>
    <row r="7194" spans="1:6" x14ac:dyDescent="0.25">
      <c r="A7194" t="s">
        <v>13434</v>
      </c>
      <c r="B7194" t="s">
        <v>13435</v>
      </c>
      <c r="C7194" s="1">
        <v>44083</v>
      </c>
      <c r="D7194" t="b">
        <v>1</v>
      </c>
      <c r="E7194" t="s">
        <v>10</v>
      </c>
      <c r="F7194">
        <v>11178</v>
      </c>
    </row>
    <row r="7195" spans="1:6" x14ac:dyDescent="0.25">
      <c r="A7195" t="s">
        <v>13436</v>
      </c>
      <c r="B7195" t="s">
        <v>13437</v>
      </c>
      <c r="C7195" s="1">
        <v>44083</v>
      </c>
      <c r="D7195" t="b">
        <v>1</v>
      </c>
      <c r="E7195" t="s">
        <v>10</v>
      </c>
      <c r="F7195">
        <v>6170</v>
      </c>
    </row>
    <row r="7196" spans="1:6" x14ac:dyDescent="0.25">
      <c r="A7196" t="s">
        <v>13438</v>
      </c>
      <c r="B7196" t="s">
        <v>13439</v>
      </c>
      <c r="C7196" s="1">
        <v>44083</v>
      </c>
      <c r="D7196" t="b">
        <v>1</v>
      </c>
      <c r="E7196" t="s">
        <v>10</v>
      </c>
      <c r="F7196">
        <v>8486</v>
      </c>
    </row>
    <row r="7197" spans="1:6" x14ac:dyDescent="0.25">
      <c r="A7197" t="s">
        <v>13440</v>
      </c>
      <c r="B7197" t="s">
        <v>13441</v>
      </c>
      <c r="C7197" s="1">
        <v>44083</v>
      </c>
      <c r="D7197" t="b">
        <v>1</v>
      </c>
      <c r="E7197" t="s">
        <v>10</v>
      </c>
      <c r="F7197">
        <v>6171</v>
      </c>
    </row>
    <row r="7198" spans="1:6" x14ac:dyDescent="0.25">
      <c r="A7198" t="s">
        <v>13442</v>
      </c>
      <c r="B7198" t="s">
        <v>13443</v>
      </c>
      <c r="C7198" s="1">
        <v>44083</v>
      </c>
      <c r="D7198" t="b">
        <v>1</v>
      </c>
      <c r="E7198" t="s">
        <v>10</v>
      </c>
      <c r="F7198">
        <v>6172</v>
      </c>
    </row>
    <row r="7199" spans="1:6" x14ac:dyDescent="0.25">
      <c r="A7199" t="s">
        <v>13444</v>
      </c>
      <c r="B7199" t="s">
        <v>13445</v>
      </c>
      <c r="C7199" s="1">
        <v>44083</v>
      </c>
      <c r="D7199" t="b">
        <v>1</v>
      </c>
      <c r="E7199" t="s">
        <v>10</v>
      </c>
      <c r="F7199">
        <v>16010</v>
      </c>
    </row>
    <row r="7200" spans="1:6" x14ac:dyDescent="0.25">
      <c r="A7200" t="s">
        <v>13446</v>
      </c>
      <c r="B7200" t="s">
        <v>13447</v>
      </c>
      <c r="C7200" s="1">
        <v>44083</v>
      </c>
      <c r="D7200" t="b">
        <v>1</v>
      </c>
      <c r="E7200" t="s">
        <v>10</v>
      </c>
      <c r="F7200">
        <v>14513</v>
      </c>
    </row>
    <row r="7201" spans="1:6" x14ac:dyDescent="0.25">
      <c r="A7201" t="s">
        <v>13448</v>
      </c>
      <c r="B7201" t="s">
        <v>13449</v>
      </c>
      <c r="C7201" s="1">
        <v>44083</v>
      </c>
      <c r="D7201" t="b">
        <v>1</v>
      </c>
      <c r="E7201" t="s">
        <v>10</v>
      </c>
      <c r="F7201">
        <v>6173</v>
      </c>
    </row>
    <row r="7202" spans="1:6" x14ac:dyDescent="0.25">
      <c r="A7202" t="s">
        <v>13450</v>
      </c>
      <c r="B7202" t="s">
        <v>4467</v>
      </c>
      <c r="C7202" s="1">
        <v>44083</v>
      </c>
      <c r="D7202" t="b">
        <v>1</v>
      </c>
      <c r="E7202" t="s">
        <v>10</v>
      </c>
      <c r="F7202">
        <v>9829</v>
      </c>
    </row>
    <row r="7203" spans="1:6" x14ac:dyDescent="0.25">
      <c r="A7203" t="s">
        <v>13451</v>
      </c>
      <c r="B7203" t="s">
        <v>13452</v>
      </c>
      <c r="C7203" s="1">
        <v>44083</v>
      </c>
      <c r="D7203" t="b">
        <v>1</v>
      </c>
      <c r="E7203" t="s">
        <v>10</v>
      </c>
      <c r="F7203">
        <v>11266</v>
      </c>
    </row>
    <row r="7204" spans="1:6" x14ac:dyDescent="0.25">
      <c r="A7204" t="s">
        <v>13453</v>
      </c>
      <c r="B7204" t="s">
        <v>13454</v>
      </c>
      <c r="C7204" s="1">
        <v>44083</v>
      </c>
      <c r="D7204" t="b">
        <v>1</v>
      </c>
      <c r="E7204" t="s">
        <v>10</v>
      </c>
      <c r="F7204">
        <v>15066</v>
      </c>
    </row>
    <row r="7205" spans="1:6" x14ac:dyDescent="0.25">
      <c r="A7205" t="s">
        <v>13455</v>
      </c>
      <c r="B7205" t="s">
        <v>13456</v>
      </c>
      <c r="C7205" s="1">
        <v>44083</v>
      </c>
      <c r="D7205" t="b">
        <v>1</v>
      </c>
      <c r="E7205" t="s">
        <v>10</v>
      </c>
      <c r="F7205">
        <v>16456</v>
      </c>
    </row>
    <row r="7206" spans="1:6" x14ac:dyDescent="0.25">
      <c r="A7206" t="s">
        <v>13457</v>
      </c>
      <c r="B7206" t="s">
        <v>13458</v>
      </c>
      <c r="C7206" s="1">
        <v>44083</v>
      </c>
      <c r="D7206" t="b">
        <v>1</v>
      </c>
      <c r="E7206" t="s">
        <v>10</v>
      </c>
      <c r="F7206">
        <v>6174</v>
      </c>
    </row>
    <row r="7207" spans="1:6" x14ac:dyDescent="0.25">
      <c r="A7207" t="s">
        <v>13459</v>
      </c>
      <c r="B7207" t="s">
        <v>13460</v>
      </c>
      <c r="C7207" s="1">
        <v>44083</v>
      </c>
      <c r="D7207" t="b">
        <v>1</v>
      </c>
      <c r="E7207" t="s">
        <v>10</v>
      </c>
      <c r="F7207">
        <v>6181</v>
      </c>
    </row>
    <row r="7208" spans="1:6" x14ac:dyDescent="0.25">
      <c r="A7208" t="s">
        <v>13461</v>
      </c>
      <c r="B7208" t="s">
        <v>13462</v>
      </c>
      <c r="C7208" s="1">
        <v>44083</v>
      </c>
      <c r="D7208" t="b">
        <v>1</v>
      </c>
      <c r="E7208" t="s">
        <v>10</v>
      </c>
      <c r="F7208">
        <v>6182</v>
      </c>
    </row>
    <row r="7209" spans="1:6" x14ac:dyDescent="0.25">
      <c r="A7209" t="s">
        <v>13463</v>
      </c>
      <c r="B7209" t="s">
        <v>13464</v>
      </c>
      <c r="C7209" s="1">
        <v>44083</v>
      </c>
      <c r="D7209" t="b">
        <v>1</v>
      </c>
      <c r="E7209" t="s">
        <v>10</v>
      </c>
      <c r="F7209">
        <v>6183</v>
      </c>
    </row>
    <row r="7210" spans="1:6" x14ac:dyDescent="0.25">
      <c r="A7210" t="s">
        <v>13465</v>
      </c>
      <c r="B7210" t="s">
        <v>13466</v>
      </c>
      <c r="C7210" s="1">
        <v>44083</v>
      </c>
      <c r="D7210" t="b">
        <v>1</v>
      </c>
      <c r="E7210" t="s">
        <v>10</v>
      </c>
      <c r="F7210">
        <v>8602</v>
      </c>
    </row>
    <row r="7211" spans="1:6" x14ac:dyDescent="0.25">
      <c r="A7211" t="s">
        <v>13467</v>
      </c>
      <c r="B7211" t="s">
        <v>13468</v>
      </c>
      <c r="C7211" s="1">
        <v>44083</v>
      </c>
      <c r="D7211" t="b">
        <v>1</v>
      </c>
      <c r="E7211" t="s">
        <v>10</v>
      </c>
      <c r="F7211">
        <v>6186</v>
      </c>
    </row>
    <row r="7212" spans="1:6" x14ac:dyDescent="0.25">
      <c r="A7212" t="s">
        <v>13469</v>
      </c>
      <c r="B7212" t="s">
        <v>13470</v>
      </c>
      <c r="C7212" s="1">
        <v>44083</v>
      </c>
      <c r="D7212" t="b">
        <v>1</v>
      </c>
      <c r="E7212" t="s">
        <v>10</v>
      </c>
      <c r="F7212">
        <v>13686</v>
      </c>
    </row>
    <row r="7213" spans="1:6" x14ac:dyDescent="0.25">
      <c r="A7213" t="s">
        <v>13471</v>
      </c>
      <c r="B7213" t="s">
        <v>13472</v>
      </c>
      <c r="C7213" s="1">
        <v>44083</v>
      </c>
      <c r="D7213" t="b">
        <v>1</v>
      </c>
      <c r="E7213" t="s">
        <v>10</v>
      </c>
      <c r="F7213">
        <v>6188</v>
      </c>
    </row>
    <row r="7214" spans="1:6" x14ac:dyDescent="0.25">
      <c r="A7214" t="s">
        <v>13473</v>
      </c>
      <c r="B7214" t="s">
        <v>13474</v>
      </c>
      <c r="C7214" s="1">
        <v>44083</v>
      </c>
      <c r="D7214" t="b">
        <v>1</v>
      </c>
      <c r="E7214" t="s">
        <v>10</v>
      </c>
      <c r="F7214">
        <v>6189</v>
      </c>
    </row>
    <row r="7215" spans="1:6" x14ac:dyDescent="0.25">
      <c r="A7215" t="s">
        <v>13475</v>
      </c>
      <c r="B7215" t="s">
        <v>13476</v>
      </c>
      <c r="C7215" s="1">
        <v>44083</v>
      </c>
      <c r="D7215" t="b">
        <v>1</v>
      </c>
      <c r="E7215" t="s">
        <v>10</v>
      </c>
      <c r="F7215">
        <v>13437</v>
      </c>
    </row>
    <row r="7216" spans="1:6" x14ac:dyDescent="0.25">
      <c r="A7216" t="s">
        <v>13477</v>
      </c>
      <c r="B7216" t="s">
        <v>13478</v>
      </c>
      <c r="C7216" s="1">
        <v>44083</v>
      </c>
      <c r="D7216" t="b">
        <v>1</v>
      </c>
      <c r="E7216" t="s">
        <v>10</v>
      </c>
      <c r="F7216">
        <v>6192</v>
      </c>
    </row>
    <row r="7217" spans="1:6" x14ac:dyDescent="0.25">
      <c r="A7217" t="s">
        <v>13479</v>
      </c>
      <c r="B7217" t="s">
        <v>13480</v>
      </c>
      <c r="C7217" s="1">
        <v>44083</v>
      </c>
      <c r="D7217" t="b">
        <v>1</v>
      </c>
      <c r="E7217" t="s">
        <v>10</v>
      </c>
      <c r="F7217">
        <v>6193</v>
      </c>
    </row>
    <row r="7218" spans="1:6" x14ac:dyDescent="0.25">
      <c r="A7218" t="s">
        <v>13481</v>
      </c>
      <c r="B7218" t="s">
        <v>13482</v>
      </c>
      <c r="C7218" s="1">
        <v>44083</v>
      </c>
      <c r="D7218" t="b">
        <v>1</v>
      </c>
      <c r="E7218" t="s">
        <v>10</v>
      </c>
      <c r="F7218">
        <v>6194</v>
      </c>
    </row>
    <row r="7219" spans="1:6" x14ac:dyDescent="0.25">
      <c r="A7219" t="s">
        <v>13483</v>
      </c>
      <c r="B7219" t="s">
        <v>13484</v>
      </c>
      <c r="C7219" s="1">
        <v>44083</v>
      </c>
      <c r="D7219" t="b">
        <v>1</v>
      </c>
      <c r="E7219" t="s">
        <v>10</v>
      </c>
      <c r="F7219">
        <v>13334</v>
      </c>
    </row>
    <row r="7220" spans="1:6" x14ac:dyDescent="0.25">
      <c r="A7220" t="s">
        <v>13485</v>
      </c>
      <c r="B7220" t="s">
        <v>13486</v>
      </c>
      <c r="C7220" s="1">
        <v>44083</v>
      </c>
      <c r="D7220" t="b">
        <v>1</v>
      </c>
      <c r="E7220" t="s">
        <v>10</v>
      </c>
      <c r="F7220">
        <v>13348</v>
      </c>
    </row>
    <row r="7221" spans="1:6" x14ac:dyDescent="0.25">
      <c r="A7221" t="s">
        <v>13487</v>
      </c>
      <c r="B7221" t="s">
        <v>13488</v>
      </c>
      <c r="C7221" s="1">
        <v>44083</v>
      </c>
      <c r="D7221" t="b">
        <v>1</v>
      </c>
      <c r="E7221" t="s">
        <v>10</v>
      </c>
      <c r="F7221">
        <v>9760</v>
      </c>
    </row>
    <row r="7222" spans="1:6" x14ac:dyDescent="0.25">
      <c r="A7222" t="s">
        <v>13489</v>
      </c>
      <c r="B7222" t="s">
        <v>13490</v>
      </c>
      <c r="C7222" s="1">
        <v>44083</v>
      </c>
      <c r="D7222" t="b">
        <v>1</v>
      </c>
      <c r="E7222" t="s">
        <v>10</v>
      </c>
      <c r="F7222">
        <v>6196</v>
      </c>
    </row>
    <row r="7223" spans="1:6" x14ac:dyDescent="0.25">
      <c r="A7223" t="s">
        <v>13491</v>
      </c>
      <c r="B7223" t="s">
        <v>13492</v>
      </c>
      <c r="C7223" s="1">
        <v>44083</v>
      </c>
      <c r="D7223" t="b">
        <v>1</v>
      </c>
      <c r="E7223" t="s">
        <v>10</v>
      </c>
      <c r="F7223">
        <v>6197</v>
      </c>
    </row>
    <row r="7224" spans="1:6" x14ac:dyDescent="0.25">
      <c r="A7224" t="s">
        <v>13493</v>
      </c>
      <c r="B7224" t="s">
        <v>13494</v>
      </c>
      <c r="C7224" s="1">
        <v>44083</v>
      </c>
      <c r="D7224" t="b">
        <v>1</v>
      </c>
      <c r="E7224" t="s">
        <v>10</v>
      </c>
      <c r="F7224">
        <v>381</v>
      </c>
    </row>
    <row r="7225" spans="1:6" x14ac:dyDescent="0.25">
      <c r="A7225" t="s">
        <v>13495</v>
      </c>
      <c r="B7225" t="s">
        <v>13496</v>
      </c>
      <c r="C7225" s="1">
        <v>44083</v>
      </c>
      <c r="D7225" t="b">
        <v>1</v>
      </c>
      <c r="E7225" t="s">
        <v>10</v>
      </c>
      <c r="F7225">
        <v>6198</v>
      </c>
    </row>
    <row r="7226" spans="1:6" x14ac:dyDescent="0.25">
      <c r="A7226" t="s">
        <v>13497</v>
      </c>
      <c r="B7226" t="s">
        <v>13498</v>
      </c>
      <c r="C7226" s="1">
        <v>44083</v>
      </c>
      <c r="D7226" t="b">
        <v>1</v>
      </c>
      <c r="E7226" t="s">
        <v>10</v>
      </c>
      <c r="F7226">
        <v>6199</v>
      </c>
    </row>
    <row r="7227" spans="1:6" x14ac:dyDescent="0.25">
      <c r="A7227" t="s">
        <v>13499</v>
      </c>
      <c r="B7227" t="s">
        <v>13500</v>
      </c>
      <c r="C7227" s="1">
        <v>44083</v>
      </c>
      <c r="D7227" t="b">
        <v>1</v>
      </c>
      <c r="E7227" t="s">
        <v>10</v>
      </c>
      <c r="F7227">
        <v>15665</v>
      </c>
    </row>
    <row r="7228" spans="1:6" x14ac:dyDescent="0.25">
      <c r="A7228" t="s">
        <v>13501</v>
      </c>
      <c r="B7228" t="s">
        <v>13502</v>
      </c>
      <c r="C7228" s="1">
        <v>44083</v>
      </c>
      <c r="D7228" t="b">
        <v>1</v>
      </c>
      <c r="E7228" t="s">
        <v>10</v>
      </c>
      <c r="F7228">
        <v>11437</v>
      </c>
    </row>
    <row r="7229" spans="1:6" x14ac:dyDescent="0.25">
      <c r="A7229" t="s">
        <v>13503</v>
      </c>
      <c r="B7229" t="s">
        <v>13504</v>
      </c>
      <c r="C7229" s="1">
        <v>44083</v>
      </c>
      <c r="D7229" t="b">
        <v>1</v>
      </c>
      <c r="E7229" t="s">
        <v>10</v>
      </c>
      <c r="F7229">
        <v>11022</v>
      </c>
    </row>
    <row r="7230" spans="1:6" x14ac:dyDescent="0.25">
      <c r="A7230" t="s">
        <v>13505</v>
      </c>
      <c r="B7230" t="s">
        <v>13506</v>
      </c>
      <c r="C7230" s="1">
        <v>44083</v>
      </c>
      <c r="D7230" t="b">
        <v>1</v>
      </c>
      <c r="E7230" t="s">
        <v>10</v>
      </c>
      <c r="F7230">
        <v>6200</v>
      </c>
    </row>
    <row r="7231" spans="1:6" x14ac:dyDescent="0.25">
      <c r="A7231" t="s">
        <v>13507</v>
      </c>
      <c r="B7231" t="s">
        <v>13508</v>
      </c>
      <c r="C7231" s="1">
        <v>44083</v>
      </c>
      <c r="D7231" t="b">
        <v>1</v>
      </c>
      <c r="E7231" t="s">
        <v>10</v>
      </c>
      <c r="F7231">
        <v>6202</v>
      </c>
    </row>
    <row r="7232" spans="1:6" x14ac:dyDescent="0.25">
      <c r="A7232" t="s">
        <v>13509</v>
      </c>
      <c r="B7232" t="s">
        <v>13510</v>
      </c>
      <c r="C7232" s="1">
        <v>44083</v>
      </c>
      <c r="D7232" t="b">
        <v>1</v>
      </c>
      <c r="E7232" t="s">
        <v>10</v>
      </c>
      <c r="F7232">
        <v>6203</v>
      </c>
    </row>
    <row r="7233" spans="1:6" x14ac:dyDescent="0.25">
      <c r="A7233" t="s">
        <v>13511</v>
      </c>
      <c r="B7233" t="s">
        <v>13512</v>
      </c>
      <c r="C7233" s="1">
        <v>44083</v>
      </c>
      <c r="D7233" t="b">
        <v>1</v>
      </c>
      <c r="E7233" t="s">
        <v>10</v>
      </c>
      <c r="F7233">
        <v>11171</v>
      </c>
    </row>
    <row r="7234" spans="1:6" x14ac:dyDescent="0.25">
      <c r="A7234" t="s">
        <v>13513</v>
      </c>
      <c r="B7234" t="s">
        <v>13514</v>
      </c>
      <c r="C7234" s="1">
        <v>44083</v>
      </c>
      <c r="D7234" t="b">
        <v>0</v>
      </c>
      <c r="E7234" t="s">
        <v>10</v>
      </c>
      <c r="F7234">
        <v>17160</v>
      </c>
    </row>
    <row r="7235" spans="1:6" x14ac:dyDescent="0.25">
      <c r="A7235" t="s">
        <v>13515</v>
      </c>
      <c r="B7235" t="s">
        <v>13516</v>
      </c>
      <c r="C7235" s="1">
        <v>44083</v>
      </c>
      <c r="D7235" t="b">
        <v>1</v>
      </c>
      <c r="E7235" t="s">
        <v>10</v>
      </c>
      <c r="F7235">
        <v>8872</v>
      </c>
    </row>
    <row r="7236" spans="1:6" x14ac:dyDescent="0.25">
      <c r="A7236" t="s">
        <v>13517</v>
      </c>
      <c r="B7236" t="s">
        <v>13518</v>
      </c>
      <c r="C7236" s="1">
        <v>44083</v>
      </c>
      <c r="D7236" t="b">
        <v>1</v>
      </c>
      <c r="E7236" t="s">
        <v>10</v>
      </c>
      <c r="F7236">
        <v>8252</v>
      </c>
    </row>
    <row r="7237" spans="1:6" x14ac:dyDescent="0.25">
      <c r="A7237" t="s">
        <v>13519</v>
      </c>
      <c r="B7237" t="s">
        <v>13520</v>
      </c>
      <c r="C7237" s="1">
        <v>44083</v>
      </c>
      <c r="D7237" t="b">
        <v>1</v>
      </c>
      <c r="E7237" t="s">
        <v>10</v>
      </c>
      <c r="F7237">
        <v>6206</v>
      </c>
    </row>
    <row r="7238" spans="1:6" x14ac:dyDescent="0.25">
      <c r="A7238" t="s">
        <v>13521</v>
      </c>
      <c r="C7238" s="1">
        <v>44083</v>
      </c>
      <c r="D7238" t="b">
        <v>1</v>
      </c>
      <c r="E7238" t="s">
        <v>10</v>
      </c>
      <c r="F7238">
        <v>11645</v>
      </c>
    </row>
    <row r="7239" spans="1:6" x14ac:dyDescent="0.25">
      <c r="A7239" t="s">
        <v>13522</v>
      </c>
      <c r="C7239" s="1">
        <v>44083</v>
      </c>
      <c r="D7239" t="b">
        <v>1</v>
      </c>
      <c r="E7239" t="s">
        <v>10</v>
      </c>
      <c r="F7239">
        <v>15501</v>
      </c>
    </row>
    <row r="7240" spans="1:6" x14ac:dyDescent="0.25">
      <c r="A7240" t="s">
        <v>13523</v>
      </c>
      <c r="C7240" s="1">
        <v>44083</v>
      </c>
      <c r="D7240" t="b">
        <v>1</v>
      </c>
      <c r="E7240" t="s">
        <v>10</v>
      </c>
      <c r="F7240">
        <v>16748</v>
      </c>
    </row>
    <row r="7241" spans="1:6" x14ac:dyDescent="0.25">
      <c r="A7241" t="s">
        <v>13524</v>
      </c>
      <c r="C7241" s="1">
        <v>44083</v>
      </c>
      <c r="D7241" t="b">
        <v>1</v>
      </c>
      <c r="E7241" t="s">
        <v>10</v>
      </c>
      <c r="F7241">
        <v>13551</v>
      </c>
    </row>
    <row r="7242" spans="1:6" x14ac:dyDescent="0.25">
      <c r="A7242" t="s">
        <v>13525</v>
      </c>
      <c r="B7242" t="s">
        <v>13526</v>
      </c>
      <c r="C7242" s="1">
        <v>44083</v>
      </c>
      <c r="D7242" t="b">
        <v>1</v>
      </c>
      <c r="E7242" t="s">
        <v>10</v>
      </c>
      <c r="F7242">
        <v>6208</v>
      </c>
    </row>
    <row r="7243" spans="1:6" x14ac:dyDescent="0.25">
      <c r="A7243" t="s">
        <v>13527</v>
      </c>
      <c r="B7243" t="s">
        <v>13528</v>
      </c>
      <c r="C7243" s="1">
        <v>44083</v>
      </c>
      <c r="D7243" t="b">
        <v>1</v>
      </c>
      <c r="E7243" t="s">
        <v>10</v>
      </c>
      <c r="F7243">
        <v>8603</v>
      </c>
    </row>
    <row r="7244" spans="1:6" x14ac:dyDescent="0.25">
      <c r="A7244" t="s">
        <v>13529</v>
      </c>
      <c r="B7244" t="s">
        <v>13530</v>
      </c>
      <c r="C7244" s="1">
        <v>44083</v>
      </c>
      <c r="D7244" t="b">
        <v>1</v>
      </c>
      <c r="E7244" t="s">
        <v>10</v>
      </c>
      <c r="F7244">
        <v>6210</v>
      </c>
    </row>
    <row r="7245" spans="1:6" x14ac:dyDescent="0.25">
      <c r="A7245" t="s">
        <v>13531</v>
      </c>
      <c r="B7245" t="s">
        <v>13532</v>
      </c>
      <c r="C7245" s="1">
        <v>44083</v>
      </c>
      <c r="D7245" t="b">
        <v>1</v>
      </c>
      <c r="E7245" t="s">
        <v>10</v>
      </c>
      <c r="F7245">
        <v>14935</v>
      </c>
    </row>
    <row r="7246" spans="1:6" x14ac:dyDescent="0.25">
      <c r="A7246" t="s">
        <v>13533</v>
      </c>
      <c r="B7246" t="s">
        <v>13534</v>
      </c>
      <c r="C7246" s="1">
        <v>44083</v>
      </c>
      <c r="D7246" t="b">
        <v>1</v>
      </c>
      <c r="E7246" t="s">
        <v>10</v>
      </c>
      <c r="F7246">
        <v>11290</v>
      </c>
    </row>
    <row r="7247" spans="1:6" x14ac:dyDescent="0.25">
      <c r="A7247" t="s">
        <v>13535</v>
      </c>
      <c r="B7247" t="s">
        <v>13536</v>
      </c>
      <c r="C7247" s="1">
        <v>44083</v>
      </c>
      <c r="D7247" t="b">
        <v>1</v>
      </c>
      <c r="E7247" t="s">
        <v>10</v>
      </c>
      <c r="F7247">
        <v>11291</v>
      </c>
    </row>
    <row r="7248" spans="1:6" x14ac:dyDescent="0.25">
      <c r="A7248" t="s">
        <v>13537</v>
      </c>
      <c r="B7248" t="s">
        <v>13538</v>
      </c>
      <c r="C7248" s="1">
        <v>44083</v>
      </c>
      <c r="D7248" t="b">
        <v>1</v>
      </c>
      <c r="E7248" t="s">
        <v>10</v>
      </c>
      <c r="F7248">
        <v>13626</v>
      </c>
    </row>
    <row r="7249" spans="1:6" x14ac:dyDescent="0.25">
      <c r="A7249" t="s">
        <v>13539</v>
      </c>
      <c r="B7249" t="s">
        <v>13540</v>
      </c>
      <c r="C7249" s="1">
        <v>44083</v>
      </c>
      <c r="D7249" t="b">
        <v>1</v>
      </c>
      <c r="E7249" t="s">
        <v>10</v>
      </c>
      <c r="F7249">
        <v>6219</v>
      </c>
    </row>
    <row r="7250" spans="1:6" x14ac:dyDescent="0.25">
      <c r="A7250" t="s">
        <v>13541</v>
      </c>
      <c r="B7250" t="s">
        <v>13542</v>
      </c>
      <c r="C7250" s="1">
        <v>44083</v>
      </c>
      <c r="D7250" t="b">
        <v>1</v>
      </c>
      <c r="E7250" t="s">
        <v>10</v>
      </c>
      <c r="F7250">
        <v>6222</v>
      </c>
    </row>
    <row r="7251" spans="1:6" x14ac:dyDescent="0.25">
      <c r="A7251" t="s">
        <v>13543</v>
      </c>
      <c r="B7251" t="s">
        <v>13544</v>
      </c>
      <c r="C7251" s="1">
        <v>44083</v>
      </c>
      <c r="D7251" t="b">
        <v>1</v>
      </c>
      <c r="E7251" t="s">
        <v>10</v>
      </c>
      <c r="F7251">
        <v>6224</v>
      </c>
    </row>
    <row r="7252" spans="1:6" x14ac:dyDescent="0.25">
      <c r="A7252" t="s">
        <v>13545</v>
      </c>
      <c r="B7252" t="s">
        <v>13546</v>
      </c>
      <c r="C7252" s="1">
        <v>44083</v>
      </c>
      <c r="D7252" t="b">
        <v>1</v>
      </c>
      <c r="E7252" t="s">
        <v>10</v>
      </c>
      <c r="F7252">
        <v>6225</v>
      </c>
    </row>
    <row r="7253" spans="1:6" x14ac:dyDescent="0.25">
      <c r="A7253" t="s">
        <v>13547</v>
      </c>
      <c r="B7253" t="s">
        <v>13548</v>
      </c>
      <c r="C7253" s="1">
        <v>44083</v>
      </c>
      <c r="D7253" t="b">
        <v>1</v>
      </c>
      <c r="E7253" t="s">
        <v>10</v>
      </c>
      <c r="F7253">
        <v>16376</v>
      </c>
    </row>
    <row r="7254" spans="1:6" x14ac:dyDescent="0.25">
      <c r="A7254" t="s">
        <v>13549</v>
      </c>
      <c r="C7254" s="1">
        <v>44083</v>
      </c>
      <c r="D7254" t="b">
        <v>1</v>
      </c>
      <c r="E7254" t="s">
        <v>10</v>
      </c>
      <c r="F7254">
        <v>16403</v>
      </c>
    </row>
    <row r="7255" spans="1:6" x14ac:dyDescent="0.25">
      <c r="A7255" t="s">
        <v>13550</v>
      </c>
      <c r="B7255" t="s">
        <v>13551</v>
      </c>
      <c r="C7255" s="1">
        <v>44083</v>
      </c>
      <c r="D7255" t="b">
        <v>1</v>
      </c>
      <c r="E7255" t="s">
        <v>10</v>
      </c>
      <c r="F7255">
        <v>16188</v>
      </c>
    </row>
    <row r="7256" spans="1:6" x14ac:dyDescent="0.25">
      <c r="A7256" t="s">
        <v>13552</v>
      </c>
      <c r="B7256" t="s">
        <v>13553</v>
      </c>
      <c r="C7256" s="1">
        <v>44083</v>
      </c>
      <c r="D7256" t="b">
        <v>1</v>
      </c>
      <c r="E7256" t="s">
        <v>10</v>
      </c>
      <c r="F7256">
        <v>6226</v>
      </c>
    </row>
    <row r="7257" spans="1:6" x14ac:dyDescent="0.25">
      <c r="A7257" t="s">
        <v>13554</v>
      </c>
      <c r="B7257" t="s">
        <v>13555</v>
      </c>
      <c r="C7257" s="1">
        <v>44083</v>
      </c>
      <c r="D7257" t="b">
        <v>1</v>
      </c>
      <c r="E7257" t="s">
        <v>10</v>
      </c>
      <c r="F7257">
        <v>15614</v>
      </c>
    </row>
    <row r="7258" spans="1:6" x14ac:dyDescent="0.25">
      <c r="A7258" t="s">
        <v>13556</v>
      </c>
      <c r="B7258" t="s">
        <v>13557</v>
      </c>
      <c r="C7258" s="1">
        <v>44083</v>
      </c>
      <c r="D7258" t="b">
        <v>1</v>
      </c>
      <c r="E7258" t="s">
        <v>10</v>
      </c>
      <c r="F7258">
        <v>15703</v>
      </c>
    </row>
    <row r="7259" spans="1:6" x14ac:dyDescent="0.25">
      <c r="A7259" t="s">
        <v>13558</v>
      </c>
      <c r="B7259" t="s">
        <v>13559</v>
      </c>
      <c r="C7259" s="1">
        <v>44083</v>
      </c>
      <c r="D7259" t="b">
        <v>1</v>
      </c>
      <c r="E7259" t="s">
        <v>10</v>
      </c>
      <c r="F7259">
        <v>15615</v>
      </c>
    </row>
    <row r="7260" spans="1:6" x14ac:dyDescent="0.25">
      <c r="A7260" t="s">
        <v>13560</v>
      </c>
      <c r="B7260" t="s">
        <v>13561</v>
      </c>
      <c r="C7260" s="1">
        <v>44083</v>
      </c>
      <c r="D7260" t="b">
        <v>1</v>
      </c>
      <c r="E7260" t="s">
        <v>10</v>
      </c>
      <c r="F7260">
        <v>15206</v>
      </c>
    </row>
    <row r="7261" spans="1:6" x14ac:dyDescent="0.25">
      <c r="A7261" t="s">
        <v>13562</v>
      </c>
      <c r="B7261" t="s">
        <v>13563</v>
      </c>
      <c r="C7261" s="1">
        <v>44083</v>
      </c>
      <c r="D7261" t="b">
        <v>1</v>
      </c>
      <c r="E7261" t="s">
        <v>10</v>
      </c>
      <c r="F7261">
        <v>6229</v>
      </c>
    </row>
    <row r="7262" spans="1:6" x14ac:dyDescent="0.25">
      <c r="A7262" t="s">
        <v>13564</v>
      </c>
      <c r="B7262" t="s">
        <v>13565</v>
      </c>
      <c r="C7262" s="1">
        <v>44083</v>
      </c>
      <c r="D7262" t="b">
        <v>1</v>
      </c>
      <c r="E7262" t="s">
        <v>10</v>
      </c>
      <c r="F7262">
        <v>12451</v>
      </c>
    </row>
    <row r="7263" spans="1:6" x14ac:dyDescent="0.25">
      <c r="A7263" t="s">
        <v>13566</v>
      </c>
      <c r="B7263" t="s">
        <v>13567</v>
      </c>
      <c r="C7263" s="1">
        <v>44083</v>
      </c>
      <c r="D7263" t="b">
        <v>1</v>
      </c>
      <c r="E7263" t="s">
        <v>10</v>
      </c>
      <c r="F7263">
        <v>6232</v>
      </c>
    </row>
    <row r="7264" spans="1:6" x14ac:dyDescent="0.25">
      <c r="A7264" t="s">
        <v>13568</v>
      </c>
      <c r="B7264" t="s">
        <v>13569</v>
      </c>
      <c r="C7264" s="1">
        <v>44083</v>
      </c>
      <c r="D7264" t="b">
        <v>1</v>
      </c>
      <c r="E7264" t="s">
        <v>10</v>
      </c>
      <c r="F7264">
        <v>9868</v>
      </c>
    </row>
    <row r="7265" spans="1:6" x14ac:dyDescent="0.25">
      <c r="A7265" t="s">
        <v>13570</v>
      </c>
      <c r="B7265" t="s">
        <v>13571</v>
      </c>
      <c r="C7265" s="1">
        <v>44083</v>
      </c>
      <c r="D7265" t="b">
        <v>1</v>
      </c>
      <c r="E7265" t="s">
        <v>10</v>
      </c>
      <c r="F7265">
        <v>8954</v>
      </c>
    </row>
    <row r="7266" spans="1:6" x14ac:dyDescent="0.25">
      <c r="A7266" t="s">
        <v>13572</v>
      </c>
      <c r="B7266" t="s">
        <v>13573</v>
      </c>
      <c r="C7266" s="1">
        <v>44083</v>
      </c>
      <c r="D7266" t="b">
        <v>1</v>
      </c>
      <c r="E7266" t="s">
        <v>10</v>
      </c>
      <c r="F7266">
        <v>6233</v>
      </c>
    </row>
    <row r="7267" spans="1:6" x14ac:dyDescent="0.25">
      <c r="A7267" t="s">
        <v>13574</v>
      </c>
      <c r="B7267" t="s">
        <v>13575</v>
      </c>
      <c r="C7267" s="1">
        <v>44083</v>
      </c>
      <c r="D7267" t="b">
        <v>1</v>
      </c>
      <c r="E7267" t="s">
        <v>10</v>
      </c>
      <c r="F7267">
        <v>14060</v>
      </c>
    </row>
    <row r="7268" spans="1:6" x14ac:dyDescent="0.25">
      <c r="A7268" t="s">
        <v>13576</v>
      </c>
      <c r="B7268" t="s">
        <v>13577</v>
      </c>
      <c r="C7268" s="1">
        <v>44083</v>
      </c>
      <c r="D7268" t="b">
        <v>1</v>
      </c>
      <c r="E7268" t="s">
        <v>10</v>
      </c>
      <c r="F7268">
        <v>12851</v>
      </c>
    </row>
    <row r="7269" spans="1:6" x14ac:dyDescent="0.25">
      <c r="A7269" t="s">
        <v>13578</v>
      </c>
      <c r="B7269" t="s">
        <v>13579</v>
      </c>
      <c r="C7269" s="1">
        <v>44083</v>
      </c>
      <c r="D7269" t="b">
        <v>1</v>
      </c>
      <c r="E7269" t="s">
        <v>10</v>
      </c>
      <c r="F7269">
        <v>12395</v>
      </c>
    </row>
    <row r="7270" spans="1:6" x14ac:dyDescent="0.25">
      <c r="A7270" t="s">
        <v>13580</v>
      </c>
      <c r="C7270" s="1">
        <v>44083</v>
      </c>
      <c r="D7270" t="b">
        <v>1</v>
      </c>
      <c r="E7270" t="s">
        <v>10</v>
      </c>
      <c r="F7270">
        <v>12396</v>
      </c>
    </row>
    <row r="7271" spans="1:6" x14ac:dyDescent="0.25">
      <c r="A7271" t="s">
        <v>13581</v>
      </c>
      <c r="B7271" t="s">
        <v>13582</v>
      </c>
      <c r="C7271" s="1">
        <v>44083</v>
      </c>
      <c r="D7271" t="b">
        <v>1</v>
      </c>
      <c r="E7271" t="s">
        <v>10</v>
      </c>
      <c r="F7271">
        <v>6239</v>
      </c>
    </row>
    <row r="7272" spans="1:6" x14ac:dyDescent="0.25">
      <c r="A7272" t="s">
        <v>13583</v>
      </c>
      <c r="B7272" t="s">
        <v>13584</v>
      </c>
      <c r="C7272" s="1">
        <v>44083</v>
      </c>
      <c r="D7272" t="b">
        <v>1</v>
      </c>
      <c r="E7272" t="s">
        <v>10</v>
      </c>
      <c r="F7272">
        <v>6240</v>
      </c>
    </row>
    <row r="7273" spans="1:6" x14ac:dyDescent="0.25">
      <c r="A7273" t="s">
        <v>13585</v>
      </c>
      <c r="B7273" t="s">
        <v>13586</v>
      </c>
      <c r="C7273" s="1">
        <v>44083</v>
      </c>
      <c r="D7273" t="b">
        <v>1</v>
      </c>
      <c r="E7273" t="s">
        <v>10</v>
      </c>
      <c r="F7273">
        <v>14017</v>
      </c>
    </row>
    <row r="7274" spans="1:6" x14ac:dyDescent="0.25">
      <c r="A7274" t="s">
        <v>13587</v>
      </c>
      <c r="B7274" t="s">
        <v>13588</v>
      </c>
      <c r="C7274" s="1">
        <v>44083</v>
      </c>
      <c r="D7274" t="b">
        <v>1</v>
      </c>
      <c r="E7274" t="s">
        <v>10</v>
      </c>
      <c r="F7274">
        <v>6243</v>
      </c>
    </row>
    <row r="7275" spans="1:6" x14ac:dyDescent="0.25">
      <c r="A7275" t="s">
        <v>13589</v>
      </c>
      <c r="B7275" t="s">
        <v>13590</v>
      </c>
      <c r="C7275" s="1">
        <v>44083</v>
      </c>
      <c r="D7275" t="b">
        <v>1</v>
      </c>
      <c r="E7275" t="s">
        <v>10</v>
      </c>
      <c r="F7275">
        <v>6244</v>
      </c>
    </row>
    <row r="7276" spans="1:6" x14ac:dyDescent="0.25">
      <c r="A7276" t="s">
        <v>13591</v>
      </c>
      <c r="B7276" t="s">
        <v>13592</v>
      </c>
      <c r="C7276" s="1">
        <v>44083</v>
      </c>
      <c r="D7276" t="b">
        <v>1</v>
      </c>
      <c r="E7276" t="s">
        <v>10</v>
      </c>
      <c r="F7276">
        <v>16754</v>
      </c>
    </row>
    <row r="7277" spans="1:6" x14ac:dyDescent="0.25">
      <c r="A7277" t="s">
        <v>13593</v>
      </c>
      <c r="B7277" t="s">
        <v>13594</v>
      </c>
      <c r="C7277" s="1">
        <v>44083</v>
      </c>
      <c r="D7277" t="b">
        <v>1</v>
      </c>
      <c r="E7277" t="s">
        <v>10</v>
      </c>
      <c r="F7277">
        <v>6245</v>
      </c>
    </row>
    <row r="7278" spans="1:6" x14ac:dyDescent="0.25">
      <c r="A7278" t="s">
        <v>13595</v>
      </c>
      <c r="B7278" t="s">
        <v>13596</v>
      </c>
      <c r="C7278" s="1">
        <v>44083</v>
      </c>
      <c r="D7278" t="b">
        <v>1</v>
      </c>
      <c r="E7278" t="s">
        <v>10</v>
      </c>
      <c r="F7278">
        <v>10438</v>
      </c>
    </row>
    <row r="7279" spans="1:6" x14ac:dyDescent="0.25">
      <c r="A7279" t="s">
        <v>13597</v>
      </c>
      <c r="B7279" t="s">
        <v>13598</v>
      </c>
      <c r="C7279" s="1">
        <v>44083</v>
      </c>
      <c r="D7279" t="b">
        <v>1</v>
      </c>
      <c r="E7279" t="s">
        <v>10</v>
      </c>
      <c r="F7279">
        <v>6246</v>
      </c>
    </row>
    <row r="7280" spans="1:6" x14ac:dyDescent="0.25">
      <c r="A7280" t="s">
        <v>13599</v>
      </c>
      <c r="B7280" t="s">
        <v>13600</v>
      </c>
      <c r="C7280" s="1">
        <v>44083</v>
      </c>
      <c r="D7280" t="b">
        <v>1</v>
      </c>
      <c r="E7280" t="s">
        <v>10</v>
      </c>
      <c r="F7280">
        <v>6251</v>
      </c>
    </row>
    <row r="7281" spans="1:6" x14ac:dyDescent="0.25">
      <c r="A7281" t="s">
        <v>13601</v>
      </c>
      <c r="B7281" t="s">
        <v>13602</v>
      </c>
      <c r="C7281" s="1">
        <v>44083</v>
      </c>
      <c r="D7281" t="b">
        <v>1</v>
      </c>
      <c r="E7281" t="s">
        <v>10</v>
      </c>
      <c r="F7281">
        <v>12924</v>
      </c>
    </row>
    <row r="7282" spans="1:6" x14ac:dyDescent="0.25">
      <c r="A7282" t="s">
        <v>13603</v>
      </c>
      <c r="B7282" t="s">
        <v>13604</v>
      </c>
      <c r="C7282" s="1">
        <v>44083</v>
      </c>
      <c r="D7282" t="b">
        <v>1</v>
      </c>
      <c r="E7282" t="s">
        <v>10</v>
      </c>
      <c r="F7282">
        <v>9625</v>
      </c>
    </row>
    <row r="7283" spans="1:6" x14ac:dyDescent="0.25">
      <c r="A7283" t="s">
        <v>13605</v>
      </c>
      <c r="B7283" t="s">
        <v>13606</v>
      </c>
      <c r="C7283" s="1">
        <v>44083</v>
      </c>
      <c r="D7283" t="b">
        <v>1</v>
      </c>
      <c r="E7283" t="s">
        <v>10</v>
      </c>
      <c r="F7283">
        <v>6252</v>
      </c>
    </row>
    <row r="7284" spans="1:6" x14ac:dyDescent="0.25">
      <c r="A7284" t="s">
        <v>13607</v>
      </c>
      <c r="B7284" t="s">
        <v>13608</v>
      </c>
      <c r="C7284" s="1">
        <v>44083</v>
      </c>
      <c r="D7284" t="b">
        <v>1</v>
      </c>
      <c r="E7284" t="s">
        <v>10</v>
      </c>
      <c r="F7284">
        <v>11135</v>
      </c>
    </row>
    <row r="7285" spans="1:6" x14ac:dyDescent="0.25">
      <c r="A7285" t="s">
        <v>13609</v>
      </c>
      <c r="B7285" t="s">
        <v>13610</v>
      </c>
      <c r="C7285" s="1">
        <v>44083</v>
      </c>
      <c r="D7285" t="b">
        <v>1</v>
      </c>
      <c r="E7285" t="s">
        <v>10</v>
      </c>
      <c r="F7285">
        <v>6253</v>
      </c>
    </row>
    <row r="7286" spans="1:6" x14ac:dyDescent="0.25">
      <c r="A7286" t="s">
        <v>13611</v>
      </c>
      <c r="B7286" t="s">
        <v>13612</v>
      </c>
      <c r="C7286" s="1">
        <v>44083</v>
      </c>
      <c r="D7286" t="b">
        <v>1</v>
      </c>
      <c r="E7286" t="s">
        <v>10</v>
      </c>
      <c r="F7286">
        <v>6255</v>
      </c>
    </row>
    <row r="7287" spans="1:6" x14ac:dyDescent="0.25">
      <c r="A7287" t="s">
        <v>13613</v>
      </c>
      <c r="B7287" t="s">
        <v>13614</v>
      </c>
      <c r="C7287" s="1">
        <v>44083</v>
      </c>
      <c r="D7287" t="b">
        <v>1</v>
      </c>
      <c r="E7287" t="s">
        <v>10</v>
      </c>
      <c r="F7287">
        <v>6256</v>
      </c>
    </row>
    <row r="7288" spans="1:6" x14ac:dyDescent="0.25">
      <c r="A7288" t="s">
        <v>13615</v>
      </c>
      <c r="B7288" t="s">
        <v>13616</v>
      </c>
      <c r="C7288" s="1">
        <v>44083</v>
      </c>
      <c r="D7288" t="b">
        <v>1</v>
      </c>
      <c r="E7288" t="s">
        <v>10</v>
      </c>
      <c r="F7288">
        <v>6257</v>
      </c>
    </row>
    <row r="7289" spans="1:6" x14ac:dyDescent="0.25">
      <c r="A7289" t="s">
        <v>13617</v>
      </c>
      <c r="C7289" s="1">
        <v>44083</v>
      </c>
      <c r="D7289" t="b">
        <v>1</v>
      </c>
      <c r="E7289" t="s">
        <v>10</v>
      </c>
      <c r="F7289">
        <v>12167</v>
      </c>
    </row>
    <row r="7290" spans="1:6" x14ac:dyDescent="0.25">
      <c r="A7290" t="s">
        <v>13618</v>
      </c>
      <c r="C7290" s="1">
        <v>44083</v>
      </c>
      <c r="D7290" t="b">
        <v>1</v>
      </c>
      <c r="E7290" t="s">
        <v>10</v>
      </c>
      <c r="F7290">
        <v>15718</v>
      </c>
    </row>
    <row r="7291" spans="1:6" x14ac:dyDescent="0.25">
      <c r="A7291" t="s">
        <v>13619</v>
      </c>
      <c r="B7291" t="s">
        <v>13620</v>
      </c>
      <c r="C7291" s="1">
        <v>44083</v>
      </c>
      <c r="D7291" t="b">
        <v>1</v>
      </c>
      <c r="E7291" t="s">
        <v>10</v>
      </c>
      <c r="F7291">
        <v>15636</v>
      </c>
    </row>
    <row r="7292" spans="1:6" x14ac:dyDescent="0.25">
      <c r="A7292" t="s">
        <v>13621</v>
      </c>
      <c r="C7292" s="1">
        <v>44083</v>
      </c>
      <c r="D7292" t="b">
        <v>1</v>
      </c>
      <c r="E7292" t="s">
        <v>10</v>
      </c>
      <c r="F7292">
        <v>15655</v>
      </c>
    </row>
    <row r="7293" spans="1:6" x14ac:dyDescent="0.25">
      <c r="A7293" t="s">
        <v>13622</v>
      </c>
      <c r="B7293" t="s">
        <v>13623</v>
      </c>
      <c r="C7293" s="1">
        <v>44083</v>
      </c>
      <c r="D7293" t="b">
        <v>1</v>
      </c>
      <c r="E7293" t="s">
        <v>10</v>
      </c>
      <c r="F7293">
        <v>15431</v>
      </c>
    </row>
    <row r="7294" spans="1:6" x14ac:dyDescent="0.25">
      <c r="A7294" t="s">
        <v>13624</v>
      </c>
      <c r="B7294" t="s">
        <v>13625</v>
      </c>
      <c r="C7294" s="1">
        <v>44083</v>
      </c>
      <c r="D7294" t="b">
        <v>1</v>
      </c>
      <c r="E7294" t="s">
        <v>10</v>
      </c>
      <c r="F7294">
        <v>6260</v>
      </c>
    </row>
    <row r="7295" spans="1:6" x14ac:dyDescent="0.25">
      <c r="A7295" t="s">
        <v>13626</v>
      </c>
      <c r="B7295" t="s">
        <v>13627</v>
      </c>
      <c r="C7295" s="1">
        <v>44083</v>
      </c>
      <c r="D7295" t="b">
        <v>1</v>
      </c>
      <c r="E7295" t="s">
        <v>10</v>
      </c>
      <c r="F7295">
        <v>9426</v>
      </c>
    </row>
    <row r="7296" spans="1:6" x14ac:dyDescent="0.25">
      <c r="A7296" t="s">
        <v>13628</v>
      </c>
      <c r="B7296" t="s">
        <v>13629</v>
      </c>
      <c r="C7296" s="1">
        <v>44083</v>
      </c>
      <c r="D7296" t="b">
        <v>1</v>
      </c>
      <c r="E7296" t="s">
        <v>10</v>
      </c>
      <c r="F7296">
        <v>6261</v>
      </c>
    </row>
    <row r="7297" spans="1:6" x14ac:dyDescent="0.25">
      <c r="A7297" t="s">
        <v>13630</v>
      </c>
      <c r="B7297" t="s">
        <v>13631</v>
      </c>
      <c r="C7297" s="1">
        <v>44083</v>
      </c>
      <c r="D7297" t="b">
        <v>1</v>
      </c>
      <c r="E7297" t="s">
        <v>10</v>
      </c>
      <c r="F7297">
        <v>6262</v>
      </c>
    </row>
    <row r="7298" spans="1:6" x14ac:dyDescent="0.25">
      <c r="A7298" t="s">
        <v>13632</v>
      </c>
      <c r="C7298" s="1">
        <v>44083</v>
      </c>
      <c r="D7298" t="b">
        <v>1</v>
      </c>
      <c r="E7298" t="s">
        <v>10</v>
      </c>
      <c r="F7298">
        <v>11156</v>
      </c>
    </row>
    <row r="7299" spans="1:6" x14ac:dyDescent="0.25">
      <c r="A7299" t="s">
        <v>13633</v>
      </c>
      <c r="C7299" s="1">
        <v>44083</v>
      </c>
      <c r="D7299" t="b">
        <v>1</v>
      </c>
      <c r="E7299" t="s">
        <v>10</v>
      </c>
      <c r="F7299">
        <v>11401</v>
      </c>
    </row>
    <row r="7300" spans="1:6" x14ac:dyDescent="0.25">
      <c r="A7300" t="s">
        <v>13634</v>
      </c>
      <c r="B7300" t="s">
        <v>13635</v>
      </c>
      <c r="C7300" s="1">
        <v>44083</v>
      </c>
      <c r="D7300" t="b">
        <v>1</v>
      </c>
      <c r="E7300" t="s">
        <v>10</v>
      </c>
      <c r="F7300">
        <v>6264</v>
      </c>
    </row>
    <row r="7301" spans="1:6" x14ac:dyDescent="0.25">
      <c r="A7301" t="s">
        <v>13636</v>
      </c>
      <c r="B7301" t="s">
        <v>13637</v>
      </c>
      <c r="C7301" s="1">
        <v>44083</v>
      </c>
      <c r="D7301" t="b">
        <v>1</v>
      </c>
      <c r="E7301" t="s">
        <v>10</v>
      </c>
      <c r="F7301">
        <v>9915</v>
      </c>
    </row>
    <row r="7302" spans="1:6" x14ac:dyDescent="0.25">
      <c r="A7302" t="s">
        <v>13638</v>
      </c>
      <c r="B7302" t="s">
        <v>13639</v>
      </c>
      <c r="C7302" s="1">
        <v>44083</v>
      </c>
      <c r="D7302" t="b">
        <v>1</v>
      </c>
      <c r="E7302" t="s">
        <v>10</v>
      </c>
      <c r="F7302">
        <v>8242</v>
      </c>
    </row>
    <row r="7303" spans="1:6" x14ac:dyDescent="0.25">
      <c r="A7303" t="s">
        <v>13640</v>
      </c>
      <c r="B7303" t="s">
        <v>13641</v>
      </c>
      <c r="C7303" s="1">
        <v>44083</v>
      </c>
      <c r="D7303" t="b">
        <v>1</v>
      </c>
      <c r="E7303" t="s">
        <v>10</v>
      </c>
      <c r="F7303">
        <v>6268</v>
      </c>
    </row>
    <row r="7304" spans="1:6" x14ac:dyDescent="0.25">
      <c r="A7304" t="s">
        <v>13642</v>
      </c>
      <c r="B7304" t="s">
        <v>13643</v>
      </c>
      <c r="C7304" s="1">
        <v>44083</v>
      </c>
      <c r="D7304" t="b">
        <v>1</v>
      </c>
      <c r="E7304" t="s">
        <v>10</v>
      </c>
      <c r="F7304">
        <v>6269</v>
      </c>
    </row>
    <row r="7305" spans="1:6" x14ac:dyDescent="0.25">
      <c r="A7305" t="s">
        <v>13644</v>
      </c>
      <c r="B7305" t="s">
        <v>13645</v>
      </c>
      <c r="C7305" s="1">
        <v>44083</v>
      </c>
      <c r="D7305" t="b">
        <v>1</v>
      </c>
      <c r="E7305" t="s">
        <v>10</v>
      </c>
      <c r="F7305">
        <v>6270</v>
      </c>
    </row>
    <row r="7306" spans="1:6" x14ac:dyDescent="0.25">
      <c r="A7306" t="s">
        <v>13646</v>
      </c>
      <c r="B7306" t="s">
        <v>13647</v>
      </c>
      <c r="C7306" s="1">
        <v>44083</v>
      </c>
      <c r="D7306" t="b">
        <v>1</v>
      </c>
      <c r="E7306" t="s">
        <v>10</v>
      </c>
      <c r="F7306">
        <v>8198</v>
      </c>
    </row>
    <row r="7307" spans="1:6" x14ac:dyDescent="0.25">
      <c r="A7307" t="s">
        <v>13648</v>
      </c>
      <c r="B7307" t="s">
        <v>13649</v>
      </c>
      <c r="C7307" s="1">
        <v>44083</v>
      </c>
      <c r="D7307" t="b">
        <v>1</v>
      </c>
      <c r="E7307" t="s">
        <v>10</v>
      </c>
      <c r="F7307">
        <v>6428</v>
      </c>
    </row>
    <row r="7308" spans="1:6" x14ac:dyDescent="0.25">
      <c r="A7308" t="s">
        <v>13650</v>
      </c>
      <c r="B7308" t="s">
        <v>13651</v>
      </c>
      <c r="C7308" s="1">
        <v>44083</v>
      </c>
      <c r="D7308" t="b">
        <v>1</v>
      </c>
      <c r="E7308" t="s">
        <v>10</v>
      </c>
      <c r="F7308">
        <v>8024</v>
      </c>
    </row>
    <row r="7309" spans="1:6" x14ac:dyDescent="0.25">
      <c r="A7309" t="s">
        <v>13652</v>
      </c>
      <c r="B7309" t="s">
        <v>13653</v>
      </c>
      <c r="C7309" s="1">
        <v>44083</v>
      </c>
      <c r="D7309" t="b">
        <v>1</v>
      </c>
      <c r="E7309" t="s">
        <v>10</v>
      </c>
      <c r="F7309">
        <v>14000</v>
      </c>
    </row>
    <row r="7310" spans="1:6" x14ac:dyDescent="0.25">
      <c r="A7310" t="s">
        <v>13654</v>
      </c>
      <c r="B7310" t="s">
        <v>13655</v>
      </c>
      <c r="C7310" s="1">
        <v>44083</v>
      </c>
      <c r="D7310" t="b">
        <v>1</v>
      </c>
      <c r="E7310" t="s">
        <v>10</v>
      </c>
      <c r="F7310">
        <v>15251</v>
      </c>
    </row>
    <row r="7311" spans="1:6" x14ac:dyDescent="0.25">
      <c r="A7311" t="s">
        <v>13656</v>
      </c>
      <c r="B7311" t="s">
        <v>13657</v>
      </c>
      <c r="C7311" s="1">
        <v>44083</v>
      </c>
      <c r="D7311" t="b">
        <v>1</v>
      </c>
      <c r="E7311" t="s">
        <v>10</v>
      </c>
      <c r="F7311">
        <v>15056</v>
      </c>
    </row>
    <row r="7312" spans="1:6" x14ac:dyDescent="0.25">
      <c r="A7312" t="s">
        <v>13658</v>
      </c>
      <c r="B7312" t="s">
        <v>13659</v>
      </c>
      <c r="C7312" s="1">
        <v>44083</v>
      </c>
      <c r="D7312" t="b">
        <v>1</v>
      </c>
      <c r="E7312" t="s">
        <v>10</v>
      </c>
      <c r="F7312">
        <v>14931</v>
      </c>
    </row>
    <row r="7313" spans="1:6" x14ac:dyDescent="0.25">
      <c r="A7313" t="s">
        <v>13660</v>
      </c>
      <c r="B7313" t="s">
        <v>13661</v>
      </c>
      <c r="C7313" s="1">
        <v>44083</v>
      </c>
      <c r="D7313" t="b">
        <v>1</v>
      </c>
      <c r="E7313" t="s">
        <v>10</v>
      </c>
      <c r="F7313">
        <v>6274</v>
      </c>
    </row>
    <row r="7314" spans="1:6" x14ac:dyDescent="0.25">
      <c r="A7314" t="s">
        <v>13662</v>
      </c>
      <c r="B7314" t="s">
        <v>13663</v>
      </c>
      <c r="C7314" s="1">
        <v>44083</v>
      </c>
      <c r="D7314" t="b">
        <v>1</v>
      </c>
      <c r="E7314" t="s">
        <v>10</v>
      </c>
      <c r="F7314">
        <v>6275</v>
      </c>
    </row>
    <row r="7315" spans="1:6" x14ac:dyDescent="0.25">
      <c r="A7315" t="s">
        <v>13664</v>
      </c>
      <c r="B7315" t="s">
        <v>13665</v>
      </c>
      <c r="C7315" s="1">
        <v>44083</v>
      </c>
      <c r="D7315" t="b">
        <v>1</v>
      </c>
      <c r="E7315" t="s">
        <v>10</v>
      </c>
      <c r="F7315">
        <v>9395</v>
      </c>
    </row>
    <row r="7316" spans="1:6" x14ac:dyDescent="0.25">
      <c r="A7316" t="s">
        <v>13666</v>
      </c>
      <c r="B7316" t="s">
        <v>13667</v>
      </c>
      <c r="C7316" s="1">
        <v>44083</v>
      </c>
      <c r="D7316" t="b">
        <v>1</v>
      </c>
      <c r="E7316" t="s">
        <v>10</v>
      </c>
      <c r="F7316">
        <v>6276</v>
      </c>
    </row>
    <row r="7317" spans="1:6" x14ac:dyDescent="0.25">
      <c r="A7317" t="s">
        <v>13668</v>
      </c>
      <c r="B7317" t="s">
        <v>13669</v>
      </c>
      <c r="C7317" s="1">
        <v>44083</v>
      </c>
      <c r="D7317" t="b">
        <v>1</v>
      </c>
      <c r="E7317" t="s">
        <v>10</v>
      </c>
      <c r="F7317">
        <v>6278</v>
      </c>
    </row>
    <row r="7318" spans="1:6" x14ac:dyDescent="0.25">
      <c r="A7318" t="s">
        <v>13670</v>
      </c>
      <c r="B7318" t="s">
        <v>13671</v>
      </c>
      <c r="C7318" s="1">
        <v>44083</v>
      </c>
      <c r="D7318" t="b">
        <v>1</v>
      </c>
      <c r="E7318" t="s">
        <v>10</v>
      </c>
      <c r="F7318">
        <v>6279</v>
      </c>
    </row>
    <row r="7319" spans="1:6" x14ac:dyDescent="0.25">
      <c r="A7319" t="s">
        <v>13672</v>
      </c>
      <c r="B7319" t="s">
        <v>13673</v>
      </c>
      <c r="C7319" s="1">
        <v>44083</v>
      </c>
      <c r="D7319" t="b">
        <v>1</v>
      </c>
      <c r="E7319" t="s">
        <v>10</v>
      </c>
      <c r="F7319">
        <v>6280</v>
      </c>
    </row>
    <row r="7320" spans="1:6" x14ac:dyDescent="0.25">
      <c r="A7320" t="s">
        <v>13674</v>
      </c>
      <c r="B7320" t="s">
        <v>13675</v>
      </c>
      <c r="C7320" s="1">
        <v>44083</v>
      </c>
      <c r="D7320" t="b">
        <v>1</v>
      </c>
      <c r="E7320" t="s">
        <v>10</v>
      </c>
      <c r="F7320">
        <v>6281</v>
      </c>
    </row>
    <row r="7321" spans="1:6" x14ac:dyDescent="0.25">
      <c r="A7321" t="s">
        <v>13676</v>
      </c>
      <c r="B7321" t="s">
        <v>13677</v>
      </c>
      <c r="C7321" s="1">
        <v>44083</v>
      </c>
      <c r="D7321" t="b">
        <v>1</v>
      </c>
      <c r="E7321" t="s">
        <v>10</v>
      </c>
      <c r="F7321">
        <v>16897</v>
      </c>
    </row>
    <row r="7322" spans="1:6" x14ac:dyDescent="0.25">
      <c r="A7322" t="s">
        <v>13678</v>
      </c>
      <c r="B7322" t="s">
        <v>13679</v>
      </c>
      <c r="C7322" s="1">
        <v>44083</v>
      </c>
      <c r="D7322" t="b">
        <v>1</v>
      </c>
      <c r="E7322" t="s">
        <v>10</v>
      </c>
      <c r="F7322">
        <v>6283</v>
      </c>
    </row>
    <row r="7323" spans="1:6" x14ac:dyDescent="0.25">
      <c r="A7323" t="s">
        <v>13680</v>
      </c>
      <c r="B7323" t="s">
        <v>13681</v>
      </c>
      <c r="C7323" s="1">
        <v>44083</v>
      </c>
      <c r="D7323" t="b">
        <v>1</v>
      </c>
      <c r="E7323" t="s">
        <v>10</v>
      </c>
      <c r="F7323">
        <v>6284</v>
      </c>
    </row>
    <row r="7324" spans="1:6" x14ac:dyDescent="0.25">
      <c r="A7324" t="s">
        <v>13682</v>
      </c>
      <c r="B7324" t="s">
        <v>13683</v>
      </c>
      <c r="C7324" s="1">
        <v>44083</v>
      </c>
      <c r="D7324" t="b">
        <v>1</v>
      </c>
      <c r="E7324" t="s">
        <v>10</v>
      </c>
      <c r="F7324">
        <v>6285</v>
      </c>
    </row>
    <row r="7325" spans="1:6" x14ac:dyDescent="0.25">
      <c r="A7325" t="s">
        <v>13684</v>
      </c>
      <c r="B7325" t="s">
        <v>13685</v>
      </c>
      <c r="C7325" s="1">
        <v>44083</v>
      </c>
      <c r="D7325" t="b">
        <v>1</v>
      </c>
      <c r="E7325" t="s">
        <v>10</v>
      </c>
      <c r="F7325">
        <v>6286</v>
      </c>
    </row>
    <row r="7326" spans="1:6" x14ac:dyDescent="0.25">
      <c r="A7326" t="s">
        <v>13686</v>
      </c>
      <c r="B7326" t="s">
        <v>13687</v>
      </c>
      <c r="C7326" s="1">
        <v>44083</v>
      </c>
      <c r="D7326" t="b">
        <v>1</v>
      </c>
      <c r="E7326" t="s">
        <v>10</v>
      </c>
      <c r="F7326">
        <v>15566</v>
      </c>
    </row>
    <row r="7327" spans="1:6" x14ac:dyDescent="0.25">
      <c r="A7327" t="s">
        <v>13688</v>
      </c>
      <c r="B7327" t="s">
        <v>13689</v>
      </c>
      <c r="C7327" s="1">
        <v>44083</v>
      </c>
      <c r="D7327" t="b">
        <v>1</v>
      </c>
      <c r="E7327" t="s">
        <v>10</v>
      </c>
      <c r="F7327">
        <v>14943</v>
      </c>
    </row>
    <row r="7328" spans="1:6" x14ac:dyDescent="0.25">
      <c r="A7328" t="s">
        <v>13690</v>
      </c>
      <c r="B7328" t="s">
        <v>13691</v>
      </c>
      <c r="C7328" s="1">
        <v>44083</v>
      </c>
      <c r="D7328" t="b">
        <v>1</v>
      </c>
      <c r="E7328" t="s">
        <v>10</v>
      </c>
      <c r="F7328">
        <v>6287</v>
      </c>
    </row>
    <row r="7329" spans="1:6" x14ac:dyDescent="0.25">
      <c r="A7329" t="s">
        <v>13692</v>
      </c>
      <c r="B7329" t="s">
        <v>13693</v>
      </c>
      <c r="C7329" s="1">
        <v>44083</v>
      </c>
      <c r="D7329" t="b">
        <v>1</v>
      </c>
      <c r="E7329" t="s">
        <v>10</v>
      </c>
      <c r="F7329">
        <v>6289</v>
      </c>
    </row>
    <row r="7330" spans="1:6" x14ac:dyDescent="0.25">
      <c r="A7330" t="s">
        <v>13694</v>
      </c>
      <c r="B7330" t="s">
        <v>13695</v>
      </c>
      <c r="C7330" s="1">
        <v>44083</v>
      </c>
      <c r="D7330" t="b">
        <v>1</v>
      </c>
      <c r="E7330" t="s">
        <v>10</v>
      </c>
      <c r="F7330">
        <v>13958</v>
      </c>
    </row>
    <row r="7331" spans="1:6" x14ac:dyDescent="0.25">
      <c r="A7331" t="s">
        <v>13696</v>
      </c>
      <c r="B7331" t="s">
        <v>13697</v>
      </c>
      <c r="C7331" s="1">
        <v>44083</v>
      </c>
      <c r="D7331" t="b">
        <v>1</v>
      </c>
      <c r="E7331" t="s">
        <v>10</v>
      </c>
      <c r="F7331">
        <v>6290</v>
      </c>
    </row>
    <row r="7332" spans="1:6" x14ac:dyDescent="0.25">
      <c r="A7332" t="s">
        <v>13698</v>
      </c>
      <c r="B7332" t="s">
        <v>13699</v>
      </c>
      <c r="C7332" s="1">
        <v>44083</v>
      </c>
      <c r="D7332" t="b">
        <v>1</v>
      </c>
      <c r="E7332" t="s">
        <v>10</v>
      </c>
      <c r="F7332">
        <v>6292</v>
      </c>
    </row>
    <row r="7333" spans="1:6" x14ac:dyDescent="0.25">
      <c r="A7333" t="s">
        <v>13700</v>
      </c>
      <c r="B7333" t="s">
        <v>13701</v>
      </c>
      <c r="C7333" s="1">
        <v>44083</v>
      </c>
      <c r="D7333" t="b">
        <v>1</v>
      </c>
      <c r="E7333" t="s">
        <v>10</v>
      </c>
      <c r="F7333">
        <v>8262</v>
      </c>
    </row>
    <row r="7334" spans="1:6" x14ac:dyDescent="0.25">
      <c r="A7334" t="s">
        <v>13702</v>
      </c>
      <c r="B7334" t="s">
        <v>13703</v>
      </c>
      <c r="C7334" s="1">
        <v>44083</v>
      </c>
      <c r="D7334" t="b">
        <v>1</v>
      </c>
      <c r="E7334" t="s">
        <v>10</v>
      </c>
      <c r="F7334">
        <v>6294</v>
      </c>
    </row>
    <row r="7335" spans="1:6" x14ac:dyDescent="0.25">
      <c r="A7335" t="s">
        <v>13704</v>
      </c>
      <c r="B7335" t="s">
        <v>13705</v>
      </c>
      <c r="C7335" s="1">
        <v>44083</v>
      </c>
      <c r="D7335" t="b">
        <v>1</v>
      </c>
      <c r="E7335" t="s">
        <v>10</v>
      </c>
      <c r="F7335">
        <v>1718</v>
      </c>
    </row>
    <row r="7336" spans="1:6" x14ac:dyDescent="0.25">
      <c r="A7336" t="s">
        <v>13706</v>
      </c>
      <c r="C7336" s="1">
        <v>44083</v>
      </c>
      <c r="D7336" t="b">
        <v>1</v>
      </c>
      <c r="E7336" t="s">
        <v>10</v>
      </c>
      <c r="F7336">
        <v>13004</v>
      </c>
    </row>
    <row r="7337" spans="1:6" x14ac:dyDescent="0.25">
      <c r="A7337" t="s">
        <v>13707</v>
      </c>
      <c r="C7337" s="1">
        <v>44083</v>
      </c>
      <c r="D7337" t="b">
        <v>1</v>
      </c>
      <c r="E7337" t="s">
        <v>10</v>
      </c>
      <c r="F7337">
        <v>1721</v>
      </c>
    </row>
    <row r="7338" spans="1:6" x14ac:dyDescent="0.25">
      <c r="A7338" t="s">
        <v>13708</v>
      </c>
      <c r="B7338" t="s">
        <v>13709</v>
      </c>
      <c r="C7338" s="1">
        <v>44083</v>
      </c>
      <c r="D7338" t="b">
        <v>1</v>
      </c>
      <c r="E7338" t="s">
        <v>10</v>
      </c>
      <c r="F7338">
        <v>10592</v>
      </c>
    </row>
    <row r="7339" spans="1:6" x14ac:dyDescent="0.25">
      <c r="A7339" t="s">
        <v>13710</v>
      </c>
      <c r="B7339" t="s">
        <v>13711</v>
      </c>
      <c r="C7339" s="1">
        <v>44083</v>
      </c>
      <c r="D7339" t="b">
        <v>1</v>
      </c>
      <c r="E7339" t="s">
        <v>10</v>
      </c>
      <c r="F7339">
        <v>16226</v>
      </c>
    </row>
    <row r="7340" spans="1:6" x14ac:dyDescent="0.25">
      <c r="A7340" t="s">
        <v>13712</v>
      </c>
      <c r="B7340" t="s">
        <v>13713</v>
      </c>
      <c r="C7340" s="1">
        <v>44083</v>
      </c>
      <c r="D7340" t="b">
        <v>1</v>
      </c>
      <c r="E7340" t="s">
        <v>10</v>
      </c>
      <c r="F7340">
        <v>6296</v>
      </c>
    </row>
    <row r="7341" spans="1:6" x14ac:dyDescent="0.25">
      <c r="A7341" t="s">
        <v>13714</v>
      </c>
      <c r="C7341" s="1">
        <v>44083</v>
      </c>
      <c r="D7341" t="b">
        <v>1</v>
      </c>
      <c r="E7341" t="s">
        <v>10</v>
      </c>
      <c r="F7341">
        <v>16383</v>
      </c>
    </row>
    <row r="7342" spans="1:6" x14ac:dyDescent="0.25">
      <c r="A7342" t="s">
        <v>13715</v>
      </c>
      <c r="B7342" t="s">
        <v>13716</v>
      </c>
      <c r="C7342" s="1">
        <v>44083</v>
      </c>
      <c r="D7342" t="b">
        <v>1</v>
      </c>
      <c r="E7342" t="s">
        <v>10</v>
      </c>
      <c r="F7342">
        <v>6298</v>
      </c>
    </row>
    <row r="7343" spans="1:6" x14ac:dyDescent="0.25">
      <c r="A7343" t="s">
        <v>13717</v>
      </c>
      <c r="B7343" t="s">
        <v>13718</v>
      </c>
      <c r="C7343" s="1">
        <v>44083</v>
      </c>
      <c r="D7343" t="b">
        <v>1</v>
      </c>
      <c r="E7343" t="s">
        <v>10</v>
      </c>
      <c r="F7343">
        <v>6299</v>
      </c>
    </row>
    <row r="7344" spans="1:6" x14ac:dyDescent="0.25">
      <c r="A7344" t="s">
        <v>13719</v>
      </c>
      <c r="B7344" t="s">
        <v>13720</v>
      </c>
      <c r="C7344" s="1">
        <v>44083</v>
      </c>
      <c r="D7344" t="b">
        <v>1</v>
      </c>
      <c r="E7344" t="s">
        <v>10</v>
      </c>
      <c r="F7344">
        <v>16720</v>
      </c>
    </row>
    <row r="7345" spans="1:6" x14ac:dyDescent="0.25">
      <c r="A7345" t="s">
        <v>13721</v>
      </c>
      <c r="B7345" t="s">
        <v>13722</v>
      </c>
      <c r="C7345" s="1">
        <v>44083</v>
      </c>
      <c r="D7345" t="b">
        <v>1</v>
      </c>
      <c r="E7345" t="s">
        <v>10</v>
      </c>
      <c r="F7345">
        <v>16721</v>
      </c>
    </row>
    <row r="7346" spans="1:6" x14ac:dyDescent="0.25">
      <c r="A7346" t="s">
        <v>13723</v>
      </c>
      <c r="B7346" t="s">
        <v>13724</v>
      </c>
      <c r="C7346" s="1">
        <v>44083</v>
      </c>
      <c r="D7346" t="b">
        <v>1</v>
      </c>
      <c r="E7346" t="s">
        <v>10</v>
      </c>
      <c r="F7346">
        <v>16711</v>
      </c>
    </row>
    <row r="7347" spans="1:6" x14ac:dyDescent="0.25">
      <c r="A7347" t="s">
        <v>13725</v>
      </c>
      <c r="B7347" t="s">
        <v>13726</v>
      </c>
      <c r="C7347" s="1">
        <v>44083</v>
      </c>
      <c r="D7347" t="b">
        <v>1</v>
      </c>
      <c r="E7347" t="s">
        <v>10</v>
      </c>
      <c r="F7347">
        <v>16722</v>
      </c>
    </row>
    <row r="7348" spans="1:6" x14ac:dyDescent="0.25">
      <c r="A7348" t="s">
        <v>13727</v>
      </c>
      <c r="B7348" t="s">
        <v>13728</v>
      </c>
      <c r="C7348" s="1">
        <v>44083</v>
      </c>
      <c r="D7348" t="b">
        <v>1</v>
      </c>
      <c r="E7348" t="s">
        <v>10</v>
      </c>
      <c r="F7348">
        <v>6301</v>
      </c>
    </row>
    <row r="7349" spans="1:6" x14ac:dyDescent="0.25">
      <c r="A7349" t="s">
        <v>13729</v>
      </c>
      <c r="B7349" t="s">
        <v>13730</v>
      </c>
      <c r="C7349" s="1">
        <v>44083</v>
      </c>
      <c r="D7349" t="b">
        <v>1</v>
      </c>
      <c r="E7349" t="s">
        <v>10</v>
      </c>
      <c r="F7349">
        <v>15398</v>
      </c>
    </row>
    <row r="7350" spans="1:6" x14ac:dyDescent="0.25">
      <c r="A7350" t="s">
        <v>13731</v>
      </c>
      <c r="B7350" t="s">
        <v>13732</v>
      </c>
      <c r="C7350" s="1">
        <v>44083</v>
      </c>
      <c r="D7350" t="b">
        <v>1</v>
      </c>
      <c r="E7350" t="s">
        <v>10</v>
      </c>
      <c r="F7350">
        <v>6302</v>
      </c>
    </row>
    <row r="7351" spans="1:6" x14ac:dyDescent="0.25">
      <c r="A7351" t="s">
        <v>13733</v>
      </c>
      <c r="B7351" t="s">
        <v>13734</v>
      </c>
      <c r="C7351" s="1">
        <v>44083</v>
      </c>
      <c r="D7351" t="b">
        <v>1</v>
      </c>
      <c r="E7351" t="s">
        <v>10</v>
      </c>
      <c r="F7351">
        <v>6305</v>
      </c>
    </row>
    <row r="7352" spans="1:6" x14ac:dyDescent="0.25">
      <c r="A7352" t="s">
        <v>13735</v>
      </c>
      <c r="C7352" s="1">
        <v>44083</v>
      </c>
      <c r="D7352" t="b">
        <v>1</v>
      </c>
      <c r="E7352" t="s">
        <v>10</v>
      </c>
      <c r="F7352">
        <v>16093</v>
      </c>
    </row>
    <row r="7353" spans="1:6" x14ac:dyDescent="0.25">
      <c r="A7353" t="s">
        <v>13736</v>
      </c>
      <c r="C7353" s="1">
        <v>44083</v>
      </c>
      <c r="D7353" t="b">
        <v>1</v>
      </c>
      <c r="E7353" t="s">
        <v>10</v>
      </c>
      <c r="F7353">
        <v>14485</v>
      </c>
    </row>
    <row r="7354" spans="1:6" x14ac:dyDescent="0.25">
      <c r="A7354" t="s">
        <v>13737</v>
      </c>
      <c r="B7354" t="s">
        <v>13738</v>
      </c>
      <c r="C7354" s="1">
        <v>44083</v>
      </c>
      <c r="D7354" t="b">
        <v>1</v>
      </c>
      <c r="E7354" t="s">
        <v>10</v>
      </c>
      <c r="F7354">
        <v>6307</v>
      </c>
    </row>
    <row r="7355" spans="1:6" x14ac:dyDescent="0.25">
      <c r="A7355" t="s">
        <v>13739</v>
      </c>
      <c r="B7355" t="s">
        <v>13740</v>
      </c>
      <c r="C7355" s="1">
        <v>44083</v>
      </c>
      <c r="D7355" t="b">
        <v>1</v>
      </c>
      <c r="E7355" t="s">
        <v>10</v>
      </c>
      <c r="F7355">
        <v>6308</v>
      </c>
    </row>
    <row r="7356" spans="1:6" x14ac:dyDescent="0.25">
      <c r="A7356" t="s">
        <v>13741</v>
      </c>
      <c r="B7356" t="s">
        <v>13742</v>
      </c>
      <c r="C7356" s="1">
        <v>44083</v>
      </c>
      <c r="D7356" t="b">
        <v>1</v>
      </c>
      <c r="E7356" t="s">
        <v>10</v>
      </c>
      <c r="F7356">
        <v>6309</v>
      </c>
    </row>
    <row r="7357" spans="1:6" x14ac:dyDescent="0.25">
      <c r="A7357" t="s">
        <v>13743</v>
      </c>
      <c r="B7357" t="s">
        <v>13744</v>
      </c>
      <c r="C7357" s="1">
        <v>44083</v>
      </c>
      <c r="D7357" t="b">
        <v>1</v>
      </c>
      <c r="E7357" t="s">
        <v>10</v>
      </c>
      <c r="F7357">
        <v>6310</v>
      </c>
    </row>
    <row r="7358" spans="1:6" x14ac:dyDescent="0.25">
      <c r="A7358" t="s">
        <v>13745</v>
      </c>
      <c r="B7358" t="s">
        <v>13746</v>
      </c>
      <c r="C7358" s="1">
        <v>44083</v>
      </c>
      <c r="D7358" t="b">
        <v>1</v>
      </c>
      <c r="E7358" t="s">
        <v>10</v>
      </c>
      <c r="F7358">
        <v>6311</v>
      </c>
    </row>
    <row r="7359" spans="1:6" x14ac:dyDescent="0.25">
      <c r="A7359" t="s">
        <v>13747</v>
      </c>
      <c r="B7359" t="s">
        <v>13748</v>
      </c>
      <c r="C7359" s="1">
        <v>44083</v>
      </c>
      <c r="D7359" t="b">
        <v>1</v>
      </c>
      <c r="E7359" t="s">
        <v>10</v>
      </c>
      <c r="F7359">
        <v>6313</v>
      </c>
    </row>
    <row r="7360" spans="1:6" x14ac:dyDescent="0.25">
      <c r="A7360" t="s">
        <v>13749</v>
      </c>
      <c r="B7360" t="s">
        <v>13750</v>
      </c>
      <c r="C7360" s="1">
        <v>44083</v>
      </c>
      <c r="D7360" t="b">
        <v>1</v>
      </c>
      <c r="E7360" t="s">
        <v>10</v>
      </c>
      <c r="F7360">
        <v>6316</v>
      </c>
    </row>
    <row r="7361" spans="1:6" x14ac:dyDescent="0.25">
      <c r="A7361" t="s">
        <v>13751</v>
      </c>
      <c r="B7361" t="s">
        <v>13752</v>
      </c>
      <c r="C7361" s="1">
        <v>44083</v>
      </c>
      <c r="D7361" t="b">
        <v>1</v>
      </c>
      <c r="E7361" t="s">
        <v>10</v>
      </c>
      <c r="F7361">
        <v>9494</v>
      </c>
    </row>
    <row r="7362" spans="1:6" x14ac:dyDescent="0.25">
      <c r="A7362" t="s">
        <v>13753</v>
      </c>
      <c r="B7362" t="s">
        <v>13754</v>
      </c>
      <c r="C7362" s="1">
        <v>44083</v>
      </c>
      <c r="D7362" t="b">
        <v>1</v>
      </c>
      <c r="E7362" t="s">
        <v>10</v>
      </c>
      <c r="F7362">
        <v>6318</v>
      </c>
    </row>
    <row r="7363" spans="1:6" x14ac:dyDescent="0.25">
      <c r="A7363" t="s">
        <v>13755</v>
      </c>
      <c r="B7363" t="s">
        <v>13756</v>
      </c>
      <c r="C7363" s="1">
        <v>44083</v>
      </c>
      <c r="D7363" t="b">
        <v>1</v>
      </c>
      <c r="E7363" t="s">
        <v>10</v>
      </c>
      <c r="F7363">
        <v>6320</v>
      </c>
    </row>
    <row r="7364" spans="1:6" x14ac:dyDescent="0.25">
      <c r="A7364" t="s">
        <v>13757</v>
      </c>
      <c r="B7364" t="s">
        <v>13758</v>
      </c>
      <c r="C7364" s="1">
        <v>44083</v>
      </c>
      <c r="D7364" t="b">
        <v>1</v>
      </c>
      <c r="E7364" t="s">
        <v>10</v>
      </c>
      <c r="F7364">
        <v>6321</v>
      </c>
    </row>
    <row r="7365" spans="1:6" x14ac:dyDescent="0.25">
      <c r="A7365" t="s">
        <v>13759</v>
      </c>
      <c r="B7365" t="s">
        <v>13760</v>
      </c>
      <c r="C7365" s="1">
        <v>44083</v>
      </c>
      <c r="D7365" t="b">
        <v>1</v>
      </c>
      <c r="E7365" t="s">
        <v>10</v>
      </c>
      <c r="F7365">
        <v>9320</v>
      </c>
    </row>
    <row r="7366" spans="1:6" x14ac:dyDescent="0.25">
      <c r="A7366" t="s">
        <v>13761</v>
      </c>
      <c r="B7366" t="s">
        <v>13762</v>
      </c>
      <c r="C7366" s="1">
        <v>44083</v>
      </c>
      <c r="D7366" t="b">
        <v>1</v>
      </c>
      <c r="E7366" t="s">
        <v>10</v>
      </c>
      <c r="F7366">
        <v>6322</v>
      </c>
    </row>
    <row r="7367" spans="1:6" x14ac:dyDescent="0.25">
      <c r="A7367" t="s">
        <v>13763</v>
      </c>
      <c r="B7367" t="s">
        <v>13764</v>
      </c>
      <c r="C7367" s="1">
        <v>44083</v>
      </c>
      <c r="D7367" t="b">
        <v>1</v>
      </c>
      <c r="E7367" t="s">
        <v>10</v>
      </c>
      <c r="F7367">
        <v>6323</v>
      </c>
    </row>
    <row r="7368" spans="1:6" x14ac:dyDescent="0.25">
      <c r="A7368" t="s">
        <v>13765</v>
      </c>
      <c r="B7368" t="s">
        <v>13766</v>
      </c>
      <c r="C7368" s="1">
        <v>44083</v>
      </c>
      <c r="D7368" t="b">
        <v>1</v>
      </c>
      <c r="E7368" t="s">
        <v>10</v>
      </c>
      <c r="F7368">
        <v>6325</v>
      </c>
    </row>
    <row r="7369" spans="1:6" x14ac:dyDescent="0.25">
      <c r="A7369" t="s">
        <v>13767</v>
      </c>
      <c r="B7369" t="s">
        <v>13768</v>
      </c>
      <c r="C7369" s="1">
        <v>44083</v>
      </c>
      <c r="D7369" t="b">
        <v>1</v>
      </c>
      <c r="E7369" t="s">
        <v>10</v>
      </c>
      <c r="F7369">
        <v>6326</v>
      </c>
    </row>
    <row r="7370" spans="1:6" x14ac:dyDescent="0.25">
      <c r="A7370" t="s">
        <v>13769</v>
      </c>
      <c r="B7370" t="s">
        <v>13770</v>
      </c>
      <c r="C7370" s="1">
        <v>44083</v>
      </c>
      <c r="D7370" t="b">
        <v>1</v>
      </c>
      <c r="E7370" t="s">
        <v>10</v>
      </c>
      <c r="F7370">
        <v>6327</v>
      </c>
    </row>
    <row r="7371" spans="1:6" x14ac:dyDescent="0.25">
      <c r="A7371" t="s">
        <v>13771</v>
      </c>
      <c r="B7371" t="s">
        <v>13772</v>
      </c>
      <c r="C7371" s="1">
        <v>44083</v>
      </c>
      <c r="D7371" t="b">
        <v>1</v>
      </c>
      <c r="E7371" t="s">
        <v>10</v>
      </c>
      <c r="F7371">
        <v>4727</v>
      </c>
    </row>
    <row r="7372" spans="1:6" x14ac:dyDescent="0.25">
      <c r="A7372" t="s">
        <v>13773</v>
      </c>
      <c r="B7372" t="s">
        <v>13774</v>
      </c>
      <c r="C7372" s="1">
        <v>44083</v>
      </c>
      <c r="D7372" t="b">
        <v>1</v>
      </c>
      <c r="E7372" t="s">
        <v>10</v>
      </c>
      <c r="F7372">
        <v>13975</v>
      </c>
    </row>
    <row r="7373" spans="1:6" x14ac:dyDescent="0.25">
      <c r="A7373" t="s">
        <v>13775</v>
      </c>
      <c r="B7373" t="s">
        <v>13776</v>
      </c>
      <c r="C7373" s="1">
        <v>44083</v>
      </c>
      <c r="D7373" t="b">
        <v>1</v>
      </c>
      <c r="E7373" t="s">
        <v>10</v>
      </c>
      <c r="F7373">
        <v>6328</v>
      </c>
    </row>
    <row r="7374" spans="1:6" x14ac:dyDescent="0.25">
      <c r="A7374" t="s">
        <v>13777</v>
      </c>
      <c r="B7374" t="s">
        <v>13778</v>
      </c>
      <c r="C7374" s="1">
        <v>44083</v>
      </c>
      <c r="D7374" t="b">
        <v>1</v>
      </c>
      <c r="E7374" t="s">
        <v>10</v>
      </c>
      <c r="F7374">
        <v>6329</v>
      </c>
    </row>
    <row r="7375" spans="1:6" x14ac:dyDescent="0.25">
      <c r="A7375" t="s">
        <v>13779</v>
      </c>
      <c r="C7375" s="1">
        <v>44083</v>
      </c>
      <c r="D7375" t="b">
        <v>1</v>
      </c>
      <c r="E7375" t="s">
        <v>10</v>
      </c>
      <c r="F7375">
        <v>6330</v>
      </c>
    </row>
    <row r="7376" spans="1:6" x14ac:dyDescent="0.25">
      <c r="A7376" t="s">
        <v>13780</v>
      </c>
      <c r="B7376" t="s">
        <v>13781</v>
      </c>
      <c r="C7376" s="1">
        <v>44083</v>
      </c>
      <c r="D7376" t="b">
        <v>1</v>
      </c>
      <c r="E7376" t="s">
        <v>10</v>
      </c>
      <c r="F7376">
        <v>15441</v>
      </c>
    </row>
    <row r="7377" spans="1:6" x14ac:dyDescent="0.25">
      <c r="A7377" t="s">
        <v>13782</v>
      </c>
      <c r="B7377" t="s">
        <v>13783</v>
      </c>
      <c r="C7377" s="1">
        <v>44083</v>
      </c>
      <c r="D7377" t="b">
        <v>1</v>
      </c>
      <c r="E7377" t="s">
        <v>10</v>
      </c>
      <c r="F7377">
        <v>13327</v>
      </c>
    </row>
    <row r="7378" spans="1:6" x14ac:dyDescent="0.25">
      <c r="A7378" t="s">
        <v>13784</v>
      </c>
      <c r="B7378" t="s">
        <v>13785</v>
      </c>
      <c r="C7378" s="1">
        <v>44083</v>
      </c>
      <c r="D7378" t="b">
        <v>1</v>
      </c>
      <c r="E7378" t="s">
        <v>10</v>
      </c>
      <c r="F7378">
        <v>6331</v>
      </c>
    </row>
    <row r="7379" spans="1:6" x14ac:dyDescent="0.25">
      <c r="A7379" t="s">
        <v>13786</v>
      </c>
      <c r="B7379" t="s">
        <v>13787</v>
      </c>
      <c r="C7379" s="1">
        <v>44083</v>
      </c>
      <c r="D7379" t="b">
        <v>1</v>
      </c>
      <c r="E7379" t="s">
        <v>10</v>
      </c>
      <c r="F7379">
        <v>6334</v>
      </c>
    </row>
    <row r="7380" spans="1:6" x14ac:dyDescent="0.25">
      <c r="A7380" t="s">
        <v>13788</v>
      </c>
      <c r="C7380" s="1">
        <v>44083</v>
      </c>
      <c r="D7380" t="b">
        <v>1</v>
      </c>
      <c r="E7380" t="s">
        <v>10</v>
      </c>
      <c r="F7380">
        <v>6336</v>
      </c>
    </row>
    <row r="7381" spans="1:6" x14ac:dyDescent="0.25">
      <c r="A7381" t="s">
        <v>13789</v>
      </c>
      <c r="B7381" t="s">
        <v>13790</v>
      </c>
      <c r="C7381" s="1">
        <v>44083</v>
      </c>
      <c r="D7381" t="b">
        <v>1</v>
      </c>
      <c r="E7381" t="s">
        <v>10</v>
      </c>
      <c r="F7381">
        <v>17118</v>
      </c>
    </row>
    <row r="7382" spans="1:6" x14ac:dyDescent="0.25">
      <c r="A7382" t="s">
        <v>13791</v>
      </c>
      <c r="B7382" t="s">
        <v>13792</v>
      </c>
      <c r="C7382" s="1">
        <v>44083</v>
      </c>
      <c r="D7382" t="b">
        <v>1</v>
      </c>
      <c r="E7382" t="s">
        <v>10</v>
      </c>
      <c r="F7382">
        <v>8709</v>
      </c>
    </row>
    <row r="7383" spans="1:6" x14ac:dyDescent="0.25">
      <c r="A7383" t="s">
        <v>13793</v>
      </c>
      <c r="B7383" t="s">
        <v>13794</v>
      </c>
      <c r="C7383" s="1">
        <v>44083</v>
      </c>
      <c r="D7383" t="b">
        <v>1</v>
      </c>
      <c r="E7383" t="s">
        <v>10</v>
      </c>
      <c r="F7383">
        <v>6337</v>
      </c>
    </row>
    <row r="7384" spans="1:6" x14ac:dyDescent="0.25">
      <c r="A7384" t="s">
        <v>13795</v>
      </c>
      <c r="B7384" t="s">
        <v>13796</v>
      </c>
      <c r="C7384" s="1">
        <v>44083</v>
      </c>
      <c r="D7384" t="b">
        <v>1</v>
      </c>
      <c r="E7384" t="s">
        <v>10</v>
      </c>
      <c r="F7384">
        <v>8013</v>
      </c>
    </row>
    <row r="7385" spans="1:6" x14ac:dyDescent="0.25">
      <c r="A7385" t="s">
        <v>13797</v>
      </c>
      <c r="B7385" t="s">
        <v>13798</v>
      </c>
      <c r="C7385" s="1">
        <v>44083</v>
      </c>
      <c r="D7385" t="b">
        <v>1</v>
      </c>
      <c r="E7385" t="s">
        <v>10</v>
      </c>
      <c r="F7385">
        <v>16546</v>
      </c>
    </row>
    <row r="7386" spans="1:6" x14ac:dyDescent="0.25">
      <c r="A7386" t="s">
        <v>13799</v>
      </c>
      <c r="B7386" t="s">
        <v>13800</v>
      </c>
      <c r="C7386" s="1">
        <v>44083</v>
      </c>
      <c r="D7386" t="b">
        <v>1</v>
      </c>
      <c r="E7386" t="s">
        <v>10</v>
      </c>
      <c r="F7386">
        <v>6339</v>
      </c>
    </row>
    <row r="7387" spans="1:6" x14ac:dyDescent="0.25">
      <c r="A7387" t="s">
        <v>13801</v>
      </c>
      <c r="B7387" t="s">
        <v>13802</v>
      </c>
      <c r="C7387" s="1">
        <v>44083</v>
      </c>
      <c r="D7387" t="b">
        <v>1</v>
      </c>
      <c r="E7387" t="s">
        <v>10</v>
      </c>
      <c r="F7387">
        <v>9664</v>
      </c>
    </row>
    <row r="7388" spans="1:6" x14ac:dyDescent="0.25">
      <c r="A7388" t="s">
        <v>13803</v>
      </c>
      <c r="B7388" t="s">
        <v>13804</v>
      </c>
      <c r="C7388" s="1">
        <v>44083</v>
      </c>
      <c r="D7388" t="b">
        <v>1</v>
      </c>
      <c r="E7388" t="s">
        <v>10</v>
      </c>
      <c r="F7388">
        <v>2749</v>
      </c>
    </row>
    <row r="7389" spans="1:6" x14ac:dyDescent="0.25">
      <c r="A7389" t="s">
        <v>13805</v>
      </c>
      <c r="B7389" t="s">
        <v>13806</v>
      </c>
      <c r="C7389" s="1">
        <v>44083</v>
      </c>
      <c r="D7389" t="b">
        <v>1</v>
      </c>
      <c r="E7389" t="s">
        <v>10</v>
      </c>
      <c r="F7389">
        <v>14551</v>
      </c>
    </row>
    <row r="7390" spans="1:6" x14ac:dyDescent="0.25">
      <c r="A7390" t="s">
        <v>13807</v>
      </c>
      <c r="B7390" t="s">
        <v>13808</v>
      </c>
      <c r="C7390" s="1">
        <v>44083</v>
      </c>
      <c r="D7390" t="b">
        <v>1</v>
      </c>
      <c r="E7390" t="s">
        <v>10</v>
      </c>
      <c r="F7390">
        <v>6343</v>
      </c>
    </row>
    <row r="7391" spans="1:6" x14ac:dyDescent="0.25">
      <c r="A7391" t="s">
        <v>13809</v>
      </c>
      <c r="B7391" t="s">
        <v>13810</v>
      </c>
      <c r="C7391" s="1">
        <v>44083</v>
      </c>
      <c r="D7391" t="b">
        <v>1</v>
      </c>
      <c r="E7391" t="s">
        <v>10</v>
      </c>
      <c r="F7391">
        <v>6344</v>
      </c>
    </row>
    <row r="7392" spans="1:6" x14ac:dyDescent="0.25">
      <c r="A7392" t="s">
        <v>13811</v>
      </c>
      <c r="B7392" t="s">
        <v>13812</v>
      </c>
      <c r="C7392" s="1">
        <v>44083</v>
      </c>
      <c r="D7392" t="b">
        <v>1</v>
      </c>
      <c r="E7392" t="s">
        <v>10</v>
      </c>
      <c r="F7392">
        <v>6345</v>
      </c>
    </row>
    <row r="7393" spans="1:6" x14ac:dyDescent="0.25">
      <c r="A7393" t="s">
        <v>13813</v>
      </c>
      <c r="B7393" t="s">
        <v>13814</v>
      </c>
      <c r="C7393" s="1">
        <v>44083</v>
      </c>
      <c r="D7393" t="b">
        <v>1</v>
      </c>
      <c r="E7393" t="s">
        <v>10</v>
      </c>
      <c r="F7393">
        <v>6347</v>
      </c>
    </row>
    <row r="7394" spans="1:6" x14ac:dyDescent="0.25">
      <c r="A7394" t="s">
        <v>13815</v>
      </c>
      <c r="B7394" t="s">
        <v>13816</v>
      </c>
      <c r="C7394" s="1">
        <v>44083</v>
      </c>
      <c r="D7394" t="b">
        <v>1</v>
      </c>
      <c r="E7394" t="s">
        <v>10</v>
      </c>
      <c r="F7394">
        <v>6349</v>
      </c>
    </row>
    <row r="7395" spans="1:6" x14ac:dyDescent="0.25">
      <c r="A7395" t="s">
        <v>13817</v>
      </c>
      <c r="B7395" t="s">
        <v>13818</v>
      </c>
      <c r="C7395" s="1">
        <v>44083</v>
      </c>
      <c r="D7395" t="b">
        <v>1</v>
      </c>
      <c r="E7395" t="s">
        <v>10</v>
      </c>
      <c r="F7395">
        <v>6350</v>
      </c>
    </row>
    <row r="7396" spans="1:6" x14ac:dyDescent="0.25">
      <c r="A7396" t="s">
        <v>13819</v>
      </c>
      <c r="B7396" t="s">
        <v>13820</v>
      </c>
      <c r="C7396" s="1">
        <v>44083</v>
      </c>
      <c r="D7396" t="b">
        <v>1</v>
      </c>
      <c r="E7396" t="s">
        <v>10</v>
      </c>
      <c r="F7396">
        <v>6351</v>
      </c>
    </row>
    <row r="7397" spans="1:6" x14ac:dyDescent="0.25">
      <c r="A7397" t="s">
        <v>13821</v>
      </c>
      <c r="B7397" t="s">
        <v>13822</v>
      </c>
      <c r="C7397" s="1">
        <v>44083</v>
      </c>
      <c r="D7397" t="b">
        <v>1</v>
      </c>
      <c r="E7397" t="s">
        <v>10</v>
      </c>
      <c r="F7397">
        <v>6352</v>
      </c>
    </row>
    <row r="7398" spans="1:6" x14ac:dyDescent="0.25">
      <c r="A7398" t="s">
        <v>13823</v>
      </c>
      <c r="B7398" t="s">
        <v>13824</v>
      </c>
      <c r="C7398" s="1">
        <v>44083</v>
      </c>
      <c r="D7398" t="b">
        <v>1</v>
      </c>
      <c r="E7398" t="s">
        <v>10</v>
      </c>
      <c r="F7398">
        <v>14314</v>
      </c>
    </row>
    <row r="7399" spans="1:6" x14ac:dyDescent="0.25">
      <c r="A7399" t="s">
        <v>13825</v>
      </c>
      <c r="B7399" t="s">
        <v>13826</v>
      </c>
      <c r="C7399" s="1">
        <v>44083</v>
      </c>
      <c r="D7399" t="b">
        <v>1</v>
      </c>
      <c r="E7399" t="s">
        <v>10</v>
      </c>
      <c r="F7399">
        <v>6354</v>
      </c>
    </row>
    <row r="7400" spans="1:6" x14ac:dyDescent="0.25">
      <c r="A7400" t="s">
        <v>13827</v>
      </c>
      <c r="B7400" t="s">
        <v>13828</v>
      </c>
      <c r="C7400" s="1">
        <v>44083</v>
      </c>
      <c r="D7400" t="b">
        <v>1</v>
      </c>
      <c r="E7400" t="s">
        <v>10</v>
      </c>
      <c r="F7400">
        <v>6355</v>
      </c>
    </row>
    <row r="7401" spans="1:6" x14ac:dyDescent="0.25">
      <c r="A7401" t="s">
        <v>13829</v>
      </c>
      <c r="B7401" t="s">
        <v>13830</v>
      </c>
      <c r="C7401" s="1">
        <v>44083</v>
      </c>
      <c r="D7401" t="b">
        <v>1</v>
      </c>
      <c r="E7401" t="s">
        <v>10</v>
      </c>
      <c r="F7401">
        <v>10951</v>
      </c>
    </row>
    <row r="7402" spans="1:6" x14ac:dyDescent="0.25">
      <c r="A7402" t="s">
        <v>13831</v>
      </c>
      <c r="B7402" t="s">
        <v>13832</v>
      </c>
      <c r="C7402" s="1">
        <v>44083</v>
      </c>
      <c r="D7402" t="b">
        <v>1</v>
      </c>
      <c r="E7402" t="s">
        <v>10</v>
      </c>
      <c r="F7402">
        <v>6356</v>
      </c>
    </row>
    <row r="7403" spans="1:6" x14ac:dyDescent="0.25">
      <c r="A7403" t="s">
        <v>13833</v>
      </c>
      <c r="B7403" t="s">
        <v>13834</v>
      </c>
      <c r="C7403" s="1">
        <v>44083</v>
      </c>
      <c r="D7403" t="b">
        <v>1</v>
      </c>
      <c r="E7403" t="s">
        <v>10</v>
      </c>
      <c r="F7403">
        <v>9933</v>
      </c>
    </row>
    <row r="7404" spans="1:6" x14ac:dyDescent="0.25">
      <c r="A7404" t="s">
        <v>13835</v>
      </c>
      <c r="B7404" t="s">
        <v>13836</v>
      </c>
      <c r="C7404" s="1">
        <v>44083</v>
      </c>
      <c r="D7404" t="b">
        <v>1</v>
      </c>
      <c r="E7404" t="s">
        <v>10</v>
      </c>
      <c r="F7404">
        <v>6357</v>
      </c>
    </row>
    <row r="7405" spans="1:6" x14ac:dyDescent="0.25">
      <c r="A7405" t="s">
        <v>13837</v>
      </c>
      <c r="B7405" t="s">
        <v>13838</v>
      </c>
      <c r="C7405" s="1">
        <v>44083</v>
      </c>
      <c r="D7405" t="b">
        <v>1</v>
      </c>
      <c r="E7405" t="s">
        <v>10</v>
      </c>
      <c r="F7405">
        <v>9727</v>
      </c>
    </row>
    <row r="7406" spans="1:6" x14ac:dyDescent="0.25">
      <c r="A7406" t="s">
        <v>13839</v>
      </c>
      <c r="B7406" t="s">
        <v>13840</v>
      </c>
      <c r="C7406" s="1">
        <v>44083</v>
      </c>
      <c r="D7406" t="b">
        <v>1</v>
      </c>
      <c r="E7406" t="s">
        <v>10</v>
      </c>
      <c r="F7406">
        <v>16467</v>
      </c>
    </row>
    <row r="7407" spans="1:6" x14ac:dyDescent="0.25">
      <c r="A7407" t="s">
        <v>13841</v>
      </c>
      <c r="B7407" t="s">
        <v>13842</v>
      </c>
      <c r="C7407" s="1">
        <v>44083</v>
      </c>
      <c r="D7407" t="b">
        <v>1</v>
      </c>
      <c r="E7407" t="s">
        <v>10</v>
      </c>
      <c r="F7407">
        <v>6358</v>
      </c>
    </row>
    <row r="7408" spans="1:6" x14ac:dyDescent="0.25">
      <c r="A7408" t="s">
        <v>13843</v>
      </c>
      <c r="B7408" t="s">
        <v>13844</v>
      </c>
      <c r="C7408" s="1">
        <v>44083</v>
      </c>
      <c r="D7408" t="b">
        <v>1</v>
      </c>
      <c r="E7408" t="s">
        <v>10</v>
      </c>
      <c r="F7408">
        <v>8692</v>
      </c>
    </row>
    <row r="7409" spans="1:6" x14ac:dyDescent="0.25">
      <c r="A7409" t="s">
        <v>13845</v>
      </c>
      <c r="B7409" t="s">
        <v>13846</v>
      </c>
      <c r="C7409" s="1">
        <v>44083</v>
      </c>
      <c r="D7409" t="b">
        <v>1</v>
      </c>
      <c r="E7409" t="s">
        <v>10</v>
      </c>
      <c r="F7409">
        <v>6360</v>
      </c>
    </row>
    <row r="7410" spans="1:6" x14ac:dyDescent="0.25">
      <c r="A7410" t="s">
        <v>13847</v>
      </c>
      <c r="B7410" t="s">
        <v>13848</v>
      </c>
      <c r="C7410" s="1">
        <v>44083</v>
      </c>
      <c r="D7410" t="b">
        <v>1</v>
      </c>
      <c r="E7410" t="s">
        <v>10</v>
      </c>
      <c r="F7410">
        <v>6361</v>
      </c>
    </row>
    <row r="7411" spans="1:6" x14ac:dyDescent="0.25">
      <c r="A7411" t="s">
        <v>13849</v>
      </c>
      <c r="B7411" t="s">
        <v>13850</v>
      </c>
      <c r="C7411" s="1">
        <v>44083</v>
      </c>
      <c r="D7411" t="b">
        <v>1</v>
      </c>
      <c r="E7411" t="s">
        <v>10</v>
      </c>
      <c r="F7411">
        <v>6362</v>
      </c>
    </row>
    <row r="7412" spans="1:6" x14ac:dyDescent="0.25">
      <c r="A7412" t="s">
        <v>13851</v>
      </c>
      <c r="B7412" t="s">
        <v>13852</v>
      </c>
      <c r="C7412" s="1">
        <v>44083</v>
      </c>
      <c r="D7412" t="b">
        <v>1</v>
      </c>
      <c r="E7412" t="s">
        <v>10</v>
      </c>
      <c r="F7412">
        <v>15214</v>
      </c>
    </row>
    <row r="7413" spans="1:6" x14ac:dyDescent="0.25">
      <c r="A7413" t="s">
        <v>13853</v>
      </c>
      <c r="B7413" t="s">
        <v>13854</v>
      </c>
      <c r="C7413" s="1">
        <v>44083</v>
      </c>
      <c r="D7413" t="b">
        <v>1</v>
      </c>
      <c r="E7413" t="s">
        <v>10</v>
      </c>
      <c r="F7413">
        <v>12940</v>
      </c>
    </row>
    <row r="7414" spans="1:6" x14ac:dyDescent="0.25">
      <c r="A7414" t="s">
        <v>13855</v>
      </c>
      <c r="B7414" t="s">
        <v>13856</v>
      </c>
      <c r="C7414" s="1">
        <v>44083</v>
      </c>
      <c r="D7414" t="b">
        <v>1</v>
      </c>
      <c r="E7414" t="s">
        <v>10</v>
      </c>
      <c r="F7414">
        <v>6364</v>
      </c>
    </row>
    <row r="7415" spans="1:6" x14ac:dyDescent="0.25">
      <c r="A7415" t="s">
        <v>13857</v>
      </c>
      <c r="B7415" t="s">
        <v>13858</v>
      </c>
      <c r="C7415" s="1">
        <v>44083</v>
      </c>
      <c r="D7415" t="b">
        <v>1</v>
      </c>
      <c r="E7415" t="s">
        <v>10</v>
      </c>
      <c r="F7415">
        <v>6365</v>
      </c>
    </row>
    <row r="7416" spans="1:6" x14ac:dyDescent="0.25">
      <c r="A7416" t="s">
        <v>13859</v>
      </c>
      <c r="B7416" t="s">
        <v>13860</v>
      </c>
      <c r="C7416" s="1">
        <v>44083</v>
      </c>
      <c r="D7416" t="b">
        <v>1</v>
      </c>
      <c r="E7416" t="s">
        <v>10</v>
      </c>
      <c r="F7416">
        <v>9950</v>
      </c>
    </row>
    <row r="7417" spans="1:6" x14ac:dyDescent="0.25">
      <c r="A7417" t="s">
        <v>13861</v>
      </c>
      <c r="B7417" t="s">
        <v>13862</v>
      </c>
      <c r="C7417" s="1">
        <v>44083</v>
      </c>
      <c r="D7417" t="b">
        <v>1</v>
      </c>
      <c r="E7417" t="s">
        <v>10</v>
      </c>
      <c r="F7417">
        <v>9100</v>
      </c>
    </row>
    <row r="7418" spans="1:6" x14ac:dyDescent="0.25">
      <c r="A7418" t="s">
        <v>13863</v>
      </c>
      <c r="B7418" t="s">
        <v>13864</v>
      </c>
      <c r="C7418" s="1">
        <v>44083</v>
      </c>
      <c r="D7418" t="b">
        <v>1</v>
      </c>
      <c r="E7418" t="s">
        <v>10</v>
      </c>
      <c r="F7418">
        <v>6367</v>
      </c>
    </row>
    <row r="7419" spans="1:6" x14ac:dyDescent="0.25">
      <c r="A7419" t="s">
        <v>13865</v>
      </c>
      <c r="B7419" t="s">
        <v>13866</v>
      </c>
      <c r="C7419" s="1">
        <v>44083</v>
      </c>
      <c r="D7419" t="b">
        <v>1</v>
      </c>
      <c r="E7419" t="s">
        <v>10</v>
      </c>
      <c r="F7419">
        <v>6368</v>
      </c>
    </row>
    <row r="7420" spans="1:6" x14ac:dyDescent="0.25">
      <c r="A7420" t="s">
        <v>13867</v>
      </c>
      <c r="B7420" t="s">
        <v>13868</v>
      </c>
      <c r="C7420" s="1">
        <v>44083</v>
      </c>
      <c r="D7420" t="b">
        <v>1</v>
      </c>
      <c r="E7420" t="s">
        <v>10</v>
      </c>
      <c r="F7420">
        <v>6369</v>
      </c>
    </row>
    <row r="7421" spans="1:6" x14ac:dyDescent="0.25">
      <c r="A7421" t="s">
        <v>13869</v>
      </c>
      <c r="B7421" t="s">
        <v>13870</v>
      </c>
      <c r="C7421" s="1">
        <v>44083</v>
      </c>
      <c r="D7421" t="b">
        <v>1</v>
      </c>
      <c r="E7421" t="s">
        <v>10</v>
      </c>
      <c r="F7421">
        <v>15972</v>
      </c>
    </row>
    <row r="7422" spans="1:6" x14ac:dyDescent="0.25">
      <c r="A7422" t="s">
        <v>13871</v>
      </c>
      <c r="B7422" t="s">
        <v>13872</v>
      </c>
      <c r="C7422" s="1">
        <v>44083</v>
      </c>
      <c r="D7422" t="b">
        <v>1</v>
      </c>
      <c r="E7422" t="s">
        <v>10</v>
      </c>
      <c r="F7422">
        <v>15811</v>
      </c>
    </row>
    <row r="7423" spans="1:6" x14ac:dyDescent="0.25">
      <c r="A7423" t="s">
        <v>13873</v>
      </c>
      <c r="C7423" s="1">
        <v>44083</v>
      </c>
      <c r="D7423" t="b">
        <v>1</v>
      </c>
      <c r="E7423" t="s">
        <v>10</v>
      </c>
      <c r="F7423">
        <v>15975</v>
      </c>
    </row>
    <row r="7424" spans="1:6" x14ac:dyDescent="0.25">
      <c r="A7424" t="s">
        <v>13874</v>
      </c>
      <c r="B7424" t="s">
        <v>13875</v>
      </c>
      <c r="C7424" s="1">
        <v>44083</v>
      </c>
      <c r="D7424" t="b">
        <v>1</v>
      </c>
      <c r="E7424" t="s">
        <v>10</v>
      </c>
      <c r="F7424">
        <v>13099</v>
      </c>
    </row>
    <row r="7425" spans="1:6" x14ac:dyDescent="0.25">
      <c r="A7425" t="s">
        <v>13876</v>
      </c>
      <c r="B7425" t="s">
        <v>13877</v>
      </c>
      <c r="C7425" s="1">
        <v>44083</v>
      </c>
      <c r="D7425" t="b">
        <v>1</v>
      </c>
      <c r="E7425" t="s">
        <v>10</v>
      </c>
      <c r="F7425">
        <v>6370</v>
      </c>
    </row>
    <row r="7426" spans="1:6" x14ac:dyDescent="0.25">
      <c r="A7426" t="s">
        <v>13878</v>
      </c>
      <c r="B7426" t="s">
        <v>13879</v>
      </c>
      <c r="C7426" s="1">
        <v>44083</v>
      </c>
      <c r="D7426" t="b">
        <v>1</v>
      </c>
      <c r="E7426" t="s">
        <v>10</v>
      </c>
      <c r="F7426">
        <v>9718</v>
      </c>
    </row>
    <row r="7427" spans="1:6" x14ac:dyDescent="0.25">
      <c r="A7427" t="s">
        <v>13880</v>
      </c>
      <c r="B7427" t="s">
        <v>13881</v>
      </c>
      <c r="C7427" s="1">
        <v>44083</v>
      </c>
      <c r="D7427" t="b">
        <v>1</v>
      </c>
      <c r="E7427" t="s">
        <v>10</v>
      </c>
      <c r="F7427">
        <v>6371</v>
      </c>
    </row>
    <row r="7428" spans="1:6" x14ac:dyDescent="0.25">
      <c r="A7428" t="s">
        <v>13882</v>
      </c>
      <c r="B7428" t="s">
        <v>13860</v>
      </c>
      <c r="C7428" s="1">
        <v>44083</v>
      </c>
      <c r="D7428" t="b">
        <v>1</v>
      </c>
      <c r="E7428" t="s">
        <v>10</v>
      </c>
      <c r="F7428">
        <v>11800</v>
      </c>
    </row>
    <row r="7429" spans="1:6" x14ac:dyDescent="0.25">
      <c r="A7429" t="s">
        <v>13883</v>
      </c>
      <c r="B7429" t="s">
        <v>13884</v>
      </c>
      <c r="C7429" s="1">
        <v>44083</v>
      </c>
      <c r="D7429" t="b">
        <v>1</v>
      </c>
      <c r="E7429" t="s">
        <v>10</v>
      </c>
      <c r="F7429">
        <v>6372</v>
      </c>
    </row>
    <row r="7430" spans="1:6" x14ac:dyDescent="0.25">
      <c r="A7430" t="s">
        <v>13885</v>
      </c>
      <c r="B7430" t="s">
        <v>13886</v>
      </c>
      <c r="C7430" s="1">
        <v>44083</v>
      </c>
      <c r="D7430" t="b">
        <v>1</v>
      </c>
      <c r="E7430" t="s">
        <v>10</v>
      </c>
      <c r="F7430">
        <v>2822</v>
      </c>
    </row>
    <row r="7431" spans="1:6" x14ac:dyDescent="0.25">
      <c r="A7431" t="s">
        <v>13887</v>
      </c>
      <c r="B7431" t="s">
        <v>13888</v>
      </c>
      <c r="C7431" s="1">
        <v>44083</v>
      </c>
      <c r="D7431" t="b">
        <v>1</v>
      </c>
      <c r="E7431" t="s">
        <v>10</v>
      </c>
      <c r="F7431">
        <v>6373</v>
      </c>
    </row>
    <row r="7432" spans="1:6" x14ac:dyDescent="0.25">
      <c r="A7432" t="s">
        <v>13889</v>
      </c>
      <c r="B7432" t="s">
        <v>13890</v>
      </c>
      <c r="C7432" s="1">
        <v>44083</v>
      </c>
      <c r="D7432" t="b">
        <v>1</v>
      </c>
      <c r="E7432" t="s">
        <v>10</v>
      </c>
      <c r="F7432">
        <v>13107</v>
      </c>
    </row>
    <row r="7433" spans="1:6" x14ac:dyDescent="0.25">
      <c r="A7433" t="s">
        <v>13891</v>
      </c>
      <c r="B7433" t="s">
        <v>13892</v>
      </c>
      <c r="C7433" s="1">
        <v>44083</v>
      </c>
      <c r="D7433" t="b">
        <v>1</v>
      </c>
      <c r="E7433" t="s">
        <v>10</v>
      </c>
      <c r="F7433">
        <v>6377</v>
      </c>
    </row>
    <row r="7434" spans="1:6" x14ac:dyDescent="0.25">
      <c r="A7434" t="s">
        <v>13893</v>
      </c>
      <c r="B7434" t="s">
        <v>13894</v>
      </c>
      <c r="C7434" s="1">
        <v>44083</v>
      </c>
      <c r="D7434" t="b">
        <v>1</v>
      </c>
      <c r="E7434" t="s">
        <v>10</v>
      </c>
      <c r="F7434">
        <v>6379</v>
      </c>
    </row>
    <row r="7435" spans="1:6" x14ac:dyDescent="0.25">
      <c r="A7435" t="s">
        <v>13895</v>
      </c>
      <c r="B7435" t="s">
        <v>13896</v>
      </c>
      <c r="C7435" s="1">
        <v>44083</v>
      </c>
      <c r="D7435" t="b">
        <v>1</v>
      </c>
      <c r="E7435" t="s">
        <v>10</v>
      </c>
      <c r="F7435">
        <v>13121</v>
      </c>
    </row>
    <row r="7436" spans="1:6" x14ac:dyDescent="0.25">
      <c r="A7436" t="s">
        <v>13897</v>
      </c>
      <c r="B7436" t="s">
        <v>13898</v>
      </c>
      <c r="C7436" s="1">
        <v>44083</v>
      </c>
      <c r="D7436" t="b">
        <v>1</v>
      </c>
      <c r="E7436" t="s">
        <v>10</v>
      </c>
      <c r="F7436">
        <v>6380</v>
      </c>
    </row>
    <row r="7437" spans="1:6" x14ac:dyDescent="0.25">
      <c r="A7437" t="s">
        <v>13899</v>
      </c>
      <c r="B7437" t="s">
        <v>13900</v>
      </c>
      <c r="C7437" s="1">
        <v>44083</v>
      </c>
      <c r="D7437" t="b">
        <v>1</v>
      </c>
      <c r="E7437" t="s">
        <v>10</v>
      </c>
      <c r="F7437">
        <v>6382</v>
      </c>
    </row>
    <row r="7438" spans="1:6" x14ac:dyDescent="0.25">
      <c r="A7438" t="s">
        <v>13901</v>
      </c>
      <c r="B7438" t="s">
        <v>13902</v>
      </c>
      <c r="C7438" s="1">
        <v>44083</v>
      </c>
      <c r="D7438" t="b">
        <v>1</v>
      </c>
      <c r="E7438" t="s">
        <v>10</v>
      </c>
      <c r="F7438">
        <v>12359</v>
      </c>
    </row>
    <row r="7439" spans="1:6" x14ac:dyDescent="0.25">
      <c r="A7439" t="s">
        <v>13903</v>
      </c>
      <c r="B7439" t="s">
        <v>13904</v>
      </c>
      <c r="C7439" s="1">
        <v>44083</v>
      </c>
      <c r="D7439" t="b">
        <v>1</v>
      </c>
      <c r="E7439" t="s">
        <v>10</v>
      </c>
      <c r="F7439">
        <v>17154</v>
      </c>
    </row>
    <row r="7440" spans="1:6" x14ac:dyDescent="0.25">
      <c r="A7440" t="s">
        <v>13905</v>
      </c>
      <c r="B7440" t="s">
        <v>13906</v>
      </c>
      <c r="C7440" s="1">
        <v>44083</v>
      </c>
      <c r="D7440" t="b">
        <v>1</v>
      </c>
      <c r="E7440" t="s">
        <v>10</v>
      </c>
      <c r="F7440">
        <v>6166</v>
      </c>
    </row>
    <row r="7441" spans="1:6" x14ac:dyDescent="0.25">
      <c r="A7441" t="s">
        <v>13907</v>
      </c>
      <c r="B7441" t="s">
        <v>13908</v>
      </c>
      <c r="C7441" s="1">
        <v>44083</v>
      </c>
      <c r="D7441" t="b">
        <v>1</v>
      </c>
      <c r="E7441" t="s">
        <v>10</v>
      </c>
      <c r="F7441">
        <v>1578</v>
      </c>
    </row>
    <row r="7442" spans="1:6" x14ac:dyDescent="0.25">
      <c r="A7442" t="s">
        <v>13909</v>
      </c>
      <c r="B7442" t="s">
        <v>13910</v>
      </c>
      <c r="C7442" s="1">
        <v>44083</v>
      </c>
      <c r="D7442" t="b">
        <v>1</v>
      </c>
      <c r="E7442" t="s">
        <v>10</v>
      </c>
      <c r="F7442">
        <v>6385</v>
      </c>
    </row>
    <row r="7443" spans="1:6" x14ac:dyDescent="0.25">
      <c r="A7443" t="s">
        <v>13911</v>
      </c>
      <c r="B7443" t="s">
        <v>13912</v>
      </c>
      <c r="C7443" s="1">
        <v>44083</v>
      </c>
      <c r="D7443" t="b">
        <v>1</v>
      </c>
      <c r="E7443" t="s">
        <v>10</v>
      </c>
      <c r="F7443">
        <v>12020</v>
      </c>
    </row>
    <row r="7444" spans="1:6" x14ac:dyDescent="0.25">
      <c r="A7444" t="s">
        <v>13913</v>
      </c>
      <c r="B7444" t="s">
        <v>13914</v>
      </c>
      <c r="C7444" s="1">
        <v>44083</v>
      </c>
      <c r="D7444" t="b">
        <v>1</v>
      </c>
      <c r="E7444" t="s">
        <v>10</v>
      </c>
      <c r="F7444">
        <v>16332</v>
      </c>
    </row>
    <row r="7445" spans="1:6" x14ac:dyDescent="0.25">
      <c r="A7445" t="s">
        <v>13915</v>
      </c>
      <c r="B7445" t="s">
        <v>13916</v>
      </c>
      <c r="C7445" s="1">
        <v>44083</v>
      </c>
      <c r="D7445" t="b">
        <v>1</v>
      </c>
      <c r="E7445" t="s">
        <v>10</v>
      </c>
      <c r="F7445">
        <v>15916</v>
      </c>
    </row>
    <row r="7446" spans="1:6" x14ac:dyDescent="0.25">
      <c r="A7446" t="s">
        <v>13917</v>
      </c>
      <c r="B7446" t="s">
        <v>13918</v>
      </c>
      <c r="C7446" s="1">
        <v>44083</v>
      </c>
      <c r="D7446" t="b">
        <v>1</v>
      </c>
      <c r="E7446" t="s">
        <v>10</v>
      </c>
      <c r="F7446">
        <v>12220</v>
      </c>
    </row>
    <row r="7447" spans="1:6" x14ac:dyDescent="0.25">
      <c r="A7447" t="s">
        <v>13919</v>
      </c>
      <c r="B7447" t="s">
        <v>13920</v>
      </c>
      <c r="C7447" s="1">
        <v>44083</v>
      </c>
      <c r="D7447" t="b">
        <v>1</v>
      </c>
      <c r="E7447" t="s">
        <v>10</v>
      </c>
      <c r="F7447">
        <v>8513</v>
      </c>
    </row>
    <row r="7448" spans="1:6" x14ac:dyDescent="0.25">
      <c r="A7448" t="s">
        <v>13921</v>
      </c>
      <c r="B7448" t="s">
        <v>13922</v>
      </c>
      <c r="C7448" s="1">
        <v>44083</v>
      </c>
      <c r="D7448" t="b">
        <v>1</v>
      </c>
      <c r="E7448" t="s">
        <v>10</v>
      </c>
      <c r="F7448">
        <v>6387</v>
      </c>
    </row>
    <row r="7449" spans="1:6" x14ac:dyDescent="0.25">
      <c r="A7449" t="s">
        <v>13923</v>
      </c>
      <c r="B7449" t="s">
        <v>13924</v>
      </c>
      <c r="C7449" s="1">
        <v>44083</v>
      </c>
      <c r="D7449" t="b">
        <v>1</v>
      </c>
      <c r="E7449" t="s">
        <v>10</v>
      </c>
      <c r="F7449">
        <v>11886</v>
      </c>
    </row>
    <row r="7450" spans="1:6" x14ac:dyDescent="0.25">
      <c r="A7450" t="s">
        <v>13925</v>
      </c>
      <c r="B7450" t="s">
        <v>13926</v>
      </c>
      <c r="C7450" s="1">
        <v>44083</v>
      </c>
      <c r="D7450" t="b">
        <v>1</v>
      </c>
      <c r="E7450" t="s">
        <v>10</v>
      </c>
      <c r="F7450">
        <v>3559</v>
      </c>
    </row>
    <row r="7451" spans="1:6" x14ac:dyDescent="0.25">
      <c r="A7451" t="s">
        <v>13927</v>
      </c>
      <c r="B7451" t="s">
        <v>13928</v>
      </c>
      <c r="C7451" s="1">
        <v>44083</v>
      </c>
      <c r="D7451" t="b">
        <v>1</v>
      </c>
      <c r="E7451" t="s">
        <v>10</v>
      </c>
      <c r="F7451">
        <v>6388</v>
      </c>
    </row>
    <row r="7452" spans="1:6" x14ac:dyDescent="0.25">
      <c r="A7452" t="s">
        <v>13929</v>
      </c>
      <c r="B7452" t="s">
        <v>13930</v>
      </c>
      <c r="C7452" s="1">
        <v>44083</v>
      </c>
      <c r="D7452" t="b">
        <v>1</v>
      </c>
      <c r="E7452" t="s">
        <v>10</v>
      </c>
      <c r="F7452">
        <v>12195</v>
      </c>
    </row>
    <row r="7453" spans="1:6" x14ac:dyDescent="0.25">
      <c r="A7453" t="s">
        <v>13931</v>
      </c>
      <c r="C7453" s="1">
        <v>44083</v>
      </c>
      <c r="D7453" t="b">
        <v>1</v>
      </c>
      <c r="E7453" t="s">
        <v>10</v>
      </c>
      <c r="F7453">
        <v>12196</v>
      </c>
    </row>
    <row r="7454" spans="1:6" x14ac:dyDescent="0.25">
      <c r="A7454" t="s">
        <v>13932</v>
      </c>
      <c r="B7454" t="s">
        <v>13933</v>
      </c>
      <c r="C7454" s="1">
        <v>44083</v>
      </c>
      <c r="D7454" t="b">
        <v>1</v>
      </c>
      <c r="E7454" t="s">
        <v>10</v>
      </c>
      <c r="F7454">
        <v>6393</v>
      </c>
    </row>
    <row r="7455" spans="1:6" x14ac:dyDescent="0.25">
      <c r="A7455" t="s">
        <v>13934</v>
      </c>
      <c r="B7455" t="s">
        <v>13935</v>
      </c>
      <c r="C7455" s="1">
        <v>44083</v>
      </c>
      <c r="D7455" t="b">
        <v>1</v>
      </c>
      <c r="E7455" t="s">
        <v>10</v>
      </c>
      <c r="F7455">
        <v>1158</v>
      </c>
    </row>
    <row r="7456" spans="1:6" x14ac:dyDescent="0.25">
      <c r="A7456" t="s">
        <v>13936</v>
      </c>
      <c r="B7456" t="s">
        <v>13937</v>
      </c>
      <c r="C7456" s="1">
        <v>44083</v>
      </c>
      <c r="D7456" t="b">
        <v>1</v>
      </c>
      <c r="E7456" t="s">
        <v>10</v>
      </c>
      <c r="F7456">
        <v>6395</v>
      </c>
    </row>
    <row r="7457" spans="1:6" x14ac:dyDescent="0.25">
      <c r="A7457" t="s">
        <v>13938</v>
      </c>
      <c r="B7457" t="s">
        <v>13939</v>
      </c>
      <c r="C7457" s="1">
        <v>44083</v>
      </c>
      <c r="D7457" t="b">
        <v>1</v>
      </c>
      <c r="E7457" t="s">
        <v>10</v>
      </c>
      <c r="F7457">
        <v>5087</v>
      </c>
    </row>
    <row r="7458" spans="1:6" x14ac:dyDescent="0.25">
      <c r="A7458" t="s">
        <v>13940</v>
      </c>
      <c r="B7458" t="s">
        <v>13941</v>
      </c>
      <c r="C7458" s="1">
        <v>44083</v>
      </c>
      <c r="D7458" t="b">
        <v>1</v>
      </c>
      <c r="E7458" t="s">
        <v>10</v>
      </c>
      <c r="F7458">
        <v>6396</v>
      </c>
    </row>
    <row r="7459" spans="1:6" x14ac:dyDescent="0.25">
      <c r="A7459" t="s">
        <v>13942</v>
      </c>
      <c r="B7459" t="s">
        <v>13943</v>
      </c>
      <c r="C7459" s="1">
        <v>44083</v>
      </c>
      <c r="D7459" t="b">
        <v>1</v>
      </c>
      <c r="E7459" t="s">
        <v>10</v>
      </c>
      <c r="F7459">
        <v>15872</v>
      </c>
    </row>
    <row r="7460" spans="1:6" x14ac:dyDescent="0.25">
      <c r="A7460" t="s">
        <v>13944</v>
      </c>
      <c r="B7460" t="s">
        <v>13945</v>
      </c>
      <c r="C7460" s="1">
        <v>44083</v>
      </c>
      <c r="D7460" t="b">
        <v>1</v>
      </c>
      <c r="E7460" t="s">
        <v>10</v>
      </c>
      <c r="F7460">
        <v>6397</v>
      </c>
    </row>
    <row r="7461" spans="1:6" x14ac:dyDescent="0.25">
      <c r="A7461" t="s">
        <v>13946</v>
      </c>
      <c r="B7461" t="s">
        <v>13947</v>
      </c>
      <c r="C7461" s="1">
        <v>44083</v>
      </c>
      <c r="D7461" t="b">
        <v>1</v>
      </c>
      <c r="E7461" t="s">
        <v>10</v>
      </c>
      <c r="F7461">
        <v>9396</v>
      </c>
    </row>
    <row r="7462" spans="1:6" x14ac:dyDescent="0.25">
      <c r="A7462" t="s">
        <v>13948</v>
      </c>
      <c r="B7462" t="s">
        <v>13949</v>
      </c>
      <c r="C7462" s="1">
        <v>44083</v>
      </c>
      <c r="D7462" t="b">
        <v>1</v>
      </c>
      <c r="E7462" t="s">
        <v>10</v>
      </c>
      <c r="F7462">
        <v>11811</v>
      </c>
    </row>
    <row r="7463" spans="1:6" x14ac:dyDescent="0.25">
      <c r="A7463" t="s">
        <v>13950</v>
      </c>
      <c r="B7463" t="s">
        <v>13951</v>
      </c>
      <c r="C7463" s="1">
        <v>44083</v>
      </c>
      <c r="D7463" t="b">
        <v>1</v>
      </c>
      <c r="E7463" t="s">
        <v>10</v>
      </c>
      <c r="F7463">
        <v>6398</v>
      </c>
    </row>
    <row r="7464" spans="1:6" x14ac:dyDescent="0.25">
      <c r="A7464" t="s">
        <v>13952</v>
      </c>
      <c r="B7464" t="s">
        <v>13953</v>
      </c>
      <c r="C7464" s="1">
        <v>44083</v>
      </c>
      <c r="D7464" t="b">
        <v>1</v>
      </c>
      <c r="E7464" t="s">
        <v>10</v>
      </c>
      <c r="F7464">
        <v>16550</v>
      </c>
    </row>
    <row r="7465" spans="1:6" x14ac:dyDescent="0.25">
      <c r="A7465" t="s">
        <v>13954</v>
      </c>
      <c r="B7465" t="s">
        <v>13955</v>
      </c>
      <c r="C7465" s="1">
        <v>44083</v>
      </c>
      <c r="D7465" t="b">
        <v>1</v>
      </c>
      <c r="E7465" t="s">
        <v>10</v>
      </c>
      <c r="F7465">
        <v>6401</v>
      </c>
    </row>
    <row r="7466" spans="1:6" x14ac:dyDescent="0.25">
      <c r="A7466" t="s">
        <v>13956</v>
      </c>
      <c r="C7466" s="1">
        <v>44083</v>
      </c>
      <c r="D7466" t="b">
        <v>1</v>
      </c>
      <c r="E7466" t="s">
        <v>10</v>
      </c>
      <c r="F7466">
        <v>14768</v>
      </c>
    </row>
    <row r="7467" spans="1:6" x14ac:dyDescent="0.25">
      <c r="A7467" t="s">
        <v>13957</v>
      </c>
      <c r="C7467" s="1">
        <v>44083</v>
      </c>
      <c r="D7467" t="b">
        <v>1</v>
      </c>
      <c r="E7467" t="s">
        <v>10</v>
      </c>
      <c r="F7467">
        <v>15909</v>
      </c>
    </row>
    <row r="7468" spans="1:6" x14ac:dyDescent="0.25">
      <c r="A7468" t="s">
        <v>13958</v>
      </c>
      <c r="B7468" t="s">
        <v>13959</v>
      </c>
      <c r="C7468" s="1">
        <v>44083</v>
      </c>
      <c r="D7468" t="b">
        <v>1</v>
      </c>
      <c r="E7468" t="s">
        <v>10</v>
      </c>
      <c r="F7468">
        <v>6403</v>
      </c>
    </row>
    <row r="7469" spans="1:6" x14ac:dyDescent="0.25">
      <c r="A7469" t="s">
        <v>13960</v>
      </c>
      <c r="B7469" t="s">
        <v>13961</v>
      </c>
      <c r="C7469" s="1">
        <v>44083</v>
      </c>
      <c r="D7469" t="b">
        <v>1</v>
      </c>
      <c r="E7469" t="s">
        <v>10</v>
      </c>
      <c r="F7469">
        <v>6404</v>
      </c>
    </row>
    <row r="7470" spans="1:6" x14ac:dyDescent="0.25">
      <c r="A7470" t="s">
        <v>13962</v>
      </c>
      <c r="B7470" t="s">
        <v>13963</v>
      </c>
      <c r="C7470" s="1">
        <v>44083</v>
      </c>
      <c r="D7470" t="b">
        <v>1</v>
      </c>
      <c r="E7470" t="s">
        <v>10</v>
      </c>
      <c r="F7470">
        <v>6405</v>
      </c>
    </row>
    <row r="7471" spans="1:6" x14ac:dyDescent="0.25">
      <c r="A7471" t="s">
        <v>13964</v>
      </c>
      <c r="B7471" t="s">
        <v>13965</v>
      </c>
      <c r="C7471" s="1">
        <v>44083</v>
      </c>
      <c r="D7471" t="b">
        <v>1</v>
      </c>
      <c r="E7471" t="s">
        <v>10</v>
      </c>
      <c r="F7471">
        <v>16828</v>
      </c>
    </row>
    <row r="7472" spans="1:6" x14ac:dyDescent="0.25">
      <c r="A7472" t="s">
        <v>13966</v>
      </c>
      <c r="C7472" s="1">
        <v>44083</v>
      </c>
      <c r="D7472" t="b">
        <v>1</v>
      </c>
      <c r="E7472" t="s">
        <v>10</v>
      </c>
      <c r="F7472">
        <v>16891</v>
      </c>
    </row>
    <row r="7473" spans="1:6" x14ac:dyDescent="0.25">
      <c r="A7473" t="s">
        <v>13967</v>
      </c>
      <c r="B7473" t="s">
        <v>13968</v>
      </c>
      <c r="C7473" s="1">
        <v>44083</v>
      </c>
      <c r="D7473" t="b">
        <v>1</v>
      </c>
      <c r="E7473" t="s">
        <v>10</v>
      </c>
      <c r="F7473">
        <v>16630</v>
      </c>
    </row>
    <row r="7474" spans="1:6" x14ac:dyDescent="0.25">
      <c r="A7474" t="s">
        <v>13969</v>
      </c>
      <c r="B7474" t="s">
        <v>13970</v>
      </c>
      <c r="C7474" s="1">
        <v>44083</v>
      </c>
      <c r="D7474" t="b">
        <v>1</v>
      </c>
      <c r="E7474" t="s">
        <v>10</v>
      </c>
      <c r="F7474">
        <v>6407</v>
      </c>
    </row>
    <row r="7475" spans="1:6" x14ac:dyDescent="0.25">
      <c r="A7475" t="s">
        <v>13971</v>
      </c>
      <c r="B7475" t="s">
        <v>13972</v>
      </c>
      <c r="C7475" s="1">
        <v>44083</v>
      </c>
      <c r="D7475" t="b">
        <v>1</v>
      </c>
      <c r="E7475" t="s">
        <v>10</v>
      </c>
      <c r="F7475">
        <v>13565</v>
      </c>
    </row>
    <row r="7476" spans="1:6" x14ac:dyDescent="0.25">
      <c r="A7476" t="s">
        <v>13973</v>
      </c>
      <c r="B7476" t="s">
        <v>13974</v>
      </c>
      <c r="C7476" s="1">
        <v>44083</v>
      </c>
      <c r="D7476" t="b">
        <v>1</v>
      </c>
      <c r="E7476" t="s">
        <v>10</v>
      </c>
      <c r="F7476">
        <v>6410</v>
      </c>
    </row>
    <row r="7477" spans="1:6" x14ac:dyDescent="0.25">
      <c r="A7477" t="s">
        <v>13975</v>
      </c>
      <c r="C7477" s="1">
        <v>44083</v>
      </c>
      <c r="D7477" t="b">
        <v>1</v>
      </c>
      <c r="E7477" t="s">
        <v>10</v>
      </c>
      <c r="F7477">
        <v>11776</v>
      </c>
    </row>
    <row r="7478" spans="1:6" x14ac:dyDescent="0.25">
      <c r="A7478" t="s">
        <v>13976</v>
      </c>
      <c r="C7478" s="1">
        <v>44083</v>
      </c>
      <c r="D7478" t="b">
        <v>1</v>
      </c>
      <c r="E7478" t="s">
        <v>10</v>
      </c>
      <c r="F7478">
        <v>15664</v>
      </c>
    </row>
    <row r="7479" spans="1:6" x14ac:dyDescent="0.25">
      <c r="A7479" t="s">
        <v>13977</v>
      </c>
      <c r="C7479" s="1">
        <v>44083</v>
      </c>
      <c r="D7479" t="b">
        <v>1</v>
      </c>
      <c r="E7479" t="s">
        <v>10</v>
      </c>
      <c r="F7479">
        <v>13588</v>
      </c>
    </row>
    <row r="7480" spans="1:6" x14ac:dyDescent="0.25">
      <c r="A7480" t="s">
        <v>13978</v>
      </c>
      <c r="B7480" t="s">
        <v>13979</v>
      </c>
      <c r="C7480" s="1">
        <v>44083</v>
      </c>
      <c r="D7480" t="b">
        <v>1</v>
      </c>
      <c r="E7480" t="s">
        <v>10</v>
      </c>
      <c r="F7480">
        <v>14691</v>
      </c>
    </row>
    <row r="7481" spans="1:6" x14ac:dyDescent="0.25">
      <c r="A7481" t="s">
        <v>13980</v>
      </c>
      <c r="B7481" t="s">
        <v>13981</v>
      </c>
      <c r="C7481" s="1">
        <v>44083</v>
      </c>
      <c r="D7481" t="b">
        <v>1</v>
      </c>
      <c r="E7481" t="s">
        <v>10</v>
      </c>
      <c r="F7481">
        <v>12483</v>
      </c>
    </row>
    <row r="7482" spans="1:6" x14ac:dyDescent="0.25">
      <c r="A7482" t="s">
        <v>13982</v>
      </c>
      <c r="C7482" s="1">
        <v>44083</v>
      </c>
      <c r="D7482" t="b">
        <v>1</v>
      </c>
      <c r="E7482" t="s">
        <v>10</v>
      </c>
      <c r="F7482">
        <v>10674</v>
      </c>
    </row>
    <row r="7483" spans="1:6" x14ac:dyDescent="0.25">
      <c r="A7483" t="s">
        <v>13983</v>
      </c>
      <c r="C7483" s="1">
        <v>44083</v>
      </c>
      <c r="D7483" t="b">
        <v>1</v>
      </c>
      <c r="E7483" t="s">
        <v>10</v>
      </c>
      <c r="F7483">
        <v>11816</v>
      </c>
    </row>
    <row r="7484" spans="1:6" x14ac:dyDescent="0.25">
      <c r="A7484" t="s">
        <v>13984</v>
      </c>
      <c r="C7484" s="1">
        <v>44083</v>
      </c>
      <c r="D7484" t="b">
        <v>1</v>
      </c>
      <c r="E7484" t="s">
        <v>10</v>
      </c>
      <c r="F7484">
        <v>13843</v>
      </c>
    </row>
    <row r="7485" spans="1:6" x14ac:dyDescent="0.25">
      <c r="A7485" t="s">
        <v>13985</v>
      </c>
      <c r="C7485" s="1">
        <v>44083</v>
      </c>
      <c r="D7485" t="b">
        <v>1</v>
      </c>
      <c r="E7485" t="s">
        <v>10</v>
      </c>
      <c r="F7485">
        <v>16461</v>
      </c>
    </row>
    <row r="7486" spans="1:6" x14ac:dyDescent="0.25">
      <c r="A7486" t="s">
        <v>13986</v>
      </c>
      <c r="B7486" t="s">
        <v>13987</v>
      </c>
      <c r="C7486" s="1">
        <v>44083</v>
      </c>
      <c r="D7486" t="b">
        <v>1</v>
      </c>
      <c r="E7486" t="s">
        <v>10</v>
      </c>
      <c r="F7486">
        <v>6413</v>
      </c>
    </row>
    <row r="7487" spans="1:6" x14ac:dyDescent="0.25">
      <c r="A7487" t="s">
        <v>13988</v>
      </c>
      <c r="C7487" s="1">
        <v>44083</v>
      </c>
      <c r="D7487" t="b">
        <v>1</v>
      </c>
      <c r="E7487" t="s">
        <v>10</v>
      </c>
      <c r="F7487">
        <v>16022</v>
      </c>
    </row>
    <row r="7488" spans="1:6" x14ac:dyDescent="0.25">
      <c r="A7488" t="s">
        <v>13989</v>
      </c>
      <c r="B7488" t="s">
        <v>13990</v>
      </c>
      <c r="C7488" s="1">
        <v>44083</v>
      </c>
      <c r="D7488" t="b">
        <v>1</v>
      </c>
      <c r="E7488" t="s">
        <v>10</v>
      </c>
      <c r="F7488">
        <v>14912</v>
      </c>
    </row>
    <row r="7489" spans="1:6" x14ac:dyDescent="0.25">
      <c r="A7489" t="s">
        <v>13991</v>
      </c>
      <c r="C7489" s="1">
        <v>44083</v>
      </c>
      <c r="D7489" t="b">
        <v>1</v>
      </c>
      <c r="E7489" t="s">
        <v>10</v>
      </c>
      <c r="F7489">
        <v>14889</v>
      </c>
    </row>
    <row r="7490" spans="1:6" x14ac:dyDescent="0.25">
      <c r="A7490" t="s">
        <v>13992</v>
      </c>
      <c r="B7490" t="s">
        <v>13993</v>
      </c>
      <c r="C7490" s="1">
        <v>44083</v>
      </c>
      <c r="D7490" t="b">
        <v>1</v>
      </c>
      <c r="E7490" t="s">
        <v>10</v>
      </c>
      <c r="F7490">
        <v>15267</v>
      </c>
    </row>
    <row r="7491" spans="1:6" x14ac:dyDescent="0.25">
      <c r="A7491" t="s">
        <v>13994</v>
      </c>
      <c r="B7491" t="s">
        <v>13995</v>
      </c>
      <c r="C7491" s="1">
        <v>44083</v>
      </c>
      <c r="D7491" t="b">
        <v>1</v>
      </c>
      <c r="E7491" t="s">
        <v>10</v>
      </c>
      <c r="F7491">
        <v>6414</v>
      </c>
    </row>
    <row r="7492" spans="1:6" x14ac:dyDescent="0.25">
      <c r="A7492" t="s">
        <v>13996</v>
      </c>
      <c r="B7492" t="s">
        <v>13997</v>
      </c>
      <c r="C7492" s="1">
        <v>44083</v>
      </c>
      <c r="D7492" t="b">
        <v>1</v>
      </c>
      <c r="E7492" t="s">
        <v>10</v>
      </c>
      <c r="F7492">
        <v>6415</v>
      </c>
    </row>
    <row r="7493" spans="1:6" x14ac:dyDescent="0.25">
      <c r="A7493" t="s">
        <v>13998</v>
      </c>
      <c r="B7493" t="s">
        <v>13999</v>
      </c>
      <c r="C7493" s="1">
        <v>44083</v>
      </c>
      <c r="D7493" t="b">
        <v>1</v>
      </c>
      <c r="E7493" t="s">
        <v>10</v>
      </c>
      <c r="F7493">
        <v>15693</v>
      </c>
    </row>
    <row r="7494" spans="1:6" x14ac:dyDescent="0.25">
      <c r="A7494" t="s">
        <v>14000</v>
      </c>
      <c r="B7494" t="s">
        <v>14001</v>
      </c>
      <c r="C7494" s="1">
        <v>44083</v>
      </c>
      <c r="D7494" t="b">
        <v>1</v>
      </c>
      <c r="E7494" t="s">
        <v>10</v>
      </c>
      <c r="F7494">
        <v>3250</v>
      </c>
    </row>
    <row r="7495" spans="1:6" x14ac:dyDescent="0.25">
      <c r="A7495" t="s">
        <v>14002</v>
      </c>
      <c r="B7495" t="s">
        <v>14003</v>
      </c>
      <c r="C7495" s="1">
        <v>44083</v>
      </c>
      <c r="D7495" t="b">
        <v>1</v>
      </c>
      <c r="E7495" t="s">
        <v>10</v>
      </c>
      <c r="F7495">
        <v>14811</v>
      </c>
    </row>
    <row r="7496" spans="1:6" x14ac:dyDescent="0.25">
      <c r="A7496" t="s">
        <v>14004</v>
      </c>
      <c r="B7496" t="s">
        <v>14005</v>
      </c>
      <c r="C7496" s="1">
        <v>44083</v>
      </c>
      <c r="D7496" t="b">
        <v>1</v>
      </c>
      <c r="E7496" t="s">
        <v>10</v>
      </c>
      <c r="F7496">
        <v>6419</v>
      </c>
    </row>
    <row r="7497" spans="1:6" x14ac:dyDescent="0.25">
      <c r="A7497" t="s">
        <v>14006</v>
      </c>
      <c r="B7497" t="s">
        <v>14007</v>
      </c>
      <c r="C7497" s="1">
        <v>44083</v>
      </c>
      <c r="D7497" t="b">
        <v>1</v>
      </c>
      <c r="E7497" t="s">
        <v>10</v>
      </c>
      <c r="F7497">
        <v>12810</v>
      </c>
    </row>
    <row r="7498" spans="1:6" x14ac:dyDescent="0.25">
      <c r="A7498" t="s">
        <v>14008</v>
      </c>
      <c r="B7498" t="s">
        <v>14009</v>
      </c>
      <c r="C7498" s="1">
        <v>44083</v>
      </c>
      <c r="D7498" t="b">
        <v>1</v>
      </c>
      <c r="E7498" t="s">
        <v>10</v>
      </c>
      <c r="F7498">
        <v>11089</v>
      </c>
    </row>
    <row r="7499" spans="1:6" x14ac:dyDescent="0.25">
      <c r="A7499" t="s">
        <v>14010</v>
      </c>
      <c r="B7499" t="s">
        <v>14011</v>
      </c>
      <c r="C7499" s="1">
        <v>44083</v>
      </c>
      <c r="D7499" t="b">
        <v>1</v>
      </c>
      <c r="E7499" t="s">
        <v>10</v>
      </c>
      <c r="F7499">
        <v>6422</v>
      </c>
    </row>
    <row r="7500" spans="1:6" x14ac:dyDescent="0.25">
      <c r="A7500" t="s">
        <v>14012</v>
      </c>
      <c r="B7500" t="s">
        <v>14013</v>
      </c>
      <c r="C7500" s="1">
        <v>44083</v>
      </c>
      <c r="D7500" t="b">
        <v>1</v>
      </c>
      <c r="E7500" t="s">
        <v>10</v>
      </c>
      <c r="F7500">
        <v>6423</v>
      </c>
    </row>
    <row r="7501" spans="1:6" x14ac:dyDescent="0.25">
      <c r="A7501" t="s">
        <v>14014</v>
      </c>
      <c r="B7501" t="s">
        <v>14015</v>
      </c>
      <c r="C7501" s="1">
        <v>44083</v>
      </c>
      <c r="D7501" t="b">
        <v>1</v>
      </c>
      <c r="E7501" t="s">
        <v>10</v>
      </c>
      <c r="F7501">
        <v>6424</v>
      </c>
    </row>
    <row r="7502" spans="1:6" x14ac:dyDescent="0.25">
      <c r="A7502" t="s">
        <v>14016</v>
      </c>
      <c r="B7502" t="s">
        <v>14017</v>
      </c>
      <c r="C7502" s="1">
        <v>44083</v>
      </c>
      <c r="D7502" t="b">
        <v>1</v>
      </c>
      <c r="E7502" t="s">
        <v>10</v>
      </c>
      <c r="F7502">
        <v>6425</v>
      </c>
    </row>
    <row r="7503" spans="1:6" x14ac:dyDescent="0.25">
      <c r="A7503" t="s">
        <v>14018</v>
      </c>
      <c r="B7503" t="s">
        <v>14019</v>
      </c>
      <c r="C7503" s="1">
        <v>44083</v>
      </c>
      <c r="D7503" t="b">
        <v>1</v>
      </c>
      <c r="E7503" t="s">
        <v>10</v>
      </c>
      <c r="F7503">
        <v>6519</v>
      </c>
    </row>
    <row r="7504" spans="1:6" x14ac:dyDescent="0.25">
      <c r="A7504" t="s">
        <v>14020</v>
      </c>
      <c r="B7504" t="s">
        <v>14021</v>
      </c>
      <c r="C7504" s="1">
        <v>44083</v>
      </c>
      <c r="D7504" t="b">
        <v>1</v>
      </c>
      <c r="E7504" t="s">
        <v>10</v>
      </c>
      <c r="F7504">
        <v>4017</v>
      </c>
    </row>
    <row r="7505" spans="1:6" x14ac:dyDescent="0.25">
      <c r="A7505" t="s">
        <v>14022</v>
      </c>
      <c r="B7505" t="s">
        <v>14023</v>
      </c>
      <c r="C7505" s="1">
        <v>44083</v>
      </c>
      <c r="D7505" t="b">
        <v>1</v>
      </c>
      <c r="E7505" t="s">
        <v>10</v>
      </c>
      <c r="F7505">
        <v>15057</v>
      </c>
    </row>
    <row r="7506" spans="1:6" x14ac:dyDescent="0.25">
      <c r="A7506" t="s">
        <v>14024</v>
      </c>
      <c r="C7506" s="1">
        <v>44083</v>
      </c>
      <c r="D7506" t="b">
        <v>1</v>
      </c>
      <c r="E7506" t="s">
        <v>10</v>
      </c>
      <c r="F7506">
        <v>15095</v>
      </c>
    </row>
    <row r="7507" spans="1:6" x14ac:dyDescent="0.25">
      <c r="A7507" t="s">
        <v>14025</v>
      </c>
      <c r="B7507" t="s">
        <v>14026</v>
      </c>
      <c r="C7507" s="1">
        <v>44083</v>
      </c>
      <c r="D7507" t="b">
        <v>1</v>
      </c>
      <c r="E7507" t="s">
        <v>10</v>
      </c>
      <c r="F7507">
        <v>14860</v>
      </c>
    </row>
    <row r="7508" spans="1:6" x14ac:dyDescent="0.25">
      <c r="A7508" t="s">
        <v>14027</v>
      </c>
      <c r="B7508" t="s">
        <v>14028</v>
      </c>
      <c r="C7508" s="1">
        <v>44083</v>
      </c>
      <c r="D7508" t="b">
        <v>1</v>
      </c>
      <c r="E7508" t="s">
        <v>10</v>
      </c>
      <c r="F7508">
        <v>3274</v>
      </c>
    </row>
    <row r="7509" spans="1:6" x14ac:dyDescent="0.25">
      <c r="A7509" t="s">
        <v>14029</v>
      </c>
      <c r="B7509" t="s">
        <v>14030</v>
      </c>
      <c r="C7509" s="1">
        <v>44083</v>
      </c>
      <c r="D7509" t="b">
        <v>1</v>
      </c>
      <c r="E7509" t="s">
        <v>10</v>
      </c>
      <c r="F7509">
        <v>1084</v>
      </c>
    </row>
    <row r="7510" spans="1:6" x14ac:dyDescent="0.25">
      <c r="A7510" t="s">
        <v>14031</v>
      </c>
      <c r="B7510" t="s">
        <v>14032</v>
      </c>
      <c r="C7510" s="1">
        <v>44083</v>
      </c>
      <c r="D7510" t="b">
        <v>1</v>
      </c>
      <c r="E7510" t="s">
        <v>10</v>
      </c>
      <c r="F7510">
        <v>7770</v>
      </c>
    </row>
    <row r="7511" spans="1:6" x14ac:dyDescent="0.25">
      <c r="A7511" t="s">
        <v>14033</v>
      </c>
      <c r="B7511" t="s">
        <v>14034</v>
      </c>
      <c r="C7511" s="1">
        <v>44083</v>
      </c>
      <c r="D7511" t="b">
        <v>1</v>
      </c>
      <c r="E7511" t="s">
        <v>10</v>
      </c>
      <c r="F7511">
        <v>13461</v>
      </c>
    </row>
    <row r="7512" spans="1:6" x14ac:dyDescent="0.25">
      <c r="A7512" t="s">
        <v>14035</v>
      </c>
      <c r="B7512" t="s">
        <v>14036</v>
      </c>
      <c r="C7512" s="1">
        <v>44083</v>
      </c>
      <c r="D7512" t="b">
        <v>0</v>
      </c>
      <c r="E7512" t="s">
        <v>10</v>
      </c>
      <c r="F7512">
        <v>17190</v>
      </c>
    </row>
    <row r="7513" spans="1:6" x14ac:dyDescent="0.25">
      <c r="A7513" t="s">
        <v>14037</v>
      </c>
      <c r="B7513" t="s">
        <v>14038</v>
      </c>
      <c r="C7513" s="1">
        <v>44083</v>
      </c>
      <c r="D7513" t="b">
        <v>1</v>
      </c>
      <c r="E7513" t="s">
        <v>10</v>
      </c>
      <c r="F7513">
        <v>11445</v>
      </c>
    </row>
    <row r="7514" spans="1:6" x14ac:dyDescent="0.25">
      <c r="A7514" t="s">
        <v>14039</v>
      </c>
      <c r="B7514" t="s">
        <v>14040</v>
      </c>
      <c r="C7514" s="1">
        <v>44083</v>
      </c>
      <c r="D7514" t="b">
        <v>1</v>
      </c>
      <c r="E7514" t="s">
        <v>10</v>
      </c>
      <c r="F7514">
        <v>13844</v>
      </c>
    </row>
    <row r="7515" spans="1:6" x14ac:dyDescent="0.25">
      <c r="A7515" t="s">
        <v>14041</v>
      </c>
      <c r="B7515" t="s">
        <v>14042</v>
      </c>
      <c r="C7515" s="1">
        <v>44083</v>
      </c>
      <c r="D7515" t="b">
        <v>1</v>
      </c>
      <c r="E7515" t="s">
        <v>10</v>
      </c>
      <c r="F7515">
        <v>3071</v>
      </c>
    </row>
    <row r="7516" spans="1:6" x14ac:dyDescent="0.25">
      <c r="A7516" t="s">
        <v>14043</v>
      </c>
      <c r="B7516" t="s">
        <v>14044</v>
      </c>
      <c r="C7516" s="1">
        <v>44083</v>
      </c>
      <c r="D7516" t="b">
        <v>1</v>
      </c>
      <c r="E7516" t="s">
        <v>10</v>
      </c>
      <c r="F7516">
        <v>6433</v>
      </c>
    </row>
    <row r="7517" spans="1:6" x14ac:dyDescent="0.25">
      <c r="A7517" t="s">
        <v>14045</v>
      </c>
      <c r="C7517" s="1">
        <v>44083</v>
      </c>
      <c r="D7517" t="b">
        <v>1</v>
      </c>
      <c r="E7517" t="s">
        <v>10</v>
      </c>
      <c r="F7517">
        <v>11684</v>
      </c>
    </row>
    <row r="7518" spans="1:6" x14ac:dyDescent="0.25">
      <c r="A7518" t="s">
        <v>14046</v>
      </c>
      <c r="B7518" t="s">
        <v>14047</v>
      </c>
      <c r="C7518" s="1">
        <v>44083</v>
      </c>
      <c r="D7518" t="b">
        <v>1</v>
      </c>
      <c r="E7518" t="s">
        <v>10</v>
      </c>
      <c r="F7518">
        <v>2926</v>
      </c>
    </row>
    <row r="7519" spans="1:6" x14ac:dyDescent="0.25">
      <c r="A7519" t="s">
        <v>14048</v>
      </c>
      <c r="B7519" t="s">
        <v>14049</v>
      </c>
      <c r="C7519" s="1">
        <v>44083</v>
      </c>
      <c r="D7519" t="b">
        <v>1</v>
      </c>
      <c r="E7519" t="s">
        <v>10</v>
      </c>
      <c r="F7519">
        <v>2483</v>
      </c>
    </row>
    <row r="7520" spans="1:6" x14ac:dyDescent="0.25">
      <c r="A7520" t="s">
        <v>14050</v>
      </c>
      <c r="B7520" t="s">
        <v>14051</v>
      </c>
      <c r="C7520" s="1">
        <v>44083</v>
      </c>
      <c r="D7520" t="b">
        <v>1</v>
      </c>
      <c r="E7520" t="s">
        <v>10</v>
      </c>
      <c r="F7520">
        <v>6437</v>
      </c>
    </row>
    <row r="7521" spans="1:6" x14ac:dyDescent="0.25">
      <c r="A7521" t="s">
        <v>14052</v>
      </c>
      <c r="B7521" t="s">
        <v>14053</v>
      </c>
      <c r="C7521" s="1">
        <v>44083</v>
      </c>
      <c r="D7521" t="b">
        <v>1</v>
      </c>
      <c r="E7521" t="s">
        <v>10</v>
      </c>
      <c r="F7521">
        <v>15625</v>
      </c>
    </row>
    <row r="7522" spans="1:6" x14ac:dyDescent="0.25">
      <c r="A7522" t="s">
        <v>14054</v>
      </c>
      <c r="B7522" t="s">
        <v>14055</v>
      </c>
      <c r="C7522" s="1">
        <v>44083</v>
      </c>
      <c r="D7522" t="b">
        <v>1</v>
      </c>
      <c r="E7522" t="s">
        <v>10</v>
      </c>
      <c r="F7522">
        <v>6438</v>
      </c>
    </row>
    <row r="7523" spans="1:6" x14ac:dyDescent="0.25">
      <c r="A7523" t="s">
        <v>14056</v>
      </c>
      <c r="C7523" s="1">
        <v>44083</v>
      </c>
      <c r="D7523" t="b">
        <v>1</v>
      </c>
      <c r="E7523" t="s">
        <v>10</v>
      </c>
      <c r="F7523">
        <v>6439</v>
      </c>
    </row>
    <row r="7524" spans="1:6" x14ac:dyDescent="0.25">
      <c r="A7524" t="s">
        <v>14057</v>
      </c>
      <c r="B7524" t="s">
        <v>14058</v>
      </c>
      <c r="C7524" s="1">
        <v>44083</v>
      </c>
      <c r="D7524" t="b">
        <v>1</v>
      </c>
      <c r="E7524" t="s">
        <v>10</v>
      </c>
      <c r="F7524">
        <v>4385</v>
      </c>
    </row>
    <row r="7525" spans="1:6" x14ac:dyDescent="0.25">
      <c r="A7525" t="s">
        <v>14059</v>
      </c>
      <c r="B7525" t="s">
        <v>14060</v>
      </c>
      <c r="C7525" s="1">
        <v>44083</v>
      </c>
      <c r="D7525" t="b">
        <v>1</v>
      </c>
      <c r="E7525" t="s">
        <v>10</v>
      </c>
      <c r="F7525">
        <v>58</v>
      </c>
    </row>
    <row r="7526" spans="1:6" x14ac:dyDescent="0.25">
      <c r="A7526" t="s">
        <v>14061</v>
      </c>
      <c r="B7526" t="s">
        <v>14062</v>
      </c>
      <c r="C7526" s="1">
        <v>44083</v>
      </c>
      <c r="D7526" t="b">
        <v>1</v>
      </c>
      <c r="E7526" t="s">
        <v>10</v>
      </c>
      <c r="F7526">
        <v>5695</v>
      </c>
    </row>
    <row r="7527" spans="1:6" x14ac:dyDescent="0.25">
      <c r="A7527" t="s">
        <v>14063</v>
      </c>
      <c r="B7527" t="s">
        <v>14064</v>
      </c>
      <c r="C7527" s="1">
        <v>44083</v>
      </c>
      <c r="D7527" t="b">
        <v>1</v>
      </c>
      <c r="E7527" t="s">
        <v>10</v>
      </c>
      <c r="F7527">
        <v>6441</v>
      </c>
    </row>
    <row r="7528" spans="1:6" x14ac:dyDescent="0.25">
      <c r="A7528" t="s">
        <v>14065</v>
      </c>
      <c r="B7528" t="s">
        <v>14066</v>
      </c>
      <c r="C7528" s="1">
        <v>44083</v>
      </c>
      <c r="D7528" t="b">
        <v>1</v>
      </c>
      <c r="E7528" t="s">
        <v>10</v>
      </c>
      <c r="F7528">
        <v>6442</v>
      </c>
    </row>
    <row r="7529" spans="1:6" x14ac:dyDescent="0.25">
      <c r="A7529" t="s">
        <v>14067</v>
      </c>
      <c r="B7529" t="s">
        <v>14068</v>
      </c>
      <c r="C7529" s="1">
        <v>44083</v>
      </c>
      <c r="D7529" t="b">
        <v>1</v>
      </c>
      <c r="E7529" t="s">
        <v>10</v>
      </c>
      <c r="F7529">
        <v>6443</v>
      </c>
    </row>
    <row r="7530" spans="1:6" x14ac:dyDescent="0.25">
      <c r="A7530" t="s">
        <v>14069</v>
      </c>
      <c r="B7530" t="s">
        <v>14070</v>
      </c>
      <c r="C7530" s="1">
        <v>44083</v>
      </c>
      <c r="D7530" t="b">
        <v>1</v>
      </c>
      <c r="E7530" t="s">
        <v>10</v>
      </c>
      <c r="F7530">
        <v>6444</v>
      </c>
    </row>
    <row r="7531" spans="1:6" x14ac:dyDescent="0.25">
      <c r="A7531" t="s">
        <v>14071</v>
      </c>
      <c r="B7531" t="s">
        <v>14072</v>
      </c>
      <c r="C7531" s="1">
        <v>44083</v>
      </c>
      <c r="D7531" t="b">
        <v>1</v>
      </c>
      <c r="E7531" t="s">
        <v>10</v>
      </c>
      <c r="F7531">
        <v>7614</v>
      </c>
    </row>
    <row r="7532" spans="1:6" x14ac:dyDescent="0.25">
      <c r="A7532" t="s">
        <v>14073</v>
      </c>
      <c r="B7532" t="s">
        <v>14074</v>
      </c>
      <c r="C7532" s="1">
        <v>44083</v>
      </c>
      <c r="D7532" t="b">
        <v>1</v>
      </c>
      <c r="E7532" t="s">
        <v>10</v>
      </c>
      <c r="F7532">
        <v>11023</v>
      </c>
    </row>
    <row r="7533" spans="1:6" x14ac:dyDescent="0.25">
      <c r="A7533" t="s">
        <v>14075</v>
      </c>
      <c r="B7533" t="s">
        <v>14076</v>
      </c>
      <c r="C7533" s="1">
        <v>44083</v>
      </c>
      <c r="D7533" t="b">
        <v>1</v>
      </c>
      <c r="E7533" t="s">
        <v>10</v>
      </c>
      <c r="F7533">
        <v>3667</v>
      </c>
    </row>
    <row r="7534" spans="1:6" x14ac:dyDescent="0.25">
      <c r="A7534" t="s">
        <v>14077</v>
      </c>
      <c r="B7534" t="s">
        <v>14078</v>
      </c>
      <c r="C7534" s="1">
        <v>44083</v>
      </c>
      <c r="D7534" t="b">
        <v>1</v>
      </c>
      <c r="E7534" t="s">
        <v>10</v>
      </c>
      <c r="F7534">
        <v>3588</v>
      </c>
    </row>
    <row r="7535" spans="1:6" x14ac:dyDescent="0.25">
      <c r="A7535" t="s">
        <v>14079</v>
      </c>
      <c r="B7535" t="s">
        <v>14080</v>
      </c>
      <c r="C7535" s="1">
        <v>44083</v>
      </c>
      <c r="D7535" t="b">
        <v>1</v>
      </c>
      <c r="E7535" t="s">
        <v>10</v>
      </c>
      <c r="F7535">
        <v>8819</v>
      </c>
    </row>
    <row r="7536" spans="1:6" x14ac:dyDescent="0.25">
      <c r="A7536" t="s">
        <v>14081</v>
      </c>
      <c r="C7536" s="1">
        <v>44083</v>
      </c>
      <c r="D7536" t="b">
        <v>1</v>
      </c>
      <c r="E7536" t="s">
        <v>10</v>
      </c>
      <c r="F7536">
        <v>12498</v>
      </c>
    </row>
    <row r="7537" spans="1:6" x14ac:dyDescent="0.25">
      <c r="A7537" t="s">
        <v>14082</v>
      </c>
      <c r="B7537" t="s">
        <v>14083</v>
      </c>
      <c r="C7537" s="1">
        <v>44083</v>
      </c>
      <c r="D7537" t="b">
        <v>1</v>
      </c>
      <c r="E7537" t="s">
        <v>10</v>
      </c>
      <c r="F7537">
        <v>4200</v>
      </c>
    </row>
    <row r="7538" spans="1:6" x14ac:dyDescent="0.25">
      <c r="A7538" t="s">
        <v>14084</v>
      </c>
      <c r="B7538" t="s">
        <v>14085</v>
      </c>
      <c r="C7538" s="1">
        <v>44083</v>
      </c>
      <c r="D7538" t="b">
        <v>1</v>
      </c>
      <c r="E7538" t="s">
        <v>10</v>
      </c>
      <c r="F7538">
        <v>5156</v>
      </c>
    </row>
    <row r="7539" spans="1:6" x14ac:dyDescent="0.25">
      <c r="A7539" t="s">
        <v>14086</v>
      </c>
      <c r="B7539" t="s">
        <v>14087</v>
      </c>
      <c r="C7539" s="1">
        <v>44083</v>
      </c>
      <c r="D7539" t="b">
        <v>1</v>
      </c>
      <c r="E7539" t="s">
        <v>10</v>
      </c>
      <c r="F7539">
        <v>6446</v>
      </c>
    </row>
    <row r="7540" spans="1:6" x14ac:dyDescent="0.25">
      <c r="A7540" t="s">
        <v>14088</v>
      </c>
      <c r="B7540" t="s">
        <v>14089</v>
      </c>
      <c r="C7540" s="1">
        <v>44083</v>
      </c>
      <c r="D7540" t="b">
        <v>1</v>
      </c>
      <c r="E7540" t="s">
        <v>10</v>
      </c>
      <c r="F7540">
        <v>6447</v>
      </c>
    </row>
    <row r="7541" spans="1:6" x14ac:dyDescent="0.25">
      <c r="A7541" t="s">
        <v>14090</v>
      </c>
      <c r="C7541" s="1">
        <v>44083</v>
      </c>
      <c r="D7541" t="b">
        <v>1</v>
      </c>
      <c r="E7541" t="s">
        <v>10</v>
      </c>
      <c r="F7541">
        <v>12378</v>
      </c>
    </row>
    <row r="7542" spans="1:6" x14ac:dyDescent="0.25">
      <c r="A7542" t="s">
        <v>14091</v>
      </c>
      <c r="B7542" t="s">
        <v>14092</v>
      </c>
      <c r="C7542" s="1">
        <v>44083</v>
      </c>
      <c r="D7542" t="b">
        <v>1</v>
      </c>
      <c r="E7542" t="s">
        <v>10</v>
      </c>
      <c r="F7542">
        <v>6449</v>
      </c>
    </row>
    <row r="7543" spans="1:6" x14ac:dyDescent="0.25">
      <c r="A7543" t="s">
        <v>14093</v>
      </c>
      <c r="B7543" t="s">
        <v>14094</v>
      </c>
      <c r="C7543" s="1">
        <v>44083</v>
      </c>
      <c r="D7543" t="b">
        <v>1</v>
      </c>
      <c r="E7543" t="s">
        <v>10</v>
      </c>
      <c r="F7543">
        <v>4247</v>
      </c>
    </row>
    <row r="7544" spans="1:6" x14ac:dyDescent="0.25">
      <c r="A7544" t="s">
        <v>14095</v>
      </c>
      <c r="B7544" t="s">
        <v>14096</v>
      </c>
      <c r="C7544" s="1">
        <v>44083</v>
      </c>
      <c r="D7544" t="b">
        <v>1</v>
      </c>
      <c r="E7544" t="s">
        <v>10</v>
      </c>
      <c r="F7544">
        <v>5995</v>
      </c>
    </row>
    <row r="7545" spans="1:6" x14ac:dyDescent="0.25">
      <c r="A7545" t="s">
        <v>14097</v>
      </c>
      <c r="B7545" t="s">
        <v>14098</v>
      </c>
      <c r="C7545" s="1">
        <v>44083</v>
      </c>
      <c r="D7545" t="b">
        <v>1</v>
      </c>
      <c r="E7545" t="s">
        <v>10</v>
      </c>
      <c r="F7545">
        <v>10679</v>
      </c>
    </row>
    <row r="7546" spans="1:6" x14ac:dyDescent="0.25">
      <c r="A7546" t="s">
        <v>14099</v>
      </c>
      <c r="B7546" t="s">
        <v>14100</v>
      </c>
      <c r="C7546" s="1">
        <v>44083</v>
      </c>
      <c r="D7546" t="b">
        <v>1</v>
      </c>
      <c r="E7546" t="s">
        <v>10</v>
      </c>
      <c r="F7546">
        <v>13122</v>
      </c>
    </row>
    <row r="7547" spans="1:6" x14ac:dyDescent="0.25">
      <c r="A7547" t="s">
        <v>14101</v>
      </c>
      <c r="B7547" t="s">
        <v>14102</v>
      </c>
      <c r="C7547" s="1">
        <v>44083</v>
      </c>
      <c r="D7547" t="b">
        <v>1</v>
      </c>
      <c r="E7547" t="s">
        <v>10</v>
      </c>
      <c r="F7547">
        <v>6450</v>
      </c>
    </row>
    <row r="7548" spans="1:6" x14ac:dyDescent="0.25">
      <c r="A7548" t="s">
        <v>14103</v>
      </c>
      <c r="B7548" t="s">
        <v>14104</v>
      </c>
      <c r="C7548" s="1">
        <v>44083</v>
      </c>
      <c r="D7548" t="b">
        <v>1</v>
      </c>
      <c r="E7548" t="s">
        <v>10</v>
      </c>
      <c r="F7548">
        <v>10099</v>
      </c>
    </row>
    <row r="7549" spans="1:6" x14ac:dyDescent="0.25">
      <c r="A7549" t="s">
        <v>14105</v>
      </c>
      <c r="B7549" t="s">
        <v>14106</v>
      </c>
      <c r="C7549" s="1">
        <v>44083</v>
      </c>
      <c r="D7549" t="b">
        <v>1</v>
      </c>
      <c r="E7549" t="s">
        <v>10</v>
      </c>
      <c r="F7549">
        <v>6452</v>
      </c>
    </row>
    <row r="7550" spans="1:6" x14ac:dyDescent="0.25">
      <c r="A7550" t="s">
        <v>14107</v>
      </c>
      <c r="B7550" t="s">
        <v>14108</v>
      </c>
      <c r="C7550" s="1">
        <v>44083</v>
      </c>
      <c r="D7550" t="b">
        <v>1</v>
      </c>
      <c r="E7550" t="s">
        <v>10</v>
      </c>
      <c r="F7550">
        <v>7161</v>
      </c>
    </row>
    <row r="7551" spans="1:6" x14ac:dyDescent="0.25">
      <c r="A7551" t="s">
        <v>14109</v>
      </c>
      <c r="B7551" t="s">
        <v>14110</v>
      </c>
      <c r="C7551" s="1">
        <v>44083</v>
      </c>
      <c r="D7551" t="b">
        <v>1</v>
      </c>
      <c r="E7551" t="s">
        <v>10</v>
      </c>
      <c r="F7551">
        <v>14213</v>
      </c>
    </row>
    <row r="7552" spans="1:6" x14ac:dyDescent="0.25">
      <c r="A7552" t="s">
        <v>14111</v>
      </c>
      <c r="B7552" t="s">
        <v>14112</v>
      </c>
      <c r="C7552" s="1">
        <v>44083</v>
      </c>
      <c r="D7552" t="b">
        <v>1</v>
      </c>
      <c r="E7552" t="s">
        <v>10</v>
      </c>
      <c r="F7552">
        <v>6454</v>
      </c>
    </row>
    <row r="7553" spans="1:6" x14ac:dyDescent="0.25">
      <c r="A7553" t="s">
        <v>14113</v>
      </c>
      <c r="B7553" t="s">
        <v>14114</v>
      </c>
      <c r="C7553" s="1">
        <v>44083</v>
      </c>
      <c r="D7553" t="b">
        <v>1</v>
      </c>
      <c r="E7553" t="s">
        <v>10</v>
      </c>
      <c r="F7553">
        <v>6455</v>
      </c>
    </row>
    <row r="7554" spans="1:6" x14ac:dyDescent="0.25">
      <c r="A7554" t="s">
        <v>14115</v>
      </c>
      <c r="B7554" t="s">
        <v>14116</v>
      </c>
      <c r="C7554" s="1">
        <v>44083</v>
      </c>
      <c r="D7554" t="b">
        <v>0</v>
      </c>
      <c r="E7554" t="s">
        <v>10</v>
      </c>
      <c r="F7554">
        <v>16912</v>
      </c>
    </row>
    <row r="7555" spans="1:6" x14ac:dyDescent="0.25">
      <c r="A7555" t="s">
        <v>14117</v>
      </c>
      <c r="B7555" t="s">
        <v>14118</v>
      </c>
      <c r="C7555" s="1">
        <v>44083</v>
      </c>
      <c r="D7555" t="b">
        <v>1</v>
      </c>
      <c r="E7555" t="s">
        <v>10</v>
      </c>
      <c r="F7555">
        <v>6459</v>
      </c>
    </row>
    <row r="7556" spans="1:6" x14ac:dyDescent="0.25">
      <c r="A7556" t="s">
        <v>14119</v>
      </c>
      <c r="B7556" t="s">
        <v>14120</v>
      </c>
      <c r="C7556" s="1">
        <v>44083</v>
      </c>
      <c r="D7556" t="b">
        <v>1</v>
      </c>
      <c r="E7556" t="s">
        <v>10</v>
      </c>
      <c r="F7556">
        <v>13528</v>
      </c>
    </row>
    <row r="7557" spans="1:6" x14ac:dyDescent="0.25">
      <c r="A7557" t="s">
        <v>14121</v>
      </c>
      <c r="B7557" t="s">
        <v>14122</v>
      </c>
      <c r="C7557" s="1">
        <v>44083</v>
      </c>
      <c r="D7557" t="b">
        <v>1</v>
      </c>
      <c r="E7557" t="s">
        <v>10</v>
      </c>
      <c r="F7557">
        <v>6462</v>
      </c>
    </row>
    <row r="7558" spans="1:6" x14ac:dyDescent="0.25">
      <c r="A7558" t="s">
        <v>14123</v>
      </c>
      <c r="B7558" t="s">
        <v>14124</v>
      </c>
      <c r="C7558" s="1">
        <v>44083</v>
      </c>
      <c r="D7558" t="b">
        <v>1</v>
      </c>
      <c r="E7558" t="s">
        <v>10</v>
      </c>
      <c r="F7558">
        <v>6161</v>
      </c>
    </row>
    <row r="7559" spans="1:6" x14ac:dyDescent="0.25">
      <c r="A7559" t="s">
        <v>14125</v>
      </c>
      <c r="B7559" t="s">
        <v>14126</v>
      </c>
      <c r="C7559" s="1">
        <v>44083</v>
      </c>
      <c r="D7559" t="b">
        <v>1</v>
      </c>
      <c r="E7559" t="s">
        <v>10</v>
      </c>
      <c r="F7559">
        <v>6463</v>
      </c>
    </row>
    <row r="7560" spans="1:6" x14ac:dyDescent="0.25">
      <c r="A7560" t="s">
        <v>14127</v>
      </c>
      <c r="B7560" t="s">
        <v>14128</v>
      </c>
      <c r="C7560" s="1">
        <v>44083</v>
      </c>
      <c r="D7560" t="b">
        <v>1</v>
      </c>
      <c r="E7560" t="s">
        <v>10</v>
      </c>
      <c r="F7560">
        <v>16419</v>
      </c>
    </row>
    <row r="7561" spans="1:6" x14ac:dyDescent="0.25">
      <c r="A7561" t="s">
        <v>14129</v>
      </c>
      <c r="B7561" t="s">
        <v>14130</v>
      </c>
      <c r="C7561" s="1">
        <v>44083</v>
      </c>
      <c r="D7561" t="b">
        <v>1</v>
      </c>
      <c r="E7561" t="s">
        <v>10</v>
      </c>
      <c r="F7561">
        <v>6975</v>
      </c>
    </row>
    <row r="7562" spans="1:6" x14ac:dyDescent="0.25">
      <c r="A7562" t="s">
        <v>14131</v>
      </c>
      <c r="B7562" t="s">
        <v>14132</v>
      </c>
      <c r="C7562" s="1">
        <v>44083</v>
      </c>
      <c r="D7562" t="b">
        <v>1</v>
      </c>
      <c r="E7562" t="s">
        <v>10</v>
      </c>
      <c r="F7562">
        <v>16229</v>
      </c>
    </row>
    <row r="7563" spans="1:6" x14ac:dyDescent="0.25">
      <c r="A7563" t="s">
        <v>14133</v>
      </c>
      <c r="B7563" t="s">
        <v>14076</v>
      </c>
      <c r="C7563" s="1">
        <v>44083</v>
      </c>
      <c r="D7563" t="b">
        <v>1</v>
      </c>
      <c r="E7563" t="s">
        <v>10</v>
      </c>
      <c r="F7563">
        <v>3656</v>
      </c>
    </row>
    <row r="7564" spans="1:6" x14ac:dyDescent="0.25">
      <c r="A7564" t="s">
        <v>14134</v>
      </c>
      <c r="B7564" t="s">
        <v>14135</v>
      </c>
      <c r="C7564" s="1">
        <v>44083</v>
      </c>
      <c r="D7564" t="b">
        <v>1</v>
      </c>
      <c r="E7564" t="s">
        <v>10</v>
      </c>
      <c r="F7564">
        <v>6826</v>
      </c>
    </row>
    <row r="7565" spans="1:6" x14ac:dyDescent="0.25">
      <c r="A7565" t="s">
        <v>14136</v>
      </c>
      <c r="B7565" t="s">
        <v>14137</v>
      </c>
      <c r="C7565" s="1">
        <v>44083</v>
      </c>
      <c r="D7565" t="b">
        <v>1</v>
      </c>
      <c r="E7565" t="s">
        <v>10</v>
      </c>
      <c r="F7565">
        <v>6788</v>
      </c>
    </row>
    <row r="7566" spans="1:6" x14ac:dyDescent="0.25">
      <c r="A7566" t="s">
        <v>14138</v>
      </c>
      <c r="B7566" t="s">
        <v>14139</v>
      </c>
      <c r="C7566" s="1">
        <v>44083</v>
      </c>
      <c r="D7566" t="b">
        <v>1</v>
      </c>
      <c r="E7566" t="s">
        <v>10</v>
      </c>
      <c r="F7566">
        <v>6464</v>
      </c>
    </row>
    <row r="7567" spans="1:6" x14ac:dyDescent="0.25">
      <c r="A7567" t="s">
        <v>14140</v>
      </c>
      <c r="B7567" t="s">
        <v>14141</v>
      </c>
      <c r="C7567" s="1">
        <v>44083</v>
      </c>
      <c r="D7567" t="b">
        <v>1</v>
      </c>
      <c r="E7567" t="s">
        <v>10</v>
      </c>
      <c r="F7567">
        <v>6509</v>
      </c>
    </row>
    <row r="7568" spans="1:6" x14ac:dyDescent="0.25">
      <c r="A7568" t="s">
        <v>14142</v>
      </c>
      <c r="B7568" t="s">
        <v>14143</v>
      </c>
      <c r="C7568" s="1">
        <v>44083</v>
      </c>
      <c r="D7568" t="b">
        <v>0</v>
      </c>
      <c r="E7568" t="s">
        <v>10</v>
      </c>
      <c r="F7568">
        <v>17191</v>
      </c>
    </row>
    <row r="7569" spans="1:6" x14ac:dyDescent="0.25">
      <c r="A7569" t="s">
        <v>14144</v>
      </c>
      <c r="B7569" t="s">
        <v>14145</v>
      </c>
      <c r="C7569" s="1">
        <v>44083</v>
      </c>
      <c r="D7569" t="b">
        <v>1</v>
      </c>
      <c r="E7569" t="s">
        <v>10</v>
      </c>
      <c r="F7569">
        <v>16393</v>
      </c>
    </row>
    <row r="7570" spans="1:6" x14ac:dyDescent="0.25">
      <c r="A7570" t="s">
        <v>14146</v>
      </c>
      <c r="B7570" t="s">
        <v>14147</v>
      </c>
      <c r="C7570" s="1">
        <v>44083</v>
      </c>
      <c r="D7570" t="b">
        <v>1</v>
      </c>
      <c r="E7570" t="s">
        <v>10</v>
      </c>
      <c r="F7570">
        <v>8671</v>
      </c>
    </row>
    <row r="7571" spans="1:6" x14ac:dyDescent="0.25">
      <c r="A7571" t="s">
        <v>14148</v>
      </c>
      <c r="B7571" t="s">
        <v>14149</v>
      </c>
      <c r="C7571" s="1">
        <v>44083</v>
      </c>
      <c r="D7571" t="b">
        <v>1</v>
      </c>
      <c r="E7571" t="s">
        <v>10</v>
      </c>
      <c r="F7571">
        <v>5696</v>
      </c>
    </row>
    <row r="7572" spans="1:6" x14ac:dyDescent="0.25">
      <c r="A7572" t="s">
        <v>14150</v>
      </c>
      <c r="B7572" t="s">
        <v>14151</v>
      </c>
      <c r="C7572" s="1">
        <v>44083</v>
      </c>
      <c r="D7572" t="b">
        <v>1</v>
      </c>
      <c r="E7572" t="s">
        <v>10</v>
      </c>
      <c r="F7572">
        <v>10680</v>
      </c>
    </row>
    <row r="7573" spans="1:6" x14ac:dyDescent="0.25">
      <c r="A7573" t="s">
        <v>14152</v>
      </c>
      <c r="B7573" t="s">
        <v>14153</v>
      </c>
      <c r="C7573" s="1">
        <v>44083</v>
      </c>
      <c r="D7573" t="b">
        <v>1</v>
      </c>
      <c r="E7573" t="s">
        <v>10</v>
      </c>
      <c r="F7573">
        <v>8433</v>
      </c>
    </row>
    <row r="7574" spans="1:6" x14ac:dyDescent="0.25">
      <c r="A7574" t="s">
        <v>14154</v>
      </c>
      <c r="B7574" t="s">
        <v>14155</v>
      </c>
      <c r="C7574" s="1">
        <v>44083</v>
      </c>
      <c r="D7574" t="b">
        <v>1</v>
      </c>
      <c r="E7574" t="s">
        <v>10</v>
      </c>
      <c r="F7574">
        <v>6467</v>
      </c>
    </row>
    <row r="7575" spans="1:6" x14ac:dyDescent="0.25">
      <c r="A7575" t="s">
        <v>14156</v>
      </c>
      <c r="B7575" t="s">
        <v>14157</v>
      </c>
      <c r="C7575" s="1">
        <v>44083</v>
      </c>
      <c r="D7575" t="b">
        <v>1</v>
      </c>
      <c r="E7575" t="s">
        <v>10</v>
      </c>
      <c r="F7575">
        <v>14515</v>
      </c>
    </row>
    <row r="7576" spans="1:6" x14ac:dyDescent="0.25">
      <c r="A7576" t="s">
        <v>14158</v>
      </c>
      <c r="B7576" t="s">
        <v>14159</v>
      </c>
      <c r="C7576" s="1">
        <v>44083</v>
      </c>
      <c r="D7576" t="b">
        <v>1</v>
      </c>
      <c r="E7576" t="s">
        <v>10</v>
      </c>
      <c r="F7576">
        <v>6466</v>
      </c>
    </row>
    <row r="7577" spans="1:6" x14ac:dyDescent="0.25">
      <c r="A7577" t="s">
        <v>14160</v>
      </c>
      <c r="B7577" t="s">
        <v>14161</v>
      </c>
      <c r="C7577" s="1">
        <v>44083</v>
      </c>
      <c r="D7577" t="b">
        <v>1</v>
      </c>
      <c r="E7577" t="s">
        <v>10</v>
      </c>
      <c r="F7577">
        <v>10576</v>
      </c>
    </row>
    <row r="7578" spans="1:6" x14ac:dyDescent="0.25">
      <c r="A7578" t="s">
        <v>14162</v>
      </c>
      <c r="B7578" t="s">
        <v>14163</v>
      </c>
      <c r="C7578" s="1">
        <v>44083</v>
      </c>
      <c r="D7578" t="b">
        <v>1</v>
      </c>
      <c r="E7578" t="s">
        <v>10</v>
      </c>
      <c r="F7578">
        <v>6469</v>
      </c>
    </row>
    <row r="7579" spans="1:6" x14ac:dyDescent="0.25">
      <c r="A7579" t="s">
        <v>14164</v>
      </c>
      <c r="B7579" t="s">
        <v>14165</v>
      </c>
      <c r="C7579" s="1">
        <v>44083</v>
      </c>
      <c r="D7579" t="b">
        <v>1</v>
      </c>
      <c r="E7579" t="s">
        <v>10</v>
      </c>
      <c r="F7579">
        <v>10577</v>
      </c>
    </row>
    <row r="7580" spans="1:6" x14ac:dyDescent="0.25">
      <c r="A7580" t="s">
        <v>14166</v>
      </c>
      <c r="B7580" t="s">
        <v>14167</v>
      </c>
      <c r="C7580" s="1">
        <v>44083</v>
      </c>
      <c r="D7580" t="b">
        <v>1</v>
      </c>
      <c r="E7580" t="s">
        <v>10</v>
      </c>
      <c r="F7580">
        <v>6470</v>
      </c>
    </row>
    <row r="7581" spans="1:6" x14ac:dyDescent="0.25">
      <c r="A7581" t="s">
        <v>14168</v>
      </c>
      <c r="B7581" t="s">
        <v>14169</v>
      </c>
      <c r="C7581" s="1">
        <v>44083</v>
      </c>
      <c r="D7581" t="b">
        <v>1</v>
      </c>
      <c r="E7581" t="s">
        <v>10</v>
      </c>
      <c r="F7581">
        <v>10578</v>
      </c>
    </row>
    <row r="7582" spans="1:6" x14ac:dyDescent="0.25">
      <c r="A7582" t="s">
        <v>14170</v>
      </c>
      <c r="B7582" t="s">
        <v>14171</v>
      </c>
      <c r="C7582" s="1">
        <v>44083</v>
      </c>
      <c r="D7582" t="b">
        <v>1</v>
      </c>
      <c r="E7582" t="s">
        <v>10</v>
      </c>
      <c r="F7582">
        <v>6471</v>
      </c>
    </row>
    <row r="7583" spans="1:6" x14ac:dyDescent="0.25">
      <c r="A7583" t="s">
        <v>14172</v>
      </c>
      <c r="B7583" t="s">
        <v>14173</v>
      </c>
      <c r="C7583" s="1">
        <v>44083</v>
      </c>
      <c r="D7583" t="b">
        <v>1</v>
      </c>
      <c r="E7583" t="s">
        <v>10</v>
      </c>
      <c r="F7583">
        <v>10579</v>
      </c>
    </row>
    <row r="7584" spans="1:6" x14ac:dyDescent="0.25">
      <c r="A7584" t="s">
        <v>14174</v>
      </c>
      <c r="B7584" t="s">
        <v>14175</v>
      </c>
      <c r="C7584" s="1">
        <v>44083</v>
      </c>
      <c r="D7584" t="b">
        <v>1</v>
      </c>
      <c r="E7584" t="s">
        <v>10</v>
      </c>
      <c r="F7584">
        <v>3819</v>
      </c>
    </row>
    <row r="7585" spans="1:6" x14ac:dyDescent="0.25">
      <c r="A7585" t="s">
        <v>14176</v>
      </c>
      <c r="B7585" t="s">
        <v>14177</v>
      </c>
      <c r="C7585" s="1">
        <v>44083</v>
      </c>
      <c r="D7585" t="b">
        <v>1</v>
      </c>
      <c r="E7585" t="s">
        <v>10</v>
      </c>
      <c r="F7585">
        <v>6472</v>
      </c>
    </row>
    <row r="7586" spans="1:6" x14ac:dyDescent="0.25">
      <c r="A7586" t="s">
        <v>14178</v>
      </c>
      <c r="B7586" t="s">
        <v>14179</v>
      </c>
      <c r="C7586" s="1">
        <v>44083</v>
      </c>
      <c r="D7586" t="b">
        <v>0</v>
      </c>
      <c r="E7586" t="s">
        <v>10</v>
      </c>
      <c r="F7586">
        <v>17192</v>
      </c>
    </row>
    <row r="7587" spans="1:6" x14ac:dyDescent="0.25">
      <c r="A7587" t="s">
        <v>14180</v>
      </c>
      <c r="B7587" t="s">
        <v>14181</v>
      </c>
      <c r="C7587" s="1">
        <v>44083</v>
      </c>
      <c r="D7587" t="b">
        <v>1</v>
      </c>
      <c r="E7587" t="s">
        <v>10</v>
      </c>
      <c r="F7587">
        <v>10730</v>
      </c>
    </row>
    <row r="7588" spans="1:6" x14ac:dyDescent="0.25">
      <c r="A7588" t="s">
        <v>14182</v>
      </c>
      <c r="B7588" t="s">
        <v>14183</v>
      </c>
      <c r="C7588" s="1">
        <v>44083</v>
      </c>
      <c r="D7588" t="b">
        <v>1</v>
      </c>
      <c r="E7588" t="s">
        <v>10</v>
      </c>
      <c r="F7588">
        <v>6473</v>
      </c>
    </row>
    <row r="7589" spans="1:6" x14ac:dyDescent="0.25">
      <c r="A7589" t="s">
        <v>14184</v>
      </c>
      <c r="B7589" t="s">
        <v>14185</v>
      </c>
      <c r="C7589" s="1">
        <v>44083</v>
      </c>
      <c r="D7589" t="b">
        <v>1</v>
      </c>
      <c r="E7589" t="s">
        <v>10</v>
      </c>
      <c r="F7589">
        <v>6474</v>
      </c>
    </row>
    <row r="7590" spans="1:6" x14ac:dyDescent="0.25">
      <c r="A7590" t="s">
        <v>14186</v>
      </c>
      <c r="B7590" t="s">
        <v>14187</v>
      </c>
      <c r="C7590" s="1">
        <v>44083</v>
      </c>
      <c r="D7590" t="b">
        <v>1</v>
      </c>
      <c r="E7590" t="s">
        <v>10</v>
      </c>
      <c r="F7590">
        <v>10887</v>
      </c>
    </row>
    <row r="7591" spans="1:6" x14ac:dyDescent="0.25">
      <c r="A7591" t="s">
        <v>14188</v>
      </c>
      <c r="B7591" t="s">
        <v>14189</v>
      </c>
      <c r="C7591" s="1">
        <v>44083</v>
      </c>
      <c r="D7591" t="b">
        <v>1</v>
      </c>
      <c r="E7591" t="s">
        <v>10</v>
      </c>
      <c r="F7591">
        <v>10705</v>
      </c>
    </row>
    <row r="7592" spans="1:6" x14ac:dyDescent="0.25">
      <c r="A7592" t="s">
        <v>14190</v>
      </c>
      <c r="B7592" t="s">
        <v>14191</v>
      </c>
      <c r="C7592" s="1">
        <v>44083</v>
      </c>
      <c r="D7592" t="b">
        <v>1</v>
      </c>
      <c r="E7592" t="s">
        <v>10</v>
      </c>
      <c r="F7592">
        <v>10911</v>
      </c>
    </row>
    <row r="7593" spans="1:6" x14ac:dyDescent="0.25">
      <c r="A7593" t="s">
        <v>14192</v>
      </c>
      <c r="B7593" t="s">
        <v>14193</v>
      </c>
      <c r="C7593" s="1">
        <v>44083</v>
      </c>
      <c r="D7593" t="b">
        <v>1</v>
      </c>
      <c r="E7593" t="s">
        <v>10</v>
      </c>
      <c r="F7593">
        <v>16728</v>
      </c>
    </row>
    <row r="7594" spans="1:6" x14ac:dyDescent="0.25">
      <c r="A7594" t="s">
        <v>14194</v>
      </c>
      <c r="B7594" t="s">
        <v>14195</v>
      </c>
      <c r="C7594" s="1">
        <v>44083</v>
      </c>
      <c r="D7594" t="b">
        <v>1</v>
      </c>
      <c r="E7594" t="s">
        <v>10</v>
      </c>
      <c r="F7594">
        <v>13417</v>
      </c>
    </row>
    <row r="7595" spans="1:6" x14ac:dyDescent="0.25">
      <c r="A7595" t="s">
        <v>14196</v>
      </c>
      <c r="B7595" t="s">
        <v>14197</v>
      </c>
      <c r="C7595" s="1">
        <v>44083</v>
      </c>
      <c r="D7595" t="b">
        <v>1</v>
      </c>
      <c r="E7595" t="s">
        <v>10</v>
      </c>
      <c r="F7595">
        <v>13123</v>
      </c>
    </row>
    <row r="7596" spans="1:6" x14ac:dyDescent="0.25">
      <c r="A7596" t="s">
        <v>14198</v>
      </c>
      <c r="B7596" t="s">
        <v>14199</v>
      </c>
      <c r="C7596" s="1">
        <v>44083</v>
      </c>
      <c r="D7596" t="b">
        <v>1</v>
      </c>
      <c r="E7596" t="s">
        <v>10</v>
      </c>
      <c r="F7596">
        <v>6476</v>
      </c>
    </row>
    <row r="7597" spans="1:6" x14ac:dyDescent="0.25">
      <c r="A7597" t="s">
        <v>14200</v>
      </c>
      <c r="B7597" t="s">
        <v>14201</v>
      </c>
      <c r="C7597" s="1">
        <v>44083</v>
      </c>
      <c r="D7597" t="b">
        <v>1</v>
      </c>
      <c r="E7597" t="s">
        <v>10</v>
      </c>
      <c r="F7597">
        <v>6478</v>
      </c>
    </row>
    <row r="7598" spans="1:6" x14ac:dyDescent="0.25">
      <c r="A7598" t="s">
        <v>14202</v>
      </c>
      <c r="B7598" t="s">
        <v>14203</v>
      </c>
      <c r="C7598" s="1">
        <v>44083</v>
      </c>
      <c r="D7598" t="b">
        <v>1</v>
      </c>
      <c r="E7598" t="s">
        <v>10</v>
      </c>
      <c r="F7598">
        <v>6479</v>
      </c>
    </row>
    <row r="7599" spans="1:6" x14ac:dyDescent="0.25">
      <c r="A7599" t="s">
        <v>14204</v>
      </c>
      <c r="B7599" t="s">
        <v>14205</v>
      </c>
      <c r="C7599" s="1">
        <v>44083</v>
      </c>
      <c r="D7599" t="b">
        <v>1</v>
      </c>
      <c r="E7599" t="s">
        <v>10</v>
      </c>
      <c r="F7599">
        <v>4068</v>
      </c>
    </row>
    <row r="7600" spans="1:6" x14ac:dyDescent="0.25">
      <c r="A7600" t="s">
        <v>14206</v>
      </c>
      <c r="C7600" s="1">
        <v>44083</v>
      </c>
      <c r="D7600" t="b">
        <v>1</v>
      </c>
      <c r="E7600" t="s">
        <v>10</v>
      </c>
      <c r="F7600">
        <v>15747</v>
      </c>
    </row>
    <row r="7601" spans="1:6" x14ac:dyDescent="0.25">
      <c r="A7601" t="s">
        <v>14207</v>
      </c>
      <c r="B7601" t="s">
        <v>14208</v>
      </c>
      <c r="C7601" s="1">
        <v>44083</v>
      </c>
      <c r="D7601" t="b">
        <v>1</v>
      </c>
      <c r="E7601" t="s">
        <v>10</v>
      </c>
      <c r="F7601">
        <v>16182</v>
      </c>
    </row>
    <row r="7602" spans="1:6" x14ac:dyDescent="0.25">
      <c r="A7602" t="s">
        <v>14209</v>
      </c>
      <c r="B7602" t="s">
        <v>14210</v>
      </c>
      <c r="C7602" s="1">
        <v>44083</v>
      </c>
      <c r="D7602" t="b">
        <v>1</v>
      </c>
      <c r="E7602" t="s">
        <v>10</v>
      </c>
      <c r="F7602">
        <v>16131</v>
      </c>
    </row>
    <row r="7603" spans="1:6" x14ac:dyDescent="0.25">
      <c r="A7603" t="s">
        <v>14211</v>
      </c>
      <c r="C7603" s="1">
        <v>44083</v>
      </c>
      <c r="D7603" t="b">
        <v>1</v>
      </c>
      <c r="E7603" t="s">
        <v>10</v>
      </c>
      <c r="F7603">
        <v>16428</v>
      </c>
    </row>
    <row r="7604" spans="1:6" x14ac:dyDescent="0.25">
      <c r="A7604" t="s">
        <v>14212</v>
      </c>
      <c r="B7604" t="s">
        <v>14213</v>
      </c>
      <c r="C7604" s="1">
        <v>44083</v>
      </c>
      <c r="D7604" t="b">
        <v>1</v>
      </c>
      <c r="E7604" t="s">
        <v>10</v>
      </c>
      <c r="F7604">
        <v>11972</v>
      </c>
    </row>
    <row r="7605" spans="1:6" x14ac:dyDescent="0.25">
      <c r="A7605" t="s">
        <v>14214</v>
      </c>
      <c r="B7605" t="s">
        <v>14215</v>
      </c>
      <c r="C7605" s="1">
        <v>44083</v>
      </c>
      <c r="D7605" t="b">
        <v>1</v>
      </c>
      <c r="E7605" t="s">
        <v>10</v>
      </c>
      <c r="F7605">
        <v>6481</v>
      </c>
    </row>
    <row r="7606" spans="1:6" x14ac:dyDescent="0.25">
      <c r="A7606" t="s">
        <v>14216</v>
      </c>
      <c r="C7606" s="1">
        <v>44083</v>
      </c>
      <c r="D7606" t="b">
        <v>1</v>
      </c>
      <c r="E7606" t="s">
        <v>10</v>
      </c>
      <c r="F7606">
        <v>13512</v>
      </c>
    </row>
    <row r="7607" spans="1:6" x14ac:dyDescent="0.25">
      <c r="A7607" t="s">
        <v>14217</v>
      </c>
      <c r="B7607" t="s">
        <v>14218</v>
      </c>
      <c r="C7607" s="1">
        <v>44083</v>
      </c>
      <c r="D7607" t="b">
        <v>1</v>
      </c>
      <c r="E7607" t="s">
        <v>10</v>
      </c>
      <c r="F7607">
        <v>6482</v>
      </c>
    </row>
    <row r="7608" spans="1:6" x14ac:dyDescent="0.25">
      <c r="A7608" t="s">
        <v>14219</v>
      </c>
      <c r="B7608" t="s">
        <v>14220</v>
      </c>
      <c r="C7608" s="1">
        <v>44083</v>
      </c>
      <c r="D7608" t="b">
        <v>1</v>
      </c>
      <c r="E7608" t="s">
        <v>10</v>
      </c>
      <c r="F7608">
        <v>6483</v>
      </c>
    </row>
    <row r="7609" spans="1:6" x14ac:dyDescent="0.25">
      <c r="A7609" t="s">
        <v>14221</v>
      </c>
      <c r="B7609" t="s">
        <v>14222</v>
      </c>
      <c r="C7609" s="1">
        <v>44083</v>
      </c>
      <c r="D7609" t="b">
        <v>1</v>
      </c>
      <c r="E7609" t="s">
        <v>10</v>
      </c>
      <c r="F7609">
        <v>6484</v>
      </c>
    </row>
    <row r="7610" spans="1:6" x14ac:dyDescent="0.25">
      <c r="A7610" t="s">
        <v>14223</v>
      </c>
      <c r="B7610" t="s">
        <v>14224</v>
      </c>
      <c r="C7610" s="1">
        <v>44083</v>
      </c>
      <c r="D7610" t="b">
        <v>1</v>
      </c>
      <c r="E7610" t="s">
        <v>10</v>
      </c>
      <c r="F7610">
        <v>6485</v>
      </c>
    </row>
    <row r="7611" spans="1:6" x14ac:dyDescent="0.25">
      <c r="A7611" t="s">
        <v>14225</v>
      </c>
      <c r="C7611" s="1">
        <v>44083</v>
      </c>
      <c r="D7611" t="b">
        <v>1</v>
      </c>
      <c r="E7611" t="s">
        <v>10</v>
      </c>
      <c r="F7611">
        <v>14018</v>
      </c>
    </row>
    <row r="7612" spans="1:6" x14ac:dyDescent="0.25">
      <c r="A7612" t="s">
        <v>14226</v>
      </c>
      <c r="C7612" s="1">
        <v>44083</v>
      </c>
      <c r="D7612" t="b">
        <v>1</v>
      </c>
      <c r="E7612" t="s">
        <v>10</v>
      </c>
      <c r="F7612">
        <v>14843</v>
      </c>
    </row>
    <row r="7613" spans="1:6" x14ac:dyDescent="0.25">
      <c r="A7613" t="s">
        <v>14227</v>
      </c>
      <c r="C7613" s="1">
        <v>44083</v>
      </c>
      <c r="D7613" t="b">
        <v>1</v>
      </c>
      <c r="E7613" t="s">
        <v>10</v>
      </c>
      <c r="F7613">
        <v>15884</v>
      </c>
    </row>
    <row r="7614" spans="1:6" x14ac:dyDescent="0.25">
      <c r="A7614" t="s">
        <v>14228</v>
      </c>
      <c r="B7614" t="s">
        <v>14229</v>
      </c>
      <c r="C7614" s="1">
        <v>44083</v>
      </c>
      <c r="D7614" t="b">
        <v>1</v>
      </c>
      <c r="E7614" t="s">
        <v>10</v>
      </c>
      <c r="F7614">
        <v>9833</v>
      </c>
    </row>
    <row r="7615" spans="1:6" x14ac:dyDescent="0.25">
      <c r="A7615" t="s">
        <v>14230</v>
      </c>
      <c r="B7615" t="s">
        <v>14231</v>
      </c>
      <c r="C7615" s="1">
        <v>44083</v>
      </c>
      <c r="D7615" t="b">
        <v>1</v>
      </c>
      <c r="E7615" t="s">
        <v>10</v>
      </c>
      <c r="F7615">
        <v>6486</v>
      </c>
    </row>
    <row r="7616" spans="1:6" x14ac:dyDescent="0.25">
      <c r="A7616" t="s">
        <v>14232</v>
      </c>
      <c r="B7616" t="s">
        <v>14233</v>
      </c>
      <c r="C7616" s="1">
        <v>44083</v>
      </c>
      <c r="D7616" t="b">
        <v>1</v>
      </c>
      <c r="E7616" t="s">
        <v>10</v>
      </c>
      <c r="F7616">
        <v>10107</v>
      </c>
    </row>
    <row r="7617" spans="1:6" x14ac:dyDescent="0.25">
      <c r="A7617" t="s">
        <v>14234</v>
      </c>
      <c r="C7617" s="1">
        <v>44083</v>
      </c>
      <c r="D7617" t="b">
        <v>1</v>
      </c>
      <c r="E7617" t="s">
        <v>10</v>
      </c>
      <c r="F7617">
        <v>13937</v>
      </c>
    </row>
    <row r="7618" spans="1:6" x14ac:dyDescent="0.25">
      <c r="A7618" t="s">
        <v>14235</v>
      </c>
      <c r="B7618" t="s">
        <v>14236</v>
      </c>
      <c r="C7618" s="1">
        <v>44083</v>
      </c>
      <c r="D7618" t="b">
        <v>1</v>
      </c>
      <c r="E7618" t="s">
        <v>10</v>
      </c>
      <c r="F7618">
        <v>6013</v>
      </c>
    </row>
    <row r="7619" spans="1:6" x14ac:dyDescent="0.25">
      <c r="A7619" t="s">
        <v>14237</v>
      </c>
      <c r="B7619" t="s">
        <v>14238</v>
      </c>
      <c r="C7619" s="1">
        <v>44083</v>
      </c>
      <c r="D7619" t="b">
        <v>1</v>
      </c>
      <c r="E7619" t="s">
        <v>10</v>
      </c>
      <c r="F7619">
        <v>6488</v>
      </c>
    </row>
    <row r="7620" spans="1:6" x14ac:dyDescent="0.25">
      <c r="A7620" t="s">
        <v>14239</v>
      </c>
      <c r="B7620" t="s">
        <v>14240</v>
      </c>
      <c r="C7620" s="1">
        <v>44083</v>
      </c>
      <c r="D7620" t="b">
        <v>1</v>
      </c>
      <c r="E7620" t="s">
        <v>10</v>
      </c>
      <c r="F7620">
        <v>13139</v>
      </c>
    </row>
    <row r="7621" spans="1:6" x14ac:dyDescent="0.25">
      <c r="A7621" t="s">
        <v>14241</v>
      </c>
      <c r="B7621" t="s">
        <v>14242</v>
      </c>
      <c r="C7621" s="1">
        <v>44083</v>
      </c>
      <c r="D7621" t="b">
        <v>1</v>
      </c>
      <c r="E7621" t="s">
        <v>10</v>
      </c>
      <c r="F7621">
        <v>6489</v>
      </c>
    </row>
    <row r="7622" spans="1:6" x14ac:dyDescent="0.25">
      <c r="A7622" t="s">
        <v>14243</v>
      </c>
      <c r="B7622" t="s">
        <v>14244</v>
      </c>
      <c r="C7622" s="1">
        <v>44083</v>
      </c>
      <c r="D7622" t="b">
        <v>1</v>
      </c>
      <c r="E7622" t="s">
        <v>10</v>
      </c>
      <c r="F7622">
        <v>7872</v>
      </c>
    </row>
    <row r="7623" spans="1:6" x14ac:dyDescent="0.25">
      <c r="A7623" t="s">
        <v>14245</v>
      </c>
      <c r="B7623" t="s">
        <v>14246</v>
      </c>
      <c r="C7623" s="1">
        <v>44083</v>
      </c>
      <c r="D7623" t="b">
        <v>1</v>
      </c>
      <c r="E7623" t="s">
        <v>10</v>
      </c>
      <c r="F7623">
        <v>8048</v>
      </c>
    </row>
    <row r="7624" spans="1:6" x14ac:dyDescent="0.25">
      <c r="A7624" t="s">
        <v>14247</v>
      </c>
      <c r="B7624" t="s">
        <v>14248</v>
      </c>
      <c r="C7624" s="1">
        <v>44083</v>
      </c>
      <c r="D7624" t="b">
        <v>1</v>
      </c>
      <c r="E7624" t="s">
        <v>10</v>
      </c>
      <c r="F7624">
        <v>6490</v>
      </c>
    </row>
    <row r="7625" spans="1:6" x14ac:dyDescent="0.25">
      <c r="A7625" t="s">
        <v>14249</v>
      </c>
      <c r="B7625" t="s">
        <v>14250</v>
      </c>
      <c r="C7625" s="1">
        <v>44083</v>
      </c>
      <c r="D7625" t="b">
        <v>1</v>
      </c>
      <c r="E7625" t="s">
        <v>10</v>
      </c>
      <c r="F7625">
        <v>10295</v>
      </c>
    </row>
    <row r="7626" spans="1:6" x14ac:dyDescent="0.25">
      <c r="A7626" t="s">
        <v>14251</v>
      </c>
      <c r="B7626" t="s">
        <v>14252</v>
      </c>
      <c r="C7626" s="1">
        <v>44083</v>
      </c>
      <c r="D7626" t="b">
        <v>1</v>
      </c>
      <c r="E7626" t="s">
        <v>10</v>
      </c>
      <c r="F7626">
        <v>14490</v>
      </c>
    </row>
    <row r="7627" spans="1:6" x14ac:dyDescent="0.25">
      <c r="A7627" t="s">
        <v>14253</v>
      </c>
      <c r="B7627" t="s">
        <v>14254</v>
      </c>
      <c r="C7627" s="1">
        <v>44083</v>
      </c>
      <c r="D7627" t="b">
        <v>1</v>
      </c>
      <c r="E7627" t="s">
        <v>10</v>
      </c>
      <c r="F7627">
        <v>6491</v>
      </c>
    </row>
    <row r="7628" spans="1:6" x14ac:dyDescent="0.25">
      <c r="A7628" t="s">
        <v>14255</v>
      </c>
      <c r="B7628" t="s">
        <v>14256</v>
      </c>
      <c r="C7628" s="1">
        <v>44083</v>
      </c>
      <c r="D7628" t="b">
        <v>1</v>
      </c>
      <c r="E7628" t="s">
        <v>10</v>
      </c>
      <c r="F7628">
        <v>6492</v>
      </c>
    </row>
    <row r="7629" spans="1:6" x14ac:dyDescent="0.25">
      <c r="A7629" t="s">
        <v>14257</v>
      </c>
      <c r="B7629" t="s">
        <v>14258</v>
      </c>
      <c r="C7629" s="1">
        <v>44083</v>
      </c>
      <c r="D7629" t="b">
        <v>1</v>
      </c>
      <c r="E7629" t="s">
        <v>10</v>
      </c>
      <c r="F7629">
        <v>11068</v>
      </c>
    </row>
    <row r="7630" spans="1:6" x14ac:dyDescent="0.25">
      <c r="A7630" t="s">
        <v>14259</v>
      </c>
      <c r="B7630" t="s">
        <v>14260</v>
      </c>
      <c r="C7630" s="1">
        <v>44083</v>
      </c>
      <c r="D7630" t="b">
        <v>1</v>
      </c>
      <c r="E7630" t="s">
        <v>10</v>
      </c>
      <c r="F7630">
        <v>6493</v>
      </c>
    </row>
    <row r="7631" spans="1:6" x14ac:dyDescent="0.25">
      <c r="A7631" t="s">
        <v>14261</v>
      </c>
      <c r="B7631" t="s">
        <v>14262</v>
      </c>
      <c r="C7631" s="1">
        <v>44083</v>
      </c>
      <c r="D7631" t="b">
        <v>1</v>
      </c>
      <c r="E7631" t="s">
        <v>10</v>
      </c>
      <c r="F7631">
        <v>6494</v>
      </c>
    </row>
    <row r="7632" spans="1:6" x14ac:dyDescent="0.25">
      <c r="A7632" t="s">
        <v>14263</v>
      </c>
      <c r="B7632" t="s">
        <v>14264</v>
      </c>
      <c r="C7632" s="1">
        <v>44083</v>
      </c>
      <c r="D7632" t="b">
        <v>1</v>
      </c>
      <c r="E7632" t="s">
        <v>10</v>
      </c>
      <c r="F7632">
        <v>14544</v>
      </c>
    </row>
    <row r="7633" spans="1:6" x14ac:dyDescent="0.25">
      <c r="A7633" t="s">
        <v>14265</v>
      </c>
      <c r="B7633" t="s">
        <v>14266</v>
      </c>
      <c r="C7633" s="1">
        <v>44083</v>
      </c>
      <c r="D7633" t="b">
        <v>1</v>
      </c>
      <c r="E7633" t="s">
        <v>10</v>
      </c>
      <c r="F7633">
        <v>6117</v>
      </c>
    </row>
    <row r="7634" spans="1:6" x14ac:dyDescent="0.25">
      <c r="A7634" t="s">
        <v>14267</v>
      </c>
      <c r="B7634" t="s">
        <v>14268</v>
      </c>
      <c r="C7634" s="1">
        <v>44083</v>
      </c>
      <c r="D7634" t="b">
        <v>1</v>
      </c>
      <c r="E7634" t="s">
        <v>10</v>
      </c>
      <c r="F7634">
        <v>6495</v>
      </c>
    </row>
    <row r="7635" spans="1:6" x14ac:dyDescent="0.25">
      <c r="A7635" t="s">
        <v>14269</v>
      </c>
      <c r="B7635" t="s">
        <v>14270</v>
      </c>
      <c r="C7635" s="1">
        <v>44083</v>
      </c>
      <c r="D7635" t="b">
        <v>1</v>
      </c>
      <c r="E7635" t="s">
        <v>10</v>
      </c>
      <c r="F7635">
        <v>6496</v>
      </c>
    </row>
    <row r="7636" spans="1:6" x14ac:dyDescent="0.25">
      <c r="A7636" t="s">
        <v>14271</v>
      </c>
      <c r="B7636" t="s">
        <v>14272</v>
      </c>
      <c r="C7636" s="1">
        <v>44083</v>
      </c>
      <c r="D7636" t="b">
        <v>1</v>
      </c>
      <c r="E7636" t="s">
        <v>10</v>
      </c>
      <c r="F7636">
        <v>6498</v>
      </c>
    </row>
    <row r="7637" spans="1:6" x14ac:dyDescent="0.25">
      <c r="A7637" t="s">
        <v>14273</v>
      </c>
      <c r="B7637" t="s">
        <v>14274</v>
      </c>
      <c r="C7637" s="1">
        <v>44083</v>
      </c>
      <c r="D7637" t="b">
        <v>1</v>
      </c>
      <c r="E7637" t="s">
        <v>10</v>
      </c>
      <c r="F7637">
        <v>4319</v>
      </c>
    </row>
    <row r="7638" spans="1:6" x14ac:dyDescent="0.25">
      <c r="A7638" t="s">
        <v>14275</v>
      </c>
      <c r="B7638" t="s">
        <v>14276</v>
      </c>
      <c r="C7638" s="1">
        <v>44083</v>
      </c>
      <c r="D7638" t="b">
        <v>1</v>
      </c>
      <c r="E7638" t="s">
        <v>10</v>
      </c>
      <c r="F7638">
        <v>6501</v>
      </c>
    </row>
    <row r="7639" spans="1:6" x14ac:dyDescent="0.25">
      <c r="A7639" t="s">
        <v>14277</v>
      </c>
      <c r="B7639" t="s">
        <v>14278</v>
      </c>
      <c r="C7639" s="1">
        <v>44083</v>
      </c>
      <c r="D7639" t="b">
        <v>1</v>
      </c>
      <c r="E7639" t="s">
        <v>10</v>
      </c>
      <c r="F7639">
        <v>16760</v>
      </c>
    </row>
    <row r="7640" spans="1:6" x14ac:dyDescent="0.25">
      <c r="A7640" t="s">
        <v>14279</v>
      </c>
      <c r="B7640" t="s">
        <v>14280</v>
      </c>
      <c r="C7640" s="1">
        <v>44083</v>
      </c>
      <c r="D7640" t="b">
        <v>1</v>
      </c>
      <c r="E7640" t="s">
        <v>10</v>
      </c>
      <c r="F7640">
        <v>6503</v>
      </c>
    </row>
    <row r="7641" spans="1:6" x14ac:dyDescent="0.25">
      <c r="A7641" t="s">
        <v>14281</v>
      </c>
      <c r="B7641" t="s">
        <v>14282</v>
      </c>
      <c r="C7641" s="1">
        <v>44083</v>
      </c>
      <c r="D7641" t="b">
        <v>1</v>
      </c>
      <c r="E7641" t="s">
        <v>10</v>
      </c>
      <c r="F7641">
        <v>12800</v>
      </c>
    </row>
    <row r="7642" spans="1:6" x14ac:dyDescent="0.25">
      <c r="A7642" t="s">
        <v>14283</v>
      </c>
      <c r="B7642" t="s">
        <v>14284</v>
      </c>
      <c r="C7642" s="1">
        <v>44083</v>
      </c>
      <c r="D7642" t="b">
        <v>1</v>
      </c>
      <c r="E7642" t="s">
        <v>10</v>
      </c>
      <c r="F7642">
        <v>6505</v>
      </c>
    </row>
    <row r="7643" spans="1:6" x14ac:dyDescent="0.25">
      <c r="A7643" t="s">
        <v>14285</v>
      </c>
      <c r="B7643" t="s">
        <v>14286</v>
      </c>
      <c r="C7643" s="1">
        <v>44083</v>
      </c>
      <c r="D7643" t="b">
        <v>1</v>
      </c>
      <c r="E7643" t="s">
        <v>10</v>
      </c>
      <c r="F7643">
        <v>6506</v>
      </c>
    </row>
    <row r="7644" spans="1:6" x14ac:dyDescent="0.25">
      <c r="A7644" t="s">
        <v>14287</v>
      </c>
      <c r="B7644" t="s">
        <v>14288</v>
      </c>
      <c r="C7644" s="1">
        <v>44083</v>
      </c>
      <c r="D7644" t="b">
        <v>1</v>
      </c>
      <c r="E7644" t="s">
        <v>10</v>
      </c>
      <c r="F7644">
        <v>16008</v>
      </c>
    </row>
    <row r="7645" spans="1:6" x14ac:dyDescent="0.25">
      <c r="A7645" t="s">
        <v>14289</v>
      </c>
      <c r="B7645" t="s">
        <v>14290</v>
      </c>
      <c r="C7645" s="1">
        <v>44083</v>
      </c>
      <c r="D7645" t="b">
        <v>1</v>
      </c>
      <c r="E7645" t="s">
        <v>10</v>
      </c>
      <c r="F7645">
        <v>15952</v>
      </c>
    </row>
    <row r="7646" spans="1:6" x14ac:dyDescent="0.25">
      <c r="A7646" t="s">
        <v>14291</v>
      </c>
      <c r="C7646" s="1">
        <v>44083</v>
      </c>
      <c r="D7646" t="b">
        <v>1</v>
      </c>
      <c r="E7646" t="s">
        <v>10</v>
      </c>
      <c r="F7646">
        <v>16148</v>
      </c>
    </row>
    <row r="7647" spans="1:6" x14ac:dyDescent="0.25">
      <c r="A7647" t="s">
        <v>14292</v>
      </c>
      <c r="B7647" t="s">
        <v>14293</v>
      </c>
      <c r="C7647" s="1">
        <v>44083</v>
      </c>
      <c r="D7647" t="b">
        <v>1</v>
      </c>
      <c r="E7647" t="s">
        <v>10</v>
      </c>
      <c r="F7647">
        <v>15355</v>
      </c>
    </row>
    <row r="7648" spans="1:6" x14ac:dyDescent="0.25">
      <c r="A7648" t="s">
        <v>14294</v>
      </c>
      <c r="B7648" t="s">
        <v>14295</v>
      </c>
      <c r="C7648" s="1">
        <v>44083</v>
      </c>
      <c r="D7648" t="b">
        <v>1</v>
      </c>
      <c r="E7648" t="s">
        <v>10</v>
      </c>
      <c r="F7648">
        <v>6507</v>
      </c>
    </row>
    <row r="7649" spans="1:6" x14ac:dyDescent="0.25">
      <c r="A7649" t="s">
        <v>14296</v>
      </c>
      <c r="B7649" t="s">
        <v>14297</v>
      </c>
      <c r="C7649" s="1">
        <v>44083</v>
      </c>
      <c r="D7649" t="b">
        <v>1</v>
      </c>
      <c r="E7649" t="s">
        <v>10</v>
      </c>
      <c r="F7649">
        <v>3036</v>
      </c>
    </row>
    <row r="7650" spans="1:6" x14ac:dyDescent="0.25">
      <c r="A7650" t="s">
        <v>14298</v>
      </c>
      <c r="B7650" t="s">
        <v>14299</v>
      </c>
      <c r="C7650" s="1">
        <v>44083</v>
      </c>
      <c r="D7650" t="b">
        <v>1</v>
      </c>
      <c r="E7650" t="s">
        <v>10</v>
      </c>
      <c r="F7650">
        <v>12876</v>
      </c>
    </row>
    <row r="7651" spans="1:6" x14ac:dyDescent="0.25">
      <c r="A7651" t="s">
        <v>14300</v>
      </c>
      <c r="B7651" t="s">
        <v>14301</v>
      </c>
      <c r="C7651" s="1">
        <v>44083</v>
      </c>
      <c r="D7651" t="b">
        <v>1</v>
      </c>
      <c r="E7651" t="s">
        <v>10</v>
      </c>
      <c r="F7651">
        <v>6510</v>
      </c>
    </row>
    <row r="7652" spans="1:6" x14ac:dyDescent="0.25">
      <c r="A7652" t="s">
        <v>14302</v>
      </c>
      <c r="B7652" t="s">
        <v>14303</v>
      </c>
      <c r="C7652" s="1">
        <v>44083</v>
      </c>
      <c r="D7652" t="b">
        <v>1</v>
      </c>
      <c r="E7652" t="s">
        <v>10</v>
      </c>
      <c r="F7652">
        <v>16468</v>
      </c>
    </row>
    <row r="7653" spans="1:6" x14ac:dyDescent="0.25">
      <c r="A7653" t="s">
        <v>14304</v>
      </c>
      <c r="B7653" t="s">
        <v>14305</v>
      </c>
      <c r="C7653" s="1">
        <v>44083</v>
      </c>
      <c r="D7653" t="b">
        <v>1</v>
      </c>
      <c r="E7653" t="s">
        <v>10</v>
      </c>
      <c r="F7653">
        <v>6512</v>
      </c>
    </row>
    <row r="7654" spans="1:6" x14ac:dyDescent="0.25">
      <c r="A7654" t="s">
        <v>14306</v>
      </c>
      <c r="B7654" t="s">
        <v>14307</v>
      </c>
      <c r="C7654" s="1">
        <v>44083</v>
      </c>
      <c r="D7654" t="b">
        <v>1</v>
      </c>
      <c r="E7654" t="s">
        <v>10</v>
      </c>
      <c r="F7654">
        <v>6513</v>
      </c>
    </row>
    <row r="7655" spans="1:6" x14ac:dyDescent="0.25">
      <c r="A7655" t="s">
        <v>14308</v>
      </c>
      <c r="B7655" t="s">
        <v>14309</v>
      </c>
      <c r="C7655" s="1">
        <v>44083</v>
      </c>
      <c r="D7655" t="b">
        <v>1</v>
      </c>
      <c r="E7655" t="s">
        <v>10</v>
      </c>
      <c r="F7655">
        <v>14323</v>
      </c>
    </row>
    <row r="7656" spans="1:6" x14ac:dyDescent="0.25">
      <c r="A7656" t="s">
        <v>14310</v>
      </c>
      <c r="B7656" t="s">
        <v>14311</v>
      </c>
      <c r="C7656" s="1">
        <v>44083</v>
      </c>
      <c r="D7656" t="b">
        <v>1</v>
      </c>
      <c r="E7656" t="s">
        <v>10</v>
      </c>
      <c r="F7656">
        <v>6515</v>
      </c>
    </row>
    <row r="7657" spans="1:6" x14ac:dyDescent="0.25">
      <c r="A7657" t="s">
        <v>14312</v>
      </c>
      <c r="B7657" t="s">
        <v>14313</v>
      </c>
      <c r="C7657" s="1">
        <v>44083</v>
      </c>
      <c r="D7657" t="b">
        <v>1</v>
      </c>
      <c r="E7657" t="s">
        <v>10</v>
      </c>
      <c r="F7657">
        <v>10628</v>
      </c>
    </row>
    <row r="7658" spans="1:6" x14ac:dyDescent="0.25">
      <c r="A7658" t="s">
        <v>14314</v>
      </c>
      <c r="B7658" t="s">
        <v>14315</v>
      </c>
      <c r="C7658" s="1">
        <v>44083</v>
      </c>
      <c r="D7658" t="b">
        <v>1</v>
      </c>
      <c r="E7658" t="s">
        <v>10</v>
      </c>
      <c r="F7658">
        <v>6516</v>
      </c>
    </row>
    <row r="7659" spans="1:6" x14ac:dyDescent="0.25">
      <c r="A7659" t="s">
        <v>14316</v>
      </c>
      <c r="C7659" s="1">
        <v>44083</v>
      </c>
      <c r="D7659" t="b">
        <v>1</v>
      </c>
      <c r="E7659" t="s">
        <v>10</v>
      </c>
      <c r="F7659">
        <v>11159</v>
      </c>
    </row>
    <row r="7660" spans="1:6" x14ac:dyDescent="0.25">
      <c r="A7660" t="s">
        <v>14317</v>
      </c>
      <c r="B7660" t="s">
        <v>14318</v>
      </c>
      <c r="C7660" s="1">
        <v>44083</v>
      </c>
      <c r="D7660" t="b">
        <v>1</v>
      </c>
      <c r="E7660" t="s">
        <v>10</v>
      </c>
      <c r="F7660">
        <v>6212</v>
      </c>
    </row>
    <row r="7661" spans="1:6" x14ac:dyDescent="0.25">
      <c r="A7661" t="s">
        <v>14319</v>
      </c>
      <c r="C7661" s="1">
        <v>44083</v>
      </c>
      <c r="D7661" t="b">
        <v>1</v>
      </c>
      <c r="E7661" t="s">
        <v>10</v>
      </c>
      <c r="F7661">
        <v>6213</v>
      </c>
    </row>
    <row r="7662" spans="1:6" x14ac:dyDescent="0.25">
      <c r="A7662" t="s">
        <v>14320</v>
      </c>
      <c r="C7662" s="1">
        <v>44083</v>
      </c>
      <c r="D7662" t="b">
        <v>1</v>
      </c>
      <c r="E7662" t="s">
        <v>10</v>
      </c>
      <c r="F7662">
        <v>6216</v>
      </c>
    </row>
    <row r="7663" spans="1:6" x14ac:dyDescent="0.25">
      <c r="A7663" t="s">
        <v>14321</v>
      </c>
      <c r="C7663" s="1">
        <v>44083</v>
      </c>
      <c r="D7663" t="b">
        <v>1</v>
      </c>
      <c r="E7663" t="s">
        <v>10</v>
      </c>
      <c r="F7663">
        <v>6217</v>
      </c>
    </row>
    <row r="7664" spans="1:6" x14ac:dyDescent="0.25">
      <c r="A7664" t="s">
        <v>14322</v>
      </c>
      <c r="B7664" t="s">
        <v>14323</v>
      </c>
      <c r="C7664" s="1">
        <v>44083</v>
      </c>
      <c r="D7664" t="b">
        <v>1</v>
      </c>
      <c r="E7664" t="s">
        <v>10</v>
      </c>
      <c r="F7664">
        <v>8070</v>
      </c>
    </row>
    <row r="7665" spans="1:6" x14ac:dyDescent="0.25">
      <c r="A7665" t="s">
        <v>14324</v>
      </c>
      <c r="B7665" t="s">
        <v>14325</v>
      </c>
      <c r="C7665" s="1">
        <v>44083</v>
      </c>
      <c r="D7665" t="b">
        <v>1</v>
      </c>
      <c r="E7665" t="s">
        <v>10</v>
      </c>
      <c r="F7665">
        <v>6521</v>
      </c>
    </row>
    <row r="7666" spans="1:6" x14ac:dyDescent="0.25">
      <c r="A7666" t="s">
        <v>14326</v>
      </c>
      <c r="B7666" t="s">
        <v>14327</v>
      </c>
      <c r="C7666" s="1">
        <v>44083</v>
      </c>
      <c r="D7666" t="b">
        <v>1</v>
      </c>
      <c r="E7666" t="s">
        <v>10</v>
      </c>
      <c r="F7666">
        <v>6523</v>
      </c>
    </row>
    <row r="7667" spans="1:6" x14ac:dyDescent="0.25">
      <c r="A7667" t="s">
        <v>14328</v>
      </c>
      <c r="B7667" t="s">
        <v>14329</v>
      </c>
      <c r="C7667" s="1">
        <v>44083</v>
      </c>
      <c r="D7667" t="b">
        <v>1</v>
      </c>
      <c r="E7667" t="s">
        <v>10</v>
      </c>
      <c r="F7667">
        <v>4442</v>
      </c>
    </row>
    <row r="7668" spans="1:6" x14ac:dyDescent="0.25">
      <c r="A7668" t="s">
        <v>14330</v>
      </c>
      <c r="B7668" t="s">
        <v>14331</v>
      </c>
      <c r="C7668" s="1">
        <v>44083</v>
      </c>
      <c r="D7668" t="b">
        <v>1</v>
      </c>
      <c r="E7668" t="s">
        <v>10</v>
      </c>
      <c r="F7668">
        <v>15568</v>
      </c>
    </row>
    <row r="7669" spans="1:6" x14ac:dyDescent="0.25">
      <c r="A7669" t="s">
        <v>14332</v>
      </c>
      <c r="B7669" t="s">
        <v>14333</v>
      </c>
      <c r="C7669" s="1">
        <v>44083</v>
      </c>
      <c r="D7669" t="b">
        <v>1</v>
      </c>
      <c r="E7669" t="s">
        <v>10</v>
      </c>
      <c r="F7669">
        <v>6529</v>
      </c>
    </row>
    <row r="7670" spans="1:6" x14ac:dyDescent="0.25">
      <c r="A7670" t="s">
        <v>14334</v>
      </c>
      <c r="B7670" t="s">
        <v>14335</v>
      </c>
      <c r="C7670" s="1">
        <v>44083</v>
      </c>
      <c r="D7670" t="b">
        <v>1</v>
      </c>
      <c r="E7670" t="s">
        <v>10</v>
      </c>
      <c r="F7670">
        <v>14195</v>
      </c>
    </row>
    <row r="7671" spans="1:6" x14ac:dyDescent="0.25">
      <c r="A7671" t="s">
        <v>14336</v>
      </c>
      <c r="B7671" t="s">
        <v>14337</v>
      </c>
      <c r="C7671" s="1">
        <v>44083</v>
      </c>
      <c r="D7671" t="b">
        <v>1</v>
      </c>
      <c r="E7671" t="s">
        <v>10</v>
      </c>
      <c r="F7671">
        <v>14703</v>
      </c>
    </row>
    <row r="7672" spans="1:6" x14ac:dyDescent="0.25">
      <c r="A7672" t="s">
        <v>14338</v>
      </c>
      <c r="B7672" t="s">
        <v>14339</v>
      </c>
      <c r="C7672" s="1">
        <v>44083</v>
      </c>
      <c r="D7672" t="b">
        <v>1</v>
      </c>
      <c r="E7672" t="s">
        <v>10</v>
      </c>
      <c r="F7672">
        <v>6533</v>
      </c>
    </row>
    <row r="7673" spans="1:6" x14ac:dyDescent="0.25">
      <c r="A7673" t="s">
        <v>14340</v>
      </c>
      <c r="B7673" t="s">
        <v>14341</v>
      </c>
      <c r="C7673" s="1">
        <v>44083</v>
      </c>
      <c r="D7673" t="b">
        <v>1</v>
      </c>
      <c r="E7673" t="s">
        <v>10</v>
      </c>
      <c r="F7673">
        <v>6535</v>
      </c>
    </row>
    <row r="7674" spans="1:6" x14ac:dyDescent="0.25">
      <c r="A7674" t="s">
        <v>14342</v>
      </c>
      <c r="B7674" t="s">
        <v>14343</v>
      </c>
      <c r="C7674" s="1">
        <v>44083</v>
      </c>
      <c r="D7674" t="b">
        <v>1</v>
      </c>
      <c r="E7674" t="s">
        <v>10</v>
      </c>
      <c r="F7674">
        <v>6536</v>
      </c>
    </row>
    <row r="7675" spans="1:6" x14ac:dyDescent="0.25">
      <c r="A7675" t="s">
        <v>14344</v>
      </c>
      <c r="B7675" t="s">
        <v>14345</v>
      </c>
      <c r="C7675" s="1">
        <v>44083</v>
      </c>
      <c r="D7675" t="b">
        <v>1</v>
      </c>
      <c r="E7675" t="s">
        <v>10</v>
      </c>
      <c r="F7675">
        <v>9975</v>
      </c>
    </row>
    <row r="7676" spans="1:6" x14ac:dyDescent="0.25">
      <c r="A7676" t="s">
        <v>14346</v>
      </c>
      <c r="B7676" t="s">
        <v>14347</v>
      </c>
      <c r="C7676" s="1">
        <v>44083</v>
      </c>
      <c r="D7676" t="b">
        <v>1</v>
      </c>
      <c r="E7676" t="s">
        <v>10</v>
      </c>
      <c r="F7676">
        <v>5269</v>
      </c>
    </row>
    <row r="7677" spans="1:6" x14ac:dyDescent="0.25">
      <c r="A7677" t="s">
        <v>14348</v>
      </c>
      <c r="C7677" s="1">
        <v>44083</v>
      </c>
      <c r="D7677" t="b">
        <v>1</v>
      </c>
      <c r="E7677" t="s">
        <v>10</v>
      </c>
      <c r="F7677">
        <v>13474</v>
      </c>
    </row>
    <row r="7678" spans="1:6" x14ac:dyDescent="0.25">
      <c r="A7678" t="s">
        <v>14349</v>
      </c>
      <c r="B7678" t="s">
        <v>14350</v>
      </c>
      <c r="C7678" s="1">
        <v>44083</v>
      </c>
      <c r="D7678" t="b">
        <v>1</v>
      </c>
      <c r="E7678" t="s">
        <v>10</v>
      </c>
      <c r="F7678">
        <v>16677</v>
      </c>
    </row>
    <row r="7679" spans="1:6" x14ac:dyDescent="0.25">
      <c r="A7679" t="s">
        <v>14351</v>
      </c>
      <c r="B7679" t="s">
        <v>14352</v>
      </c>
      <c r="C7679" s="1">
        <v>44083</v>
      </c>
      <c r="D7679" t="b">
        <v>1</v>
      </c>
      <c r="E7679" t="s">
        <v>10</v>
      </c>
      <c r="F7679">
        <v>6539</v>
      </c>
    </row>
    <row r="7680" spans="1:6" x14ac:dyDescent="0.25">
      <c r="A7680" t="s">
        <v>14353</v>
      </c>
      <c r="B7680" t="s">
        <v>14354</v>
      </c>
      <c r="C7680" s="1">
        <v>44083</v>
      </c>
      <c r="D7680" t="b">
        <v>1</v>
      </c>
      <c r="E7680" t="s">
        <v>10</v>
      </c>
      <c r="F7680">
        <v>16462</v>
      </c>
    </row>
    <row r="7681" spans="1:6" x14ac:dyDescent="0.25">
      <c r="A7681" t="s">
        <v>14355</v>
      </c>
      <c r="B7681" t="s">
        <v>14356</v>
      </c>
      <c r="C7681" s="1">
        <v>44083</v>
      </c>
      <c r="D7681" t="b">
        <v>1</v>
      </c>
      <c r="E7681" t="s">
        <v>10</v>
      </c>
      <c r="F7681">
        <v>16463</v>
      </c>
    </row>
    <row r="7682" spans="1:6" x14ac:dyDescent="0.25">
      <c r="A7682" t="s">
        <v>14357</v>
      </c>
      <c r="B7682" t="s">
        <v>14358</v>
      </c>
      <c r="C7682" s="1">
        <v>44083</v>
      </c>
      <c r="D7682" t="b">
        <v>1</v>
      </c>
      <c r="E7682" t="s">
        <v>10</v>
      </c>
      <c r="F7682">
        <v>6541</v>
      </c>
    </row>
    <row r="7683" spans="1:6" x14ac:dyDescent="0.25">
      <c r="A7683" t="s">
        <v>14359</v>
      </c>
      <c r="B7683" t="s">
        <v>14360</v>
      </c>
      <c r="C7683" s="1">
        <v>44083</v>
      </c>
      <c r="D7683" t="b">
        <v>1</v>
      </c>
      <c r="E7683" t="s">
        <v>10</v>
      </c>
      <c r="F7683">
        <v>16678</v>
      </c>
    </row>
    <row r="7684" spans="1:6" x14ac:dyDescent="0.25">
      <c r="A7684" t="s">
        <v>14361</v>
      </c>
      <c r="B7684" t="s">
        <v>14362</v>
      </c>
      <c r="C7684" s="1">
        <v>44083</v>
      </c>
      <c r="D7684" t="b">
        <v>1</v>
      </c>
      <c r="E7684" t="s">
        <v>10</v>
      </c>
      <c r="F7684">
        <v>6543</v>
      </c>
    </row>
    <row r="7685" spans="1:6" x14ac:dyDescent="0.25">
      <c r="A7685" t="s">
        <v>14363</v>
      </c>
      <c r="B7685" t="s">
        <v>14364</v>
      </c>
      <c r="C7685" s="1">
        <v>44083</v>
      </c>
      <c r="D7685" t="b">
        <v>1</v>
      </c>
      <c r="E7685" t="s">
        <v>10</v>
      </c>
      <c r="F7685">
        <v>6544</v>
      </c>
    </row>
    <row r="7686" spans="1:6" x14ac:dyDescent="0.25">
      <c r="A7686" t="s">
        <v>14365</v>
      </c>
      <c r="B7686" t="s">
        <v>14366</v>
      </c>
      <c r="C7686" s="1">
        <v>44083</v>
      </c>
      <c r="D7686" t="b">
        <v>1</v>
      </c>
      <c r="E7686" t="s">
        <v>10</v>
      </c>
      <c r="F7686">
        <v>6545</v>
      </c>
    </row>
    <row r="7687" spans="1:6" x14ac:dyDescent="0.25">
      <c r="A7687" t="s">
        <v>14367</v>
      </c>
      <c r="B7687" t="s">
        <v>14368</v>
      </c>
      <c r="C7687" s="1">
        <v>44083</v>
      </c>
      <c r="D7687" t="b">
        <v>1</v>
      </c>
      <c r="E7687" t="s">
        <v>10</v>
      </c>
      <c r="F7687">
        <v>15103</v>
      </c>
    </row>
    <row r="7688" spans="1:6" x14ac:dyDescent="0.25">
      <c r="A7688" t="s">
        <v>14369</v>
      </c>
      <c r="B7688" t="s">
        <v>14370</v>
      </c>
      <c r="C7688" s="1">
        <v>44083</v>
      </c>
      <c r="D7688" t="b">
        <v>1</v>
      </c>
      <c r="E7688" t="s">
        <v>10</v>
      </c>
      <c r="F7688">
        <v>6546</v>
      </c>
    </row>
    <row r="7689" spans="1:6" x14ac:dyDescent="0.25">
      <c r="A7689" t="s">
        <v>14371</v>
      </c>
      <c r="B7689" t="s">
        <v>14372</v>
      </c>
      <c r="C7689" s="1">
        <v>44083</v>
      </c>
      <c r="D7689" t="b">
        <v>1</v>
      </c>
      <c r="E7689" t="s">
        <v>10</v>
      </c>
      <c r="F7689">
        <v>15755</v>
      </c>
    </row>
    <row r="7690" spans="1:6" x14ac:dyDescent="0.25">
      <c r="A7690" t="s">
        <v>14373</v>
      </c>
      <c r="B7690" t="s">
        <v>14374</v>
      </c>
      <c r="C7690" s="1">
        <v>44083</v>
      </c>
      <c r="D7690" t="b">
        <v>1</v>
      </c>
      <c r="E7690" t="s">
        <v>10</v>
      </c>
      <c r="F7690">
        <v>16434</v>
      </c>
    </row>
    <row r="7691" spans="1:6" x14ac:dyDescent="0.25">
      <c r="A7691" t="s">
        <v>14375</v>
      </c>
      <c r="B7691" t="s">
        <v>14376</v>
      </c>
      <c r="C7691" s="1">
        <v>44083</v>
      </c>
      <c r="D7691" t="b">
        <v>1</v>
      </c>
      <c r="E7691" t="s">
        <v>10</v>
      </c>
      <c r="F7691">
        <v>9208</v>
      </c>
    </row>
    <row r="7692" spans="1:6" x14ac:dyDescent="0.25">
      <c r="A7692" t="s">
        <v>14377</v>
      </c>
      <c r="B7692" t="s">
        <v>14378</v>
      </c>
      <c r="C7692" s="1">
        <v>44083</v>
      </c>
      <c r="D7692" t="b">
        <v>1</v>
      </c>
      <c r="E7692" t="s">
        <v>10</v>
      </c>
      <c r="F7692">
        <v>11233</v>
      </c>
    </row>
    <row r="7693" spans="1:6" x14ac:dyDescent="0.25">
      <c r="A7693" t="s">
        <v>14379</v>
      </c>
      <c r="B7693" t="s">
        <v>14380</v>
      </c>
      <c r="C7693" s="1">
        <v>44083</v>
      </c>
      <c r="D7693" t="b">
        <v>1</v>
      </c>
      <c r="E7693" t="s">
        <v>10</v>
      </c>
      <c r="F7693">
        <v>17044</v>
      </c>
    </row>
    <row r="7694" spans="1:6" x14ac:dyDescent="0.25">
      <c r="A7694" t="s">
        <v>14381</v>
      </c>
      <c r="B7694" t="s">
        <v>14382</v>
      </c>
      <c r="C7694" s="1">
        <v>44083</v>
      </c>
      <c r="D7694" t="b">
        <v>1</v>
      </c>
      <c r="E7694" t="s">
        <v>10</v>
      </c>
      <c r="F7694">
        <v>6552</v>
      </c>
    </row>
    <row r="7695" spans="1:6" x14ac:dyDescent="0.25">
      <c r="A7695" t="s">
        <v>14383</v>
      </c>
      <c r="B7695" t="s">
        <v>14384</v>
      </c>
      <c r="C7695" s="1">
        <v>44083</v>
      </c>
      <c r="D7695" t="b">
        <v>1</v>
      </c>
      <c r="E7695" t="s">
        <v>10</v>
      </c>
      <c r="F7695">
        <v>6554</v>
      </c>
    </row>
    <row r="7696" spans="1:6" x14ac:dyDescent="0.25">
      <c r="A7696" t="s">
        <v>14385</v>
      </c>
      <c r="B7696" t="s">
        <v>14386</v>
      </c>
      <c r="C7696" s="1">
        <v>44083</v>
      </c>
      <c r="D7696" t="b">
        <v>1</v>
      </c>
      <c r="E7696" t="s">
        <v>10</v>
      </c>
      <c r="F7696">
        <v>6556</v>
      </c>
    </row>
    <row r="7697" spans="1:6" x14ac:dyDescent="0.25">
      <c r="A7697" t="s">
        <v>14387</v>
      </c>
      <c r="B7697" t="s">
        <v>14388</v>
      </c>
      <c r="C7697" s="1">
        <v>44083</v>
      </c>
      <c r="D7697" t="b">
        <v>1</v>
      </c>
      <c r="E7697" t="s">
        <v>10</v>
      </c>
      <c r="F7697">
        <v>6557</v>
      </c>
    </row>
    <row r="7698" spans="1:6" x14ac:dyDescent="0.25">
      <c r="A7698" t="s">
        <v>14389</v>
      </c>
      <c r="B7698" t="s">
        <v>14390</v>
      </c>
      <c r="C7698" s="1">
        <v>44083</v>
      </c>
      <c r="D7698" t="b">
        <v>1</v>
      </c>
      <c r="E7698" t="s">
        <v>10</v>
      </c>
      <c r="F7698">
        <v>14972</v>
      </c>
    </row>
    <row r="7699" spans="1:6" x14ac:dyDescent="0.25">
      <c r="A7699" t="s">
        <v>14391</v>
      </c>
      <c r="B7699" t="s">
        <v>14392</v>
      </c>
      <c r="C7699" s="1">
        <v>44083</v>
      </c>
      <c r="D7699" t="b">
        <v>1</v>
      </c>
      <c r="E7699" t="s">
        <v>10</v>
      </c>
      <c r="F7699">
        <v>6560</v>
      </c>
    </row>
    <row r="7700" spans="1:6" x14ac:dyDescent="0.25">
      <c r="A7700" t="s">
        <v>14393</v>
      </c>
      <c r="B7700" t="s">
        <v>14394</v>
      </c>
      <c r="C7700" s="1">
        <v>44083</v>
      </c>
      <c r="D7700" t="b">
        <v>1</v>
      </c>
      <c r="E7700" t="s">
        <v>10</v>
      </c>
      <c r="F7700">
        <v>6561</v>
      </c>
    </row>
    <row r="7701" spans="1:6" x14ac:dyDescent="0.25">
      <c r="A7701" t="s">
        <v>14395</v>
      </c>
      <c r="B7701" t="s">
        <v>14396</v>
      </c>
      <c r="C7701" s="1">
        <v>44083</v>
      </c>
      <c r="D7701" t="b">
        <v>1</v>
      </c>
      <c r="E7701" t="s">
        <v>10</v>
      </c>
      <c r="F7701">
        <v>16016</v>
      </c>
    </row>
    <row r="7702" spans="1:6" x14ac:dyDescent="0.25">
      <c r="A7702" t="s">
        <v>14397</v>
      </c>
      <c r="B7702" t="s">
        <v>14398</v>
      </c>
      <c r="C7702" s="1">
        <v>44083</v>
      </c>
      <c r="D7702" t="b">
        <v>1</v>
      </c>
      <c r="E7702" t="s">
        <v>10</v>
      </c>
      <c r="F7702">
        <v>16679</v>
      </c>
    </row>
    <row r="7703" spans="1:6" x14ac:dyDescent="0.25">
      <c r="A7703" t="s">
        <v>14399</v>
      </c>
      <c r="B7703" t="s">
        <v>14400</v>
      </c>
      <c r="C7703" s="1">
        <v>44083</v>
      </c>
      <c r="D7703" t="b">
        <v>1</v>
      </c>
      <c r="E7703" t="s">
        <v>10</v>
      </c>
      <c r="F7703">
        <v>6567</v>
      </c>
    </row>
    <row r="7704" spans="1:6" x14ac:dyDescent="0.25">
      <c r="A7704" t="s">
        <v>14401</v>
      </c>
      <c r="C7704" s="1">
        <v>44083</v>
      </c>
      <c r="D7704" t="b">
        <v>1</v>
      </c>
      <c r="E7704" t="s">
        <v>10</v>
      </c>
      <c r="F7704">
        <v>8436</v>
      </c>
    </row>
    <row r="7705" spans="1:6" x14ac:dyDescent="0.25">
      <c r="A7705" t="s">
        <v>14402</v>
      </c>
      <c r="C7705" s="1">
        <v>44083</v>
      </c>
      <c r="D7705" t="b">
        <v>1</v>
      </c>
      <c r="E7705" t="s">
        <v>10</v>
      </c>
      <c r="F7705">
        <v>11240</v>
      </c>
    </row>
    <row r="7706" spans="1:6" x14ac:dyDescent="0.25">
      <c r="A7706" t="s">
        <v>14403</v>
      </c>
      <c r="B7706" t="s">
        <v>14404</v>
      </c>
      <c r="C7706" s="1">
        <v>44083</v>
      </c>
      <c r="D7706" t="b">
        <v>1</v>
      </c>
      <c r="E7706" t="s">
        <v>10</v>
      </c>
      <c r="F7706">
        <v>6570</v>
      </c>
    </row>
    <row r="7707" spans="1:6" x14ac:dyDescent="0.25">
      <c r="A7707" t="s">
        <v>14405</v>
      </c>
      <c r="B7707" t="s">
        <v>14406</v>
      </c>
      <c r="C7707" s="1">
        <v>44083</v>
      </c>
      <c r="D7707" t="b">
        <v>1</v>
      </c>
      <c r="E7707" t="s">
        <v>10</v>
      </c>
      <c r="F7707">
        <v>6571</v>
      </c>
    </row>
    <row r="7708" spans="1:6" x14ac:dyDescent="0.25">
      <c r="A7708" t="s">
        <v>14407</v>
      </c>
      <c r="B7708" t="s">
        <v>14408</v>
      </c>
      <c r="C7708" s="1">
        <v>44083</v>
      </c>
      <c r="D7708" t="b">
        <v>1</v>
      </c>
      <c r="E7708" t="s">
        <v>10</v>
      </c>
      <c r="F7708">
        <v>14421</v>
      </c>
    </row>
    <row r="7709" spans="1:6" x14ac:dyDescent="0.25">
      <c r="A7709" t="s">
        <v>14409</v>
      </c>
      <c r="B7709" t="s">
        <v>14410</v>
      </c>
      <c r="C7709" s="1">
        <v>44083</v>
      </c>
      <c r="D7709" t="b">
        <v>1</v>
      </c>
      <c r="E7709" t="s">
        <v>10</v>
      </c>
      <c r="F7709">
        <v>6572</v>
      </c>
    </row>
    <row r="7710" spans="1:6" x14ac:dyDescent="0.25">
      <c r="A7710" t="s">
        <v>14411</v>
      </c>
      <c r="B7710" t="s">
        <v>14412</v>
      </c>
      <c r="C7710" s="1">
        <v>44083</v>
      </c>
      <c r="D7710" t="b">
        <v>1</v>
      </c>
      <c r="E7710" t="s">
        <v>10</v>
      </c>
      <c r="F7710">
        <v>6573</v>
      </c>
    </row>
    <row r="7711" spans="1:6" x14ac:dyDescent="0.25">
      <c r="A7711" t="s">
        <v>14413</v>
      </c>
      <c r="B7711" t="s">
        <v>14414</v>
      </c>
      <c r="C7711" s="1">
        <v>44083</v>
      </c>
      <c r="D7711" t="b">
        <v>1</v>
      </c>
      <c r="E7711" t="s">
        <v>10</v>
      </c>
      <c r="F7711">
        <v>6574</v>
      </c>
    </row>
    <row r="7712" spans="1:6" x14ac:dyDescent="0.25">
      <c r="A7712" t="s">
        <v>14415</v>
      </c>
      <c r="B7712" t="s">
        <v>14416</v>
      </c>
      <c r="C7712" s="1">
        <v>44083</v>
      </c>
      <c r="D7712" t="b">
        <v>1</v>
      </c>
      <c r="E7712" t="s">
        <v>10</v>
      </c>
      <c r="F7712">
        <v>6575</v>
      </c>
    </row>
    <row r="7713" spans="1:6" x14ac:dyDescent="0.25">
      <c r="A7713" t="s">
        <v>14417</v>
      </c>
      <c r="B7713" t="s">
        <v>14418</v>
      </c>
      <c r="C7713" s="1">
        <v>44083</v>
      </c>
      <c r="D7713" t="b">
        <v>1</v>
      </c>
      <c r="E7713" t="s">
        <v>10</v>
      </c>
      <c r="F7713">
        <v>6576</v>
      </c>
    </row>
    <row r="7714" spans="1:6" x14ac:dyDescent="0.25">
      <c r="A7714" t="s">
        <v>14419</v>
      </c>
      <c r="B7714" t="s">
        <v>14420</v>
      </c>
      <c r="C7714" s="1">
        <v>44083</v>
      </c>
      <c r="D7714" t="b">
        <v>1</v>
      </c>
      <c r="E7714" t="s">
        <v>10</v>
      </c>
      <c r="F7714">
        <v>6578</v>
      </c>
    </row>
    <row r="7715" spans="1:6" x14ac:dyDescent="0.25">
      <c r="A7715" t="s">
        <v>14421</v>
      </c>
      <c r="B7715" t="s">
        <v>14422</v>
      </c>
      <c r="C7715" s="1">
        <v>44083</v>
      </c>
      <c r="D7715" t="b">
        <v>1</v>
      </c>
      <c r="E7715" t="s">
        <v>10</v>
      </c>
      <c r="F7715">
        <v>9649</v>
      </c>
    </row>
    <row r="7716" spans="1:6" x14ac:dyDescent="0.25">
      <c r="A7716" t="s">
        <v>14423</v>
      </c>
      <c r="B7716" t="s">
        <v>14424</v>
      </c>
      <c r="C7716" s="1">
        <v>44083</v>
      </c>
      <c r="D7716" t="b">
        <v>1</v>
      </c>
      <c r="E7716" t="s">
        <v>10</v>
      </c>
      <c r="F7716">
        <v>6580</v>
      </c>
    </row>
    <row r="7717" spans="1:6" x14ac:dyDescent="0.25">
      <c r="A7717" t="s">
        <v>14425</v>
      </c>
      <c r="B7717" t="s">
        <v>14426</v>
      </c>
      <c r="C7717" s="1">
        <v>44083</v>
      </c>
      <c r="D7717" t="b">
        <v>1</v>
      </c>
      <c r="E7717" t="s">
        <v>10</v>
      </c>
      <c r="F7717">
        <v>6588</v>
      </c>
    </row>
    <row r="7718" spans="1:6" x14ac:dyDescent="0.25">
      <c r="A7718" t="s">
        <v>14427</v>
      </c>
      <c r="B7718" t="s">
        <v>14428</v>
      </c>
      <c r="C7718" s="1">
        <v>44083</v>
      </c>
      <c r="D7718" t="b">
        <v>1</v>
      </c>
      <c r="E7718" t="s">
        <v>10</v>
      </c>
      <c r="F7718">
        <v>6583</v>
      </c>
    </row>
    <row r="7719" spans="1:6" x14ac:dyDescent="0.25">
      <c r="A7719" t="s">
        <v>14429</v>
      </c>
      <c r="B7719" t="s">
        <v>14430</v>
      </c>
      <c r="C7719" s="1">
        <v>44083</v>
      </c>
      <c r="D7719" t="b">
        <v>1</v>
      </c>
      <c r="E7719" t="s">
        <v>10</v>
      </c>
      <c r="F7719">
        <v>9790</v>
      </c>
    </row>
    <row r="7720" spans="1:6" x14ac:dyDescent="0.25">
      <c r="A7720" t="s">
        <v>14431</v>
      </c>
      <c r="B7720" t="s">
        <v>14432</v>
      </c>
      <c r="C7720" s="1">
        <v>44083</v>
      </c>
      <c r="D7720" t="b">
        <v>1</v>
      </c>
      <c r="E7720" t="s">
        <v>10</v>
      </c>
      <c r="F7720">
        <v>6584</v>
      </c>
    </row>
    <row r="7721" spans="1:6" x14ac:dyDescent="0.25">
      <c r="A7721" t="s">
        <v>14433</v>
      </c>
      <c r="B7721" t="s">
        <v>14434</v>
      </c>
      <c r="C7721" s="1">
        <v>44083</v>
      </c>
      <c r="D7721" t="b">
        <v>1</v>
      </c>
      <c r="E7721" t="s">
        <v>10</v>
      </c>
      <c r="F7721">
        <v>6585</v>
      </c>
    </row>
    <row r="7722" spans="1:6" x14ac:dyDescent="0.25">
      <c r="A7722" t="s">
        <v>14435</v>
      </c>
      <c r="B7722" t="s">
        <v>14436</v>
      </c>
      <c r="C7722" s="1">
        <v>44083</v>
      </c>
      <c r="D7722" t="b">
        <v>1</v>
      </c>
      <c r="E7722" t="s">
        <v>10</v>
      </c>
      <c r="F7722">
        <v>11351</v>
      </c>
    </row>
    <row r="7723" spans="1:6" x14ac:dyDescent="0.25">
      <c r="A7723" t="s">
        <v>14437</v>
      </c>
      <c r="B7723" t="s">
        <v>14438</v>
      </c>
      <c r="C7723" s="1">
        <v>44083</v>
      </c>
      <c r="D7723" t="b">
        <v>1</v>
      </c>
      <c r="E7723" t="s">
        <v>10</v>
      </c>
      <c r="F7723">
        <v>14291</v>
      </c>
    </row>
    <row r="7724" spans="1:6" x14ac:dyDescent="0.25">
      <c r="A7724" t="s">
        <v>14439</v>
      </c>
      <c r="B7724" t="s">
        <v>14440</v>
      </c>
      <c r="C7724" s="1">
        <v>44083</v>
      </c>
      <c r="D7724" t="b">
        <v>1</v>
      </c>
      <c r="E7724" t="s">
        <v>10</v>
      </c>
      <c r="F7724">
        <v>3931</v>
      </c>
    </row>
    <row r="7725" spans="1:6" x14ac:dyDescent="0.25">
      <c r="A7725" t="s">
        <v>14441</v>
      </c>
      <c r="B7725" t="s">
        <v>14442</v>
      </c>
      <c r="C7725" s="1">
        <v>44083</v>
      </c>
      <c r="D7725" t="b">
        <v>1</v>
      </c>
      <c r="E7725" t="s">
        <v>10</v>
      </c>
      <c r="F7725">
        <v>13124</v>
      </c>
    </row>
    <row r="7726" spans="1:6" x14ac:dyDescent="0.25">
      <c r="A7726" t="s">
        <v>14443</v>
      </c>
      <c r="B7726" t="s">
        <v>14444</v>
      </c>
      <c r="C7726" s="1">
        <v>44083</v>
      </c>
      <c r="D7726" t="b">
        <v>1</v>
      </c>
      <c r="E7726" t="s">
        <v>10</v>
      </c>
      <c r="F7726">
        <v>13125</v>
      </c>
    </row>
    <row r="7727" spans="1:6" x14ac:dyDescent="0.25">
      <c r="A7727" t="s">
        <v>14445</v>
      </c>
      <c r="B7727" t="s">
        <v>14446</v>
      </c>
      <c r="C7727" s="1">
        <v>44083</v>
      </c>
      <c r="D7727" t="b">
        <v>1</v>
      </c>
      <c r="E7727" t="s">
        <v>10</v>
      </c>
      <c r="F7727">
        <v>15704</v>
      </c>
    </row>
    <row r="7728" spans="1:6" x14ac:dyDescent="0.25">
      <c r="A7728" t="s">
        <v>14447</v>
      </c>
      <c r="B7728" t="s">
        <v>14448</v>
      </c>
      <c r="C7728" s="1">
        <v>44083</v>
      </c>
      <c r="D7728" t="b">
        <v>1</v>
      </c>
      <c r="E7728" t="s">
        <v>10</v>
      </c>
      <c r="F7728">
        <v>15296</v>
      </c>
    </row>
    <row r="7729" spans="1:6" x14ac:dyDescent="0.25">
      <c r="A7729" t="s">
        <v>14449</v>
      </c>
      <c r="B7729" t="s">
        <v>14450</v>
      </c>
      <c r="C7729" s="1">
        <v>44083</v>
      </c>
      <c r="D7729" t="b">
        <v>1</v>
      </c>
      <c r="E7729" t="s">
        <v>10</v>
      </c>
      <c r="F7729">
        <v>6592</v>
      </c>
    </row>
    <row r="7730" spans="1:6" x14ac:dyDescent="0.25">
      <c r="A7730" t="s">
        <v>14451</v>
      </c>
      <c r="B7730" t="s">
        <v>14452</v>
      </c>
      <c r="C7730" s="1">
        <v>44083</v>
      </c>
      <c r="D7730" t="b">
        <v>1</v>
      </c>
      <c r="E7730" t="s">
        <v>10</v>
      </c>
      <c r="F7730">
        <v>6593</v>
      </c>
    </row>
    <row r="7731" spans="1:6" x14ac:dyDescent="0.25">
      <c r="A7731" t="s">
        <v>14453</v>
      </c>
      <c r="B7731" t="s">
        <v>14454</v>
      </c>
      <c r="C7731" s="1">
        <v>44083</v>
      </c>
      <c r="D7731" t="b">
        <v>1</v>
      </c>
      <c r="E7731" t="s">
        <v>10</v>
      </c>
      <c r="F7731">
        <v>3265</v>
      </c>
    </row>
    <row r="7732" spans="1:6" x14ac:dyDescent="0.25">
      <c r="A7732" t="s">
        <v>14455</v>
      </c>
      <c r="B7732" t="s">
        <v>14456</v>
      </c>
      <c r="C7732" s="1">
        <v>44083</v>
      </c>
      <c r="D7732" t="b">
        <v>1</v>
      </c>
      <c r="E7732" t="s">
        <v>10</v>
      </c>
      <c r="F7732">
        <v>6596</v>
      </c>
    </row>
    <row r="7733" spans="1:6" x14ac:dyDescent="0.25">
      <c r="A7733" t="s">
        <v>14457</v>
      </c>
      <c r="B7733" t="s">
        <v>14458</v>
      </c>
      <c r="C7733" s="1">
        <v>44083</v>
      </c>
      <c r="D7733" t="b">
        <v>1</v>
      </c>
      <c r="E7733" t="s">
        <v>10</v>
      </c>
      <c r="F7733">
        <v>14973</v>
      </c>
    </row>
    <row r="7734" spans="1:6" x14ac:dyDescent="0.25">
      <c r="A7734" t="s">
        <v>14459</v>
      </c>
      <c r="B7734" t="s">
        <v>14460</v>
      </c>
      <c r="C7734" s="1">
        <v>44083</v>
      </c>
      <c r="D7734" t="b">
        <v>1</v>
      </c>
      <c r="E7734" t="s">
        <v>10</v>
      </c>
      <c r="F7734">
        <v>4577</v>
      </c>
    </row>
    <row r="7735" spans="1:6" x14ac:dyDescent="0.25">
      <c r="A7735" t="s">
        <v>14461</v>
      </c>
      <c r="B7735" t="s">
        <v>14462</v>
      </c>
      <c r="C7735" s="1">
        <v>44083</v>
      </c>
      <c r="D7735" t="b">
        <v>1</v>
      </c>
      <c r="E7735" t="s">
        <v>10</v>
      </c>
      <c r="F7735">
        <v>6598</v>
      </c>
    </row>
    <row r="7736" spans="1:6" x14ac:dyDescent="0.25">
      <c r="A7736" t="s">
        <v>14463</v>
      </c>
      <c r="B7736" t="s">
        <v>14464</v>
      </c>
      <c r="C7736" s="1">
        <v>44083</v>
      </c>
      <c r="D7736" t="b">
        <v>1</v>
      </c>
      <c r="E7736" t="s">
        <v>10</v>
      </c>
      <c r="F7736">
        <v>6600</v>
      </c>
    </row>
    <row r="7737" spans="1:6" x14ac:dyDescent="0.25">
      <c r="A7737" t="s">
        <v>14465</v>
      </c>
      <c r="B7737" t="s">
        <v>14466</v>
      </c>
      <c r="C7737" s="1">
        <v>44083</v>
      </c>
      <c r="D7737" t="b">
        <v>1</v>
      </c>
      <c r="E7737" t="s">
        <v>10</v>
      </c>
      <c r="F7737">
        <v>6601</v>
      </c>
    </row>
    <row r="7738" spans="1:6" x14ac:dyDescent="0.25">
      <c r="A7738" t="s">
        <v>14467</v>
      </c>
      <c r="B7738" t="s">
        <v>14468</v>
      </c>
      <c r="C7738" s="1">
        <v>44083</v>
      </c>
      <c r="D7738" t="b">
        <v>1</v>
      </c>
      <c r="E7738" t="s">
        <v>10</v>
      </c>
      <c r="F7738">
        <v>15207</v>
      </c>
    </row>
    <row r="7739" spans="1:6" x14ac:dyDescent="0.25">
      <c r="A7739" t="s">
        <v>14469</v>
      </c>
      <c r="B7739" t="s">
        <v>14470</v>
      </c>
      <c r="C7739" s="1">
        <v>44083</v>
      </c>
      <c r="D7739" t="b">
        <v>1</v>
      </c>
      <c r="E7739" t="s">
        <v>10</v>
      </c>
      <c r="F7739">
        <v>15434</v>
      </c>
    </row>
    <row r="7740" spans="1:6" x14ac:dyDescent="0.25">
      <c r="A7740" t="s">
        <v>14471</v>
      </c>
      <c r="B7740" t="s">
        <v>14472</v>
      </c>
      <c r="C7740" s="1">
        <v>44083</v>
      </c>
      <c r="D7740" t="b">
        <v>1</v>
      </c>
      <c r="E7740" t="s">
        <v>10</v>
      </c>
      <c r="F7740">
        <v>6604</v>
      </c>
    </row>
    <row r="7741" spans="1:6" x14ac:dyDescent="0.25">
      <c r="A7741" t="s">
        <v>14473</v>
      </c>
      <c r="B7741" t="s">
        <v>14474</v>
      </c>
      <c r="C7741" s="1">
        <v>44083</v>
      </c>
      <c r="D7741" t="b">
        <v>1</v>
      </c>
      <c r="E7741" t="s">
        <v>10</v>
      </c>
      <c r="F7741">
        <v>13370</v>
      </c>
    </row>
    <row r="7742" spans="1:6" x14ac:dyDescent="0.25">
      <c r="A7742" t="s">
        <v>14475</v>
      </c>
      <c r="B7742" t="s">
        <v>14476</v>
      </c>
      <c r="C7742" s="1">
        <v>44083</v>
      </c>
      <c r="D7742" t="b">
        <v>1</v>
      </c>
      <c r="E7742" t="s">
        <v>10</v>
      </c>
      <c r="F7742">
        <v>15067</v>
      </c>
    </row>
    <row r="7743" spans="1:6" x14ac:dyDescent="0.25">
      <c r="A7743" t="s">
        <v>14477</v>
      </c>
      <c r="B7743" t="s">
        <v>14478</v>
      </c>
      <c r="C7743" s="1">
        <v>44083</v>
      </c>
      <c r="D7743" t="b">
        <v>1</v>
      </c>
      <c r="E7743" t="s">
        <v>10</v>
      </c>
      <c r="F7743">
        <v>6606</v>
      </c>
    </row>
    <row r="7744" spans="1:6" x14ac:dyDescent="0.25">
      <c r="A7744" t="s">
        <v>14479</v>
      </c>
      <c r="B7744" t="s">
        <v>14480</v>
      </c>
      <c r="C7744" s="1">
        <v>44083</v>
      </c>
      <c r="D7744" t="b">
        <v>1</v>
      </c>
      <c r="E7744" t="s">
        <v>10</v>
      </c>
      <c r="F7744">
        <v>6608</v>
      </c>
    </row>
    <row r="7745" spans="1:6" x14ac:dyDescent="0.25">
      <c r="A7745" t="s">
        <v>14481</v>
      </c>
      <c r="B7745" t="s">
        <v>14482</v>
      </c>
      <c r="C7745" s="1">
        <v>44083</v>
      </c>
      <c r="D7745" t="b">
        <v>1</v>
      </c>
      <c r="E7745" t="s">
        <v>10</v>
      </c>
      <c r="F7745">
        <v>16483</v>
      </c>
    </row>
    <row r="7746" spans="1:6" x14ac:dyDescent="0.25">
      <c r="A7746" t="s">
        <v>14483</v>
      </c>
      <c r="B7746" t="s">
        <v>14484</v>
      </c>
      <c r="C7746" s="1">
        <v>44083</v>
      </c>
      <c r="D7746" t="b">
        <v>1</v>
      </c>
      <c r="E7746" t="s">
        <v>10</v>
      </c>
      <c r="F7746">
        <v>6609</v>
      </c>
    </row>
    <row r="7747" spans="1:6" x14ac:dyDescent="0.25">
      <c r="A7747" t="s">
        <v>14485</v>
      </c>
      <c r="B7747" t="s">
        <v>14486</v>
      </c>
      <c r="C7747" s="1">
        <v>44083</v>
      </c>
      <c r="D7747" t="b">
        <v>1</v>
      </c>
      <c r="E7747" t="s">
        <v>10</v>
      </c>
      <c r="F7747">
        <v>6610</v>
      </c>
    </row>
    <row r="7748" spans="1:6" x14ac:dyDescent="0.25">
      <c r="A7748" t="s">
        <v>14487</v>
      </c>
      <c r="B7748" t="s">
        <v>14488</v>
      </c>
      <c r="C7748" s="1">
        <v>44083</v>
      </c>
      <c r="D7748" t="b">
        <v>1</v>
      </c>
      <c r="E7748" t="s">
        <v>10</v>
      </c>
      <c r="F7748">
        <v>6611</v>
      </c>
    </row>
    <row r="7749" spans="1:6" x14ac:dyDescent="0.25">
      <c r="A7749" t="s">
        <v>14489</v>
      </c>
      <c r="C7749" s="1">
        <v>44083</v>
      </c>
      <c r="D7749" t="b">
        <v>1</v>
      </c>
      <c r="E7749" t="s">
        <v>10</v>
      </c>
      <c r="F7749">
        <v>16299</v>
      </c>
    </row>
    <row r="7750" spans="1:6" x14ac:dyDescent="0.25">
      <c r="A7750" t="s">
        <v>14490</v>
      </c>
      <c r="B7750" t="s">
        <v>14491</v>
      </c>
      <c r="C7750" s="1">
        <v>44083</v>
      </c>
      <c r="D7750" t="b">
        <v>1</v>
      </c>
      <c r="E7750" t="s">
        <v>10</v>
      </c>
      <c r="F7750">
        <v>16017</v>
      </c>
    </row>
    <row r="7751" spans="1:6" x14ac:dyDescent="0.25">
      <c r="A7751" t="s">
        <v>14492</v>
      </c>
      <c r="B7751" t="s">
        <v>14493</v>
      </c>
      <c r="C7751" s="1">
        <v>44083</v>
      </c>
      <c r="D7751" t="b">
        <v>1</v>
      </c>
      <c r="E7751" t="s">
        <v>10</v>
      </c>
      <c r="F7751">
        <v>12350</v>
      </c>
    </row>
    <row r="7752" spans="1:6" x14ac:dyDescent="0.25">
      <c r="A7752" t="s">
        <v>14494</v>
      </c>
      <c r="B7752" t="s">
        <v>14495</v>
      </c>
      <c r="C7752" s="1">
        <v>44083</v>
      </c>
      <c r="D7752" t="b">
        <v>1</v>
      </c>
      <c r="E7752" t="s">
        <v>10</v>
      </c>
      <c r="F7752">
        <v>6617</v>
      </c>
    </row>
    <row r="7753" spans="1:6" x14ac:dyDescent="0.25">
      <c r="A7753" t="s">
        <v>14496</v>
      </c>
      <c r="B7753" t="s">
        <v>14497</v>
      </c>
      <c r="C7753" s="1">
        <v>44083</v>
      </c>
      <c r="D7753" t="b">
        <v>1</v>
      </c>
      <c r="E7753" t="s">
        <v>10</v>
      </c>
      <c r="F7753">
        <v>6618</v>
      </c>
    </row>
    <row r="7754" spans="1:6" x14ac:dyDescent="0.25">
      <c r="A7754" t="s">
        <v>14498</v>
      </c>
      <c r="B7754" t="s">
        <v>14499</v>
      </c>
      <c r="C7754" s="1">
        <v>44083</v>
      </c>
      <c r="D7754" t="b">
        <v>1</v>
      </c>
      <c r="E7754" t="s">
        <v>10</v>
      </c>
      <c r="F7754">
        <v>6621</v>
      </c>
    </row>
    <row r="7755" spans="1:6" x14ac:dyDescent="0.25">
      <c r="A7755" t="s">
        <v>14500</v>
      </c>
      <c r="B7755" t="s">
        <v>14501</v>
      </c>
      <c r="C7755" s="1">
        <v>44083</v>
      </c>
      <c r="D7755" t="b">
        <v>1</v>
      </c>
      <c r="E7755" t="s">
        <v>10</v>
      </c>
      <c r="F7755">
        <v>6623</v>
      </c>
    </row>
    <row r="7756" spans="1:6" x14ac:dyDescent="0.25">
      <c r="A7756" t="s">
        <v>14502</v>
      </c>
      <c r="B7756" t="s">
        <v>14503</v>
      </c>
      <c r="C7756" s="1">
        <v>44083</v>
      </c>
      <c r="D7756" t="b">
        <v>1</v>
      </c>
      <c r="E7756" t="s">
        <v>10</v>
      </c>
      <c r="F7756">
        <v>14472</v>
      </c>
    </row>
    <row r="7757" spans="1:6" x14ac:dyDescent="0.25">
      <c r="A7757" t="s">
        <v>14504</v>
      </c>
      <c r="B7757" t="s">
        <v>14505</v>
      </c>
      <c r="C7757" s="1">
        <v>44083</v>
      </c>
      <c r="D7757" t="b">
        <v>1</v>
      </c>
      <c r="E7757" t="s">
        <v>10</v>
      </c>
      <c r="F7757">
        <v>15603</v>
      </c>
    </row>
    <row r="7758" spans="1:6" x14ac:dyDescent="0.25">
      <c r="A7758" t="s">
        <v>14506</v>
      </c>
      <c r="B7758" t="s">
        <v>14507</v>
      </c>
      <c r="C7758" s="1">
        <v>44083</v>
      </c>
      <c r="D7758" t="b">
        <v>1</v>
      </c>
      <c r="E7758" t="s">
        <v>10</v>
      </c>
      <c r="F7758">
        <v>6625</v>
      </c>
    </row>
    <row r="7759" spans="1:6" x14ac:dyDescent="0.25">
      <c r="A7759" t="s">
        <v>14508</v>
      </c>
      <c r="B7759" t="s">
        <v>14509</v>
      </c>
      <c r="C7759" s="1">
        <v>44083</v>
      </c>
      <c r="D7759" t="b">
        <v>1</v>
      </c>
      <c r="E7759" t="s">
        <v>10</v>
      </c>
      <c r="F7759">
        <v>10448</v>
      </c>
    </row>
    <row r="7760" spans="1:6" x14ac:dyDescent="0.25">
      <c r="A7760" t="s">
        <v>14510</v>
      </c>
      <c r="B7760" t="s">
        <v>14511</v>
      </c>
      <c r="C7760" s="1">
        <v>44083</v>
      </c>
      <c r="D7760" t="b">
        <v>1</v>
      </c>
      <c r="E7760" t="s">
        <v>10</v>
      </c>
      <c r="F7760">
        <v>8195</v>
      </c>
    </row>
    <row r="7761" spans="1:6" x14ac:dyDescent="0.25">
      <c r="A7761" t="s">
        <v>14512</v>
      </c>
      <c r="B7761" t="s">
        <v>14513</v>
      </c>
      <c r="C7761" s="1">
        <v>44083</v>
      </c>
      <c r="D7761" t="b">
        <v>1</v>
      </c>
      <c r="E7761" t="s">
        <v>10</v>
      </c>
      <c r="F7761">
        <v>8465</v>
      </c>
    </row>
    <row r="7762" spans="1:6" x14ac:dyDescent="0.25">
      <c r="A7762" t="s">
        <v>14514</v>
      </c>
      <c r="C7762" s="1">
        <v>44083</v>
      </c>
      <c r="D7762" t="b">
        <v>1</v>
      </c>
      <c r="E7762" t="s">
        <v>10</v>
      </c>
      <c r="F7762">
        <v>16318</v>
      </c>
    </row>
    <row r="7763" spans="1:6" x14ac:dyDescent="0.25">
      <c r="A7763" t="s">
        <v>14515</v>
      </c>
      <c r="B7763" t="s">
        <v>14516</v>
      </c>
      <c r="C7763" s="1">
        <v>44083</v>
      </c>
      <c r="D7763" t="b">
        <v>1</v>
      </c>
      <c r="E7763" t="s">
        <v>10</v>
      </c>
      <c r="F7763">
        <v>8196</v>
      </c>
    </row>
    <row r="7764" spans="1:6" x14ac:dyDescent="0.25">
      <c r="A7764" t="s">
        <v>14517</v>
      </c>
      <c r="B7764" t="s">
        <v>14518</v>
      </c>
      <c r="C7764" s="1">
        <v>44083</v>
      </c>
      <c r="D7764" t="b">
        <v>1</v>
      </c>
      <c r="E7764" t="s">
        <v>10</v>
      </c>
      <c r="F7764">
        <v>6627</v>
      </c>
    </row>
    <row r="7765" spans="1:6" x14ac:dyDescent="0.25">
      <c r="A7765" t="s">
        <v>14519</v>
      </c>
      <c r="B7765" t="s">
        <v>14520</v>
      </c>
      <c r="C7765" s="1">
        <v>44083</v>
      </c>
      <c r="D7765" t="b">
        <v>1</v>
      </c>
      <c r="E7765" t="s">
        <v>10</v>
      </c>
      <c r="F7765">
        <v>6628</v>
      </c>
    </row>
    <row r="7766" spans="1:6" x14ac:dyDescent="0.25">
      <c r="A7766" t="s">
        <v>14521</v>
      </c>
      <c r="B7766" t="s">
        <v>14522</v>
      </c>
      <c r="C7766" s="1">
        <v>44083</v>
      </c>
      <c r="D7766" t="b">
        <v>1</v>
      </c>
      <c r="E7766" t="s">
        <v>10</v>
      </c>
      <c r="F7766">
        <v>6629</v>
      </c>
    </row>
    <row r="7767" spans="1:6" x14ac:dyDescent="0.25">
      <c r="A7767" t="s">
        <v>14523</v>
      </c>
      <c r="B7767" t="s">
        <v>14524</v>
      </c>
      <c r="C7767" s="1">
        <v>44083</v>
      </c>
      <c r="D7767" t="b">
        <v>1</v>
      </c>
      <c r="E7767" t="s">
        <v>10</v>
      </c>
      <c r="F7767">
        <v>6633</v>
      </c>
    </row>
    <row r="7768" spans="1:6" x14ac:dyDescent="0.25">
      <c r="A7768" t="s">
        <v>14525</v>
      </c>
      <c r="B7768" t="s">
        <v>14526</v>
      </c>
      <c r="C7768" s="1">
        <v>44083</v>
      </c>
      <c r="D7768" t="b">
        <v>1</v>
      </c>
      <c r="E7768" t="s">
        <v>10</v>
      </c>
      <c r="F7768">
        <v>6634</v>
      </c>
    </row>
    <row r="7769" spans="1:6" x14ac:dyDescent="0.25">
      <c r="A7769" t="s">
        <v>14527</v>
      </c>
      <c r="B7769" t="s">
        <v>14528</v>
      </c>
      <c r="C7769" s="1">
        <v>44083</v>
      </c>
      <c r="D7769" t="b">
        <v>1</v>
      </c>
      <c r="E7769" t="s">
        <v>10</v>
      </c>
      <c r="F7769">
        <v>6635</v>
      </c>
    </row>
    <row r="7770" spans="1:6" x14ac:dyDescent="0.25">
      <c r="A7770" t="s">
        <v>14529</v>
      </c>
      <c r="B7770" t="s">
        <v>14530</v>
      </c>
      <c r="C7770" s="1">
        <v>44083</v>
      </c>
      <c r="D7770" t="b">
        <v>1</v>
      </c>
      <c r="E7770" t="s">
        <v>10</v>
      </c>
      <c r="F7770">
        <v>9350</v>
      </c>
    </row>
    <row r="7771" spans="1:6" x14ac:dyDescent="0.25">
      <c r="A7771" t="s">
        <v>14531</v>
      </c>
      <c r="B7771" t="s">
        <v>14532</v>
      </c>
      <c r="C7771" s="1">
        <v>44083</v>
      </c>
      <c r="D7771" t="b">
        <v>1</v>
      </c>
      <c r="E7771" t="s">
        <v>10</v>
      </c>
      <c r="F7771">
        <v>6636</v>
      </c>
    </row>
    <row r="7772" spans="1:6" x14ac:dyDescent="0.25">
      <c r="A7772" t="s">
        <v>14533</v>
      </c>
      <c r="B7772" t="s">
        <v>14534</v>
      </c>
      <c r="C7772" s="1">
        <v>44083</v>
      </c>
      <c r="D7772" t="b">
        <v>1</v>
      </c>
      <c r="E7772" t="s">
        <v>10</v>
      </c>
      <c r="F7772">
        <v>6639</v>
      </c>
    </row>
    <row r="7773" spans="1:6" x14ac:dyDescent="0.25">
      <c r="A7773" t="s">
        <v>14535</v>
      </c>
      <c r="B7773" t="s">
        <v>14536</v>
      </c>
      <c r="C7773" s="1">
        <v>44083</v>
      </c>
      <c r="D7773" t="b">
        <v>1</v>
      </c>
      <c r="E7773" t="s">
        <v>10</v>
      </c>
      <c r="F7773">
        <v>11548</v>
      </c>
    </row>
    <row r="7774" spans="1:6" x14ac:dyDescent="0.25">
      <c r="A7774" t="s">
        <v>14537</v>
      </c>
      <c r="B7774" t="s">
        <v>14538</v>
      </c>
      <c r="C7774" s="1">
        <v>44083</v>
      </c>
      <c r="D7774" t="b">
        <v>1</v>
      </c>
      <c r="E7774" t="s">
        <v>10</v>
      </c>
      <c r="F7774">
        <v>8197</v>
      </c>
    </row>
    <row r="7775" spans="1:6" x14ac:dyDescent="0.25">
      <c r="A7775" t="s">
        <v>14539</v>
      </c>
      <c r="B7775" t="s">
        <v>14540</v>
      </c>
      <c r="C7775" s="1">
        <v>44083</v>
      </c>
      <c r="D7775" t="b">
        <v>1</v>
      </c>
      <c r="E7775" t="s">
        <v>10</v>
      </c>
      <c r="F7775">
        <v>6643</v>
      </c>
    </row>
    <row r="7776" spans="1:6" x14ac:dyDescent="0.25">
      <c r="A7776" t="s">
        <v>14541</v>
      </c>
      <c r="B7776" t="s">
        <v>14542</v>
      </c>
      <c r="C7776" s="1">
        <v>44083</v>
      </c>
      <c r="D7776" t="b">
        <v>1</v>
      </c>
      <c r="E7776" t="s">
        <v>10</v>
      </c>
      <c r="F7776">
        <v>6644</v>
      </c>
    </row>
    <row r="7777" spans="1:6" x14ac:dyDescent="0.25">
      <c r="A7777" t="s">
        <v>14543</v>
      </c>
      <c r="B7777" t="s">
        <v>14544</v>
      </c>
      <c r="C7777" s="1">
        <v>44083</v>
      </c>
      <c r="D7777" t="b">
        <v>1</v>
      </c>
      <c r="E7777" t="s">
        <v>10</v>
      </c>
      <c r="F7777">
        <v>6645</v>
      </c>
    </row>
    <row r="7778" spans="1:6" x14ac:dyDescent="0.25">
      <c r="A7778" t="s">
        <v>14545</v>
      </c>
      <c r="B7778" t="s">
        <v>14546</v>
      </c>
      <c r="C7778" s="1">
        <v>44083</v>
      </c>
      <c r="D7778" t="b">
        <v>1</v>
      </c>
      <c r="E7778" t="s">
        <v>10</v>
      </c>
      <c r="F7778">
        <v>6646</v>
      </c>
    </row>
    <row r="7779" spans="1:6" x14ac:dyDescent="0.25">
      <c r="A7779" t="s">
        <v>14547</v>
      </c>
      <c r="B7779" t="s">
        <v>14548</v>
      </c>
      <c r="C7779" s="1">
        <v>44083</v>
      </c>
      <c r="D7779" t="b">
        <v>1</v>
      </c>
      <c r="E7779" t="s">
        <v>10</v>
      </c>
      <c r="F7779">
        <v>14861</v>
      </c>
    </row>
    <row r="7780" spans="1:6" x14ac:dyDescent="0.25">
      <c r="A7780" t="s">
        <v>14549</v>
      </c>
      <c r="B7780" t="s">
        <v>14550</v>
      </c>
      <c r="C7780" s="1">
        <v>44083</v>
      </c>
      <c r="D7780" t="b">
        <v>1</v>
      </c>
      <c r="E7780" t="s">
        <v>10</v>
      </c>
      <c r="F7780">
        <v>6649</v>
      </c>
    </row>
    <row r="7781" spans="1:6" x14ac:dyDescent="0.25">
      <c r="A7781" t="s">
        <v>14551</v>
      </c>
      <c r="C7781" s="1">
        <v>44083</v>
      </c>
      <c r="D7781" t="b">
        <v>1</v>
      </c>
      <c r="E7781" t="s">
        <v>10</v>
      </c>
      <c r="F7781">
        <v>16395</v>
      </c>
    </row>
    <row r="7782" spans="1:6" x14ac:dyDescent="0.25">
      <c r="A7782" t="s">
        <v>14552</v>
      </c>
      <c r="C7782" s="1">
        <v>44083</v>
      </c>
      <c r="D7782" t="b">
        <v>1</v>
      </c>
      <c r="E7782" t="s">
        <v>10</v>
      </c>
      <c r="F7782">
        <v>16545</v>
      </c>
    </row>
    <row r="7783" spans="1:6" x14ac:dyDescent="0.25">
      <c r="A7783" t="s">
        <v>14553</v>
      </c>
      <c r="B7783" t="s">
        <v>14554</v>
      </c>
      <c r="C7783" s="1">
        <v>44083</v>
      </c>
      <c r="D7783" t="b">
        <v>1</v>
      </c>
      <c r="E7783" t="s">
        <v>10</v>
      </c>
      <c r="F7783">
        <v>6650</v>
      </c>
    </row>
    <row r="7784" spans="1:6" x14ac:dyDescent="0.25">
      <c r="A7784" t="s">
        <v>14555</v>
      </c>
      <c r="B7784" t="s">
        <v>14556</v>
      </c>
      <c r="C7784" s="1">
        <v>44083</v>
      </c>
      <c r="D7784" t="b">
        <v>1</v>
      </c>
      <c r="E7784" t="s">
        <v>10</v>
      </c>
      <c r="F7784">
        <v>16712</v>
      </c>
    </row>
    <row r="7785" spans="1:6" x14ac:dyDescent="0.25">
      <c r="A7785" t="s">
        <v>14557</v>
      </c>
      <c r="B7785" t="s">
        <v>14558</v>
      </c>
      <c r="C7785" s="1">
        <v>44083</v>
      </c>
      <c r="D7785" t="b">
        <v>1</v>
      </c>
      <c r="E7785" t="s">
        <v>10</v>
      </c>
      <c r="F7785">
        <v>6651</v>
      </c>
    </row>
    <row r="7786" spans="1:6" x14ac:dyDescent="0.25">
      <c r="A7786" t="s">
        <v>14559</v>
      </c>
      <c r="B7786" t="s">
        <v>14560</v>
      </c>
      <c r="C7786" s="1">
        <v>44083</v>
      </c>
      <c r="D7786" t="b">
        <v>1</v>
      </c>
      <c r="E7786" t="s">
        <v>10</v>
      </c>
      <c r="F7786">
        <v>8189</v>
      </c>
    </row>
    <row r="7787" spans="1:6" x14ac:dyDescent="0.25">
      <c r="A7787" t="s">
        <v>14561</v>
      </c>
      <c r="B7787" t="s">
        <v>14562</v>
      </c>
      <c r="C7787" s="1">
        <v>44083</v>
      </c>
      <c r="D7787" t="b">
        <v>1</v>
      </c>
      <c r="E7787" t="s">
        <v>10</v>
      </c>
      <c r="F7787">
        <v>6652</v>
      </c>
    </row>
    <row r="7788" spans="1:6" x14ac:dyDescent="0.25">
      <c r="A7788" t="s">
        <v>14563</v>
      </c>
      <c r="B7788" t="s">
        <v>14564</v>
      </c>
      <c r="C7788" s="1">
        <v>44083</v>
      </c>
      <c r="D7788" t="b">
        <v>1</v>
      </c>
      <c r="E7788" t="s">
        <v>10</v>
      </c>
      <c r="F7788">
        <v>16713</v>
      </c>
    </row>
    <row r="7789" spans="1:6" x14ac:dyDescent="0.25">
      <c r="A7789" t="s">
        <v>14565</v>
      </c>
      <c r="B7789" t="s">
        <v>14566</v>
      </c>
      <c r="C7789" s="1">
        <v>44083</v>
      </c>
      <c r="D7789" t="b">
        <v>1</v>
      </c>
      <c r="E7789" t="s">
        <v>10</v>
      </c>
      <c r="F7789">
        <v>16714</v>
      </c>
    </row>
    <row r="7790" spans="1:6" x14ac:dyDescent="0.25">
      <c r="A7790" t="s">
        <v>14567</v>
      </c>
      <c r="B7790" t="s">
        <v>14568</v>
      </c>
      <c r="C7790" s="1">
        <v>44083</v>
      </c>
      <c r="D7790" t="b">
        <v>1</v>
      </c>
      <c r="E7790" t="s">
        <v>10</v>
      </c>
      <c r="F7790">
        <v>6653</v>
      </c>
    </row>
    <row r="7791" spans="1:6" x14ac:dyDescent="0.25">
      <c r="A7791" t="s">
        <v>14569</v>
      </c>
      <c r="B7791" t="s">
        <v>14570</v>
      </c>
      <c r="C7791" s="1">
        <v>44083</v>
      </c>
      <c r="D7791" t="b">
        <v>1</v>
      </c>
      <c r="E7791" t="s">
        <v>10</v>
      </c>
      <c r="F7791">
        <v>12763</v>
      </c>
    </row>
    <row r="7792" spans="1:6" x14ac:dyDescent="0.25">
      <c r="A7792" t="s">
        <v>14571</v>
      </c>
      <c r="B7792" t="s">
        <v>14572</v>
      </c>
      <c r="C7792" s="1">
        <v>44083</v>
      </c>
      <c r="D7792" t="b">
        <v>1</v>
      </c>
      <c r="E7792" t="s">
        <v>10</v>
      </c>
      <c r="F7792">
        <v>6656</v>
      </c>
    </row>
    <row r="7793" spans="1:6" x14ac:dyDescent="0.25">
      <c r="A7793" t="s">
        <v>14573</v>
      </c>
      <c r="B7793" t="s">
        <v>14574</v>
      </c>
      <c r="C7793" s="1">
        <v>44083</v>
      </c>
      <c r="D7793" t="b">
        <v>1</v>
      </c>
      <c r="E7793" t="s">
        <v>10</v>
      </c>
      <c r="F7793">
        <v>15332</v>
      </c>
    </row>
    <row r="7794" spans="1:6" x14ac:dyDescent="0.25">
      <c r="A7794" t="s">
        <v>14575</v>
      </c>
      <c r="B7794" t="s">
        <v>14576</v>
      </c>
      <c r="C7794" s="1">
        <v>44083</v>
      </c>
      <c r="D7794" t="b">
        <v>1</v>
      </c>
      <c r="E7794" t="s">
        <v>10</v>
      </c>
      <c r="F7794">
        <v>7624</v>
      </c>
    </row>
    <row r="7795" spans="1:6" x14ac:dyDescent="0.25">
      <c r="A7795" t="s">
        <v>14577</v>
      </c>
      <c r="B7795" t="s">
        <v>14578</v>
      </c>
      <c r="C7795" s="1">
        <v>44083</v>
      </c>
      <c r="D7795" t="b">
        <v>1</v>
      </c>
      <c r="E7795" t="s">
        <v>10</v>
      </c>
      <c r="F7795">
        <v>13990</v>
      </c>
    </row>
    <row r="7796" spans="1:6" x14ac:dyDescent="0.25">
      <c r="A7796" t="s">
        <v>14579</v>
      </c>
      <c r="C7796" s="1">
        <v>44083</v>
      </c>
      <c r="D7796" t="b">
        <v>1</v>
      </c>
      <c r="E7796" t="s">
        <v>10</v>
      </c>
      <c r="F7796">
        <v>14538</v>
      </c>
    </row>
    <row r="7797" spans="1:6" x14ac:dyDescent="0.25">
      <c r="A7797" t="s">
        <v>14580</v>
      </c>
      <c r="B7797" t="s">
        <v>14581</v>
      </c>
      <c r="C7797" s="1">
        <v>44083</v>
      </c>
      <c r="D7797" t="b">
        <v>1</v>
      </c>
      <c r="E7797" t="s">
        <v>10</v>
      </c>
      <c r="F7797">
        <v>14661</v>
      </c>
    </row>
    <row r="7798" spans="1:6" x14ac:dyDescent="0.25">
      <c r="A7798" t="s">
        <v>14582</v>
      </c>
      <c r="B7798" t="s">
        <v>14583</v>
      </c>
      <c r="C7798" s="1">
        <v>44083</v>
      </c>
      <c r="D7798" t="b">
        <v>1</v>
      </c>
      <c r="E7798" t="s">
        <v>10</v>
      </c>
      <c r="F7798">
        <v>9282</v>
      </c>
    </row>
    <row r="7799" spans="1:6" x14ac:dyDescent="0.25">
      <c r="A7799" t="s">
        <v>14584</v>
      </c>
      <c r="C7799" s="1">
        <v>44083</v>
      </c>
      <c r="D7799" t="b">
        <v>1</v>
      </c>
      <c r="E7799" t="s">
        <v>10</v>
      </c>
      <c r="F7799">
        <v>6660</v>
      </c>
    </row>
    <row r="7800" spans="1:6" x14ac:dyDescent="0.25">
      <c r="A7800" t="s">
        <v>14585</v>
      </c>
      <c r="C7800" s="1">
        <v>44083</v>
      </c>
      <c r="D7800" t="b">
        <v>1</v>
      </c>
      <c r="E7800" t="s">
        <v>10</v>
      </c>
      <c r="F7800">
        <v>9572</v>
      </c>
    </row>
    <row r="7801" spans="1:6" x14ac:dyDescent="0.25">
      <c r="A7801" t="s">
        <v>14586</v>
      </c>
      <c r="C7801" s="1">
        <v>44083</v>
      </c>
      <c r="D7801" t="b">
        <v>1</v>
      </c>
      <c r="E7801" t="s">
        <v>10</v>
      </c>
      <c r="F7801">
        <v>10688</v>
      </c>
    </row>
    <row r="7802" spans="1:6" x14ac:dyDescent="0.25">
      <c r="A7802" t="s">
        <v>14587</v>
      </c>
      <c r="B7802" t="s">
        <v>14588</v>
      </c>
      <c r="C7802" s="1">
        <v>44083</v>
      </c>
      <c r="D7802" t="b">
        <v>1</v>
      </c>
      <c r="E7802" t="s">
        <v>10</v>
      </c>
      <c r="F7802">
        <v>1354</v>
      </c>
    </row>
    <row r="7803" spans="1:6" x14ac:dyDescent="0.25">
      <c r="A7803" t="s">
        <v>14589</v>
      </c>
      <c r="B7803" t="s">
        <v>14590</v>
      </c>
      <c r="C7803" s="1">
        <v>44083</v>
      </c>
      <c r="D7803" t="b">
        <v>1</v>
      </c>
      <c r="E7803" t="s">
        <v>10</v>
      </c>
      <c r="F7803">
        <v>6663</v>
      </c>
    </row>
    <row r="7804" spans="1:6" x14ac:dyDescent="0.25">
      <c r="A7804" t="s">
        <v>14591</v>
      </c>
      <c r="B7804" t="s">
        <v>14592</v>
      </c>
      <c r="C7804" s="1">
        <v>44083</v>
      </c>
      <c r="D7804" t="b">
        <v>1</v>
      </c>
      <c r="E7804" t="s">
        <v>10</v>
      </c>
      <c r="F7804">
        <v>6664</v>
      </c>
    </row>
    <row r="7805" spans="1:6" x14ac:dyDescent="0.25">
      <c r="A7805" t="s">
        <v>14593</v>
      </c>
      <c r="B7805" t="s">
        <v>14594</v>
      </c>
      <c r="C7805" s="1">
        <v>44083</v>
      </c>
      <c r="D7805" t="b">
        <v>1</v>
      </c>
      <c r="E7805" t="s">
        <v>10</v>
      </c>
      <c r="F7805">
        <v>8898</v>
      </c>
    </row>
    <row r="7806" spans="1:6" x14ac:dyDescent="0.25">
      <c r="A7806" t="s">
        <v>14595</v>
      </c>
      <c r="B7806" t="s">
        <v>14596</v>
      </c>
      <c r="C7806" s="1">
        <v>44083</v>
      </c>
      <c r="D7806" t="b">
        <v>1</v>
      </c>
      <c r="E7806" t="s">
        <v>10</v>
      </c>
      <c r="F7806">
        <v>9273</v>
      </c>
    </row>
    <row r="7807" spans="1:6" x14ac:dyDescent="0.25">
      <c r="A7807" t="s">
        <v>14597</v>
      </c>
      <c r="B7807" t="s">
        <v>14598</v>
      </c>
      <c r="C7807" s="1">
        <v>44083</v>
      </c>
      <c r="D7807" t="b">
        <v>1</v>
      </c>
      <c r="E7807" t="s">
        <v>10</v>
      </c>
      <c r="F7807">
        <v>6665</v>
      </c>
    </row>
    <row r="7808" spans="1:6" x14ac:dyDescent="0.25">
      <c r="A7808" t="s">
        <v>14599</v>
      </c>
      <c r="B7808" t="s">
        <v>14600</v>
      </c>
      <c r="C7808" s="1">
        <v>44083</v>
      </c>
      <c r="D7808" t="b">
        <v>1</v>
      </c>
      <c r="E7808" t="s">
        <v>10</v>
      </c>
      <c r="F7808">
        <v>6668</v>
      </c>
    </row>
    <row r="7809" spans="1:6" x14ac:dyDescent="0.25">
      <c r="A7809" t="s">
        <v>14601</v>
      </c>
      <c r="B7809" t="s">
        <v>14602</v>
      </c>
      <c r="C7809" s="1">
        <v>44083</v>
      </c>
      <c r="D7809" t="b">
        <v>1</v>
      </c>
      <c r="E7809" t="s">
        <v>10</v>
      </c>
      <c r="F7809">
        <v>6669</v>
      </c>
    </row>
    <row r="7810" spans="1:6" x14ac:dyDescent="0.25">
      <c r="A7810" t="s">
        <v>14603</v>
      </c>
      <c r="B7810" t="s">
        <v>14604</v>
      </c>
      <c r="C7810" s="1">
        <v>44083</v>
      </c>
      <c r="D7810" t="b">
        <v>1</v>
      </c>
      <c r="E7810" t="s">
        <v>10</v>
      </c>
      <c r="F7810">
        <v>6670</v>
      </c>
    </row>
    <row r="7811" spans="1:6" x14ac:dyDescent="0.25">
      <c r="A7811" t="s">
        <v>14605</v>
      </c>
      <c r="B7811" t="s">
        <v>14606</v>
      </c>
      <c r="C7811" s="1">
        <v>44083</v>
      </c>
      <c r="D7811" t="b">
        <v>1</v>
      </c>
      <c r="E7811" t="s">
        <v>10</v>
      </c>
      <c r="F7811">
        <v>15378</v>
      </c>
    </row>
    <row r="7812" spans="1:6" x14ac:dyDescent="0.25">
      <c r="A7812" t="s">
        <v>14607</v>
      </c>
      <c r="B7812" t="s">
        <v>14608</v>
      </c>
      <c r="C7812" s="1">
        <v>44083</v>
      </c>
      <c r="D7812" t="b">
        <v>1</v>
      </c>
      <c r="E7812" t="s">
        <v>10</v>
      </c>
      <c r="F7812">
        <v>15013</v>
      </c>
    </row>
    <row r="7813" spans="1:6" x14ac:dyDescent="0.25">
      <c r="A7813" t="s">
        <v>14609</v>
      </c>
      <c r="B7813" t="s">
        <v>14610</v>
      </c>
      <c r="C7813" s="1">
        <v>44083</v>
      </c>
      <c r="D7813" t="b">
        <v>1</v>
      </c>
      <c r="E7813" t="s">
        <v>10</v>
      </c>
      <c r="F7813">
        <v>6676</v>
      </c>
    </row>
    <row r="7814" spans="1:6" x14ac:dyDescent="0.25">
      <c r="A7814" t="s">
        <v>14611</v>
      </c>
      <c r="C7814" s="1">
        <v>44083</v>
      </c>
      <c r="D7814" t="b">
        <v>1</v>
      </c>
      <c r="E7814" t="s">
        <v>10</v>
      </c>
      <c r="F7814">
        <v>13730</v>
      </c>
    </row>
    <row r="7815" spans="1:6" x14ac:dyDescent="0.25">
      <c r="A7815" t="s">
        <v>14612</v>
      </c>
      <c r="B7815" t="s">
        <v>14613</v>
      </c>
      <c r="C7815" s="1">
        <v>44083</v>
      </c>
      <c r="D7815" t="b">
        <v>1</v>
      </c>
      <c r="E7815" t="s">
        <v>10</v>
      </c>
      <c r="F7815">
        <v>6679</v>
      </c>
    </row>
    <row r="7816" spans="1:6" x14ac:dyDescent="0.25">
      <c r="A7816" t="s">
        <v>14614</v>
      </c>
      <c r="C7816" s="1">
        <v>44083</v>
      </c>
      <c r="D7816" t="b">
        <v>1</v>
      </c>
      <c r="E7816" t="s">
        <v>10</v>
      </c>
      <c r="F7816">
        <v>14910</v>
      </c>
    </row>
    <row r="7817" spans="1:6" x14ac:dyDescent="0.25">
      <c r="A7817" t="s">
        <v>14615</v>
      </c>
      <c r="B7817" t="s">
        <v>14616</v>
      </c>
      <c r="C7817" s="1">
        <v>44083</v>
      </c>
      <c r="D7817" t="b">
        <v>1</v>
      </c>
      <c r="E7817" t="s">
        <v>10</v>
      </c>
      <c r="F7817">
        <v>6680</v>
      </c>
    </row>
    <row r="7818" spans="1:6" x14ac:dyDescent="0.25">
      <c r="A7818" t="s">
        <v>14617</v>
      </c>
      <c r="B7818" t="s">
        <v>14618</v>
      </c>
      <c r="C7818" s="1">
        <v>44083</v>
      </c>
      <c r="D7818" t="b">
        <v>1</v>
      </c>
      <c r="E7818" t="s">
        <v>10</v>
      </c>
      <c r="F7818">
        <v>6681</v>
      </c>
    </row>
    <row r="7819" spans="1:6" x14ac:dyDescent="0.25">
      <c r="A7819" t="s">
        <v>14619</v>
      </c>
      <c r="B7819" t="s">
        <v>14620</v>
      </c>
      <c r="C7819" s="1">
        <v>44083</v>
      </c>
      <c r="D7819" t="b">
        <v>1</v>
      </c>
      <c r="E7819" t="s">
        <v>10</v>
      </c>
      <c r="F7819">
        <v>14704</v>
      </c>
    </row>
    <row r="7820" spans="1:6" x14ac:dyDescent="0.25">
      <c r="A7820" t="s">
        <v>14621</v>
      </c>
      <c r="B7820" t="s">
        <v>14622</v>
      </c>
      <c r="C7820" s="1">
        <v>44083</v>
      </c>
      <c r="D7820" t="b">
        <v>0</v>
      </c>
      <c r="E7820" t="s">
        <v>10</v>
      </c>
      <c r="F7820">
        <v>17104</v>
      </c>
    </row>
    <row r="7821" spans="1:6" x14ac:dyDescent="0.25">
      <c r="A7821" t="s">
        <v>14623</v>
      </c>
      <c r="B7821" t="s">
        <v>14624</v>
      </c>
      <c r="C7821" s="1">
        <v>44083</v>
      </c>
      <c r="D7821" t="b">
        <v>1</v>
      </c>
      <c r="E7821" t="s">
        <v>10</v>
      </c>
      <c r="F7821">
        <v>9291</v>
      </c>
    </row>
    <row r="7822" spans="1:6" x14ac:dyDescent="0.25">
      <c r="A7822" t="s">
        <v>14625</v>
      </c>
      <c r="C7822" s="1">
        <v>44083</v>
      </c>
      <c r="D7822" t="b">
        <v>1</v>
      </c>
      <c r="E7822" t="s">
        <v>10</v>
      </c>
      <c r="F7822">
        <v>16873</v>
      </c>
    </row>
    <row r="7823" spans="1:6" x14ac:dyDescent="0.25">
      <c r="A7823" t="s">
        <v>14626</v>
      </c>
      <c r="B7823" t="s">
        <v>14627</v>
      </c>
      <c r="C7823" s="1">
        <v>44083</v>
      </c>
      <c r="D7823" t="b">
        <v>1</v>
      </c>
      <c r="E7823" t="s">
        <v>10</v>
      </c>
      <c r="F7823">
        <v>14816</v>
      </c>
    </row>
    <row r="7824" spans="1:6" x14ac:dyDescent="0.25">
      <c r="A7824" t="s">
        <v>14628</v>
      </c>
      <c r="C7824" s="1">
        <v>44083</v>
      </c>
      <c r="D7824" t="b">
        <v>1</v>
      </c>
      <c r="E7824" t="s">
        <v>10</v>
      </c>
      <c r="F7824">
        <v>15272</v>
      </c>
    </row>
    <row r="7825" spans="1:6" x14ac:dyDescent="0.25">
      <c r="A7825" t="s">
        <v>14629</v>
      </c>
      <c r="B7825" t="s">
        <v>14630</v>
      </c>
      <c r="C7825" s="1">
        <v>44083</v>
      </c>
      <c r="D7825" t="b">
        <v>1</v>
      </c>
      <c r="E7825" t="s">
        <v>10</v>
      </c>
      <c r="F7825">
        <v>15845</v>
      </c>
    </row>
    <row r="7826" spans="1:6" x14ac:dyDescent="0.25">
      <c r="A7826" t="s">
        <v>14631</v>
      </c>
      <c r="B7826" t="s">
        <v>14632</v>
      </c>
      <c r="C7826" s="1">
        <v>44083</v>
      </c>
      <c r="D7826" t="b">
        <v>1</v>
      </c>
      <c r="E7826" t="s">
        <v>10</v>
      </c>
      <c r="F7826">
        <v>6682</v>
      </c>
    </row>
    <row r="7827" spans="1:6" x14ac:dyDescent="0.25">
      <c r="A7827" t="s">
        <v>14633</v>
      </c>
      <c r="B7827" t="s">
        <v>14634</v>
      </c>
      <c r="C7827" s="1">
        <v>44083</v>
      </c>
      <c r="D7827" t="b">
        <v>1</v>
      </c>
      <c r="E7827" t="s">
        <v>10</v>
      </c>
      <c r="F7827">
        <v>8633</v>
      </c>
    </row>
    <row r="7828" spans="1:6" x14ac:dyDescent="0.25">
      <c r="A7828" t="s">
        <v>14635</v>
      </c>
      <c r="B7828" t="s">
        <v>14636</v>
      </c>
      <c r="C7828" s="1">
        <v>44083</v>
      </c>
      <c r="D7828" t="b">
        <v>1</v>
      </c>
      <c r="E7828" t="s">
        <v>10</v>
      </c>
      <c r="F7828">
        <v>6684</v>
      </c>
    </row>
    <row r="7829" spans="1:6" x14ac:dyDescent="0.25">
      <c r="A7829" t="s">
        <v>14637</v>
      </c>
      <c r="B7829" t="s">
        <v>14638</v>
      </c>
      <c r="C7829" s="1">
        <v>44083</v>
      </c>
      <c r="D7829" t="b">
        <v>1</v>
      </c>
      <c r="E7829" t="s">
        <v>10</v>
      </c>
      <c r="F7829">
        <v>6685</v>
      </c>
    </row>
    <row r="7830" spans="1:6" x14ac:dyDescent="0.25">
      <c r="A7830" t="s">
        <v>14639</v>
      </c>
      <c r="B7830" t="s">
        <v>14640</v>
      </c>
      <c r="C7830" s="1">
        <v>44083</v>
      </c>
      <c r="D7830" t="b">
        <v>1</v>
      </c>
      <c r="E7830" t="s">
        <v>10</v>
      </c>
      <c r="F7830">
        <v>15172</v>
      </c>
    </row>
    <row r="7831" spans="1:6" x14ac:dyDescent="0.25">
      <c r="A7831" t="s">
        <v>14641</v>
      </c>
      <c r="B7831" t="s">
        <v>14642</v>
      </c>
      <c r="C7831" s="1">
        <v>44083</v>
      </c>
      <c r="D7831" t="b">
        <v>1</v>
      </c>
      <c r="E7831" t="s">
        <v>10</v>
      </c>
      <c r="F7831">
        <v>6693</v>
      </c>
    </row>
    <row r="7832" spans="1:6" x14ac:dyDescent="0.25">
      <c r="A7832" t="s">
        <v>14643</v>
      </c>
      <c r="C7832" s="1">
        <v>44083</v>
      </c>
      <c r="D7832" t="b">
        <v>1</v>
      </c>
      <c r="E7832" t="s">
        <v>10</v>
      </c>
      <c r="F7832">
        <v>6694</v>
      </c>
    </row>
    <row r="7833" spans="1:6" x14ac:dyDescent="0.25">
      <c r="A7833" t="s">
        <v>14644</v>
      </c>
      <c r="C7833" s="1">
        <v>44083</v>
      </c>
      <c r="D7833" t="b">
        <v>1</v>
      </c>
      <c r="E7833" t="s">
        <v>10</v>
      </c>
      <c r="F7833">
        <v>6695</v>
      </c>
    </row>
    <row r="7834" spans="1:6" x14ac:dyDescent="0.25">
      <c r="A7834" t="s">
        <v>14645</v>
      </c>
      <c r="B7834" t="s">
        <v>14646</v>
      </c>
      <c r="C7834" s="1">
        <v>44083</v>
      </c>
      <c r="D7834" t="b">
        <v>1</v>
      </c>
      <c r="E7834" t="s">
        <v>10</v>
      </c>
      <c r="F7834">
        <v>6696</v>
      </c>
    </row>
    <row r="7835" spans="1:6" x14ac:dyDescent="0.25">
      <c r="A7835" t="s">
        <v>14647</v>
      </c>
      <c r="B7835" t="s">
        <v>14648</v>
      </c>
      <c r="C7835" s="1">
        <v>44083</v>
      </c>
      <c r="D7835" t="b">
        <v>1</v>
      </c>
      <c r="E7835" t="s">
        <v>10</v>
      </c>
      <c r="F7835">
        <v>6699</v>
      </c>
    </row>
    <row r="7836" spans="1:6" x14ac:dyDescent="0.25">
      <c r="A7836" t="s">
        <v>14649</v>
      </c>
      <c r="B7836" t="s">
        <v>14650</v>
      </c>
      <c r="C7836" s="1">
        <v>44083</v>
      </c>
      <c r="D7836" t="b">
        <v>1</v>
      </c>
      <c r="E7836" t="s">
        <v>10</v>
      </c>
      <c r="F7836">
        <v>14712</v>
      </c>
    </row>
    <row r="7837" spans="1:6" x14ac:dyDescent="0.25">
      <c r="A7837" t="s">
        <v>14651</v>
      </c>
      <c r="B7837" t="s">
        <v>14652</v>
      </c>
      <c r="C7837" s="1">
        <v>44083</v>
      </c>
      <c r="D7837" t="b">
        <v>1</v>
      </c>
      <c r="E7837" t="s">
        <v>10</v>
      </c>
      <c r="F7837">
        <v>1205</v>
      </c>
    </row>
    <row r="7838" spans="1:6" x14ac:dyDescent="0.25">
      <c r="A7838" t="s">
        <v>14653</v>
      </c>
      <c r="B7838" t="s">
        <v>14654</v>
      </c>
      <c r="C7838" s="1">
        <v>44083</v>
      </c>
      <c r="D7838" t="b">
        <v>1</v>
      </c>
      <c r="E7838" t="s">
        <v>10</v>
      </c>
      <c r="F7838">
        <v>7803</v>
      </c>
    </row>
    <row r="7839" spans="1:6" x14ac:dyDescent="0.25">
      <c r="A7839" t="s">
        <v>14655</v>
      </c>
      <c r="C7839" s="1">
        <v>44083</v>
      </c>
      <c r="D7839" t="b">
        <v>1</v>
      </c>
      <c r="E7839" t="s">
        <v>10</v>
      </c>
      <c r="F7839">
        <v>15987</v>
      </c>
    </row>
    <row r="7840" spans="1:6" x14ac:dyDescent="0.25">
      <c r="A7840" t="s">
        <v>14656</v>
      </c>
      <c r="B7840" t="s">
        <v>14657</v>
      </c>
      <c r="C7840" s="1">
        <v>44083</v>
      </c>
      <c r="D7840" t="b">
        <v>0</v>
      </c>
      <c r="E7840" t="s">
        <v>10</v>
      </c>
      <c r="F7840">
        <v>17053</v>
      </c>
    </row>
    <row r="7841" spans="1:6" x14ac:dyDescent="0.25">
      <c r="A7841" t="s">
        <v>14658</v>
      </c>
      <c r="B7841" t="s">
        <v>14659</v>
      </c>
      <c r="C7841" s="1">
        <v>44083</v>
      </c>
      <c r="D7841" t="b">
        <v>1</v>
      </c>
      <c r="E7841" t="s">
        <v>10</v>
      </c>
      <c r="F7841">
        <v>6701</v>
      </c>
    </row>
    <row r="7842" spans="1:6" x14ac:dyDescent="0.25">
      <c r="A7842" t="s">
        <v>14660</v>
      </c>
      <c r="B7842" t="s">
        <v>14661</v>
      </c>
      <c r="C7842" s="1">
        <v>44083</v>
      </c>
      <c r="D7842" t="b">
        <v>1</v>
      </c>
      <c r="E7842" t="s">
        <v>10</v>
      </c>
      <c r="F7842">
        <v>11029</v>
      </c>
    </row>
    <row r="7843" spans="1:6" x14ac:dyDescent="0.25">
      <c r="A7843" t="s">
        <v>14662</v>
      </c>
      <c r="B7843" t="s">
        <v>14663</v>
      </c>
      <c r="C7843" s="1">
        <v>44083</v>
      </c>
      <c r="D7843" t="b">
        <v>1</v>
      </c>
      <c r="E7843" t="s">
        <v>10</v>
      </c>
      <c r="F7843">
        <v>6703</v>
      </c>
    </row>
    <row r="7844" spans="1:6" x14ac:dyDescent="0.25">
      <c r="A7844" t="s">
        <v>14664</v>
      </c>
      <c r="C7844" s="1">
        <v>44083</v>
      </c>
      <c r="D7844" t="b">
        <v>1</v>
      </c>
      <c r="E7844" t="s">
        <v>10</v>
      </c>
      <c r="F7844">
        <v>6704</v>
      </c>
    </row>
    <row r="7845" spans="1:6" x14ac:dyDescent="0.25">
      <c r="A7845" t="s">
        <v>14665</v>
      </c>
      <c r="C7845" s="1">
        <v>44083</v>
      </c>
      <c r="D7845" t="b">
        <v>1</v>
      </c>
      <c r="E7845" t="s">
        <v>10</v>
      </c>
      <c r="F7845">
        <v>6705</v>
      </c>
    </row>
    <row r="7846" spans="1:6" x14ac:dyDescent="0.25">
      <c r="A7846" t="s">
        <v>14666</v>
      </c>
      <c r="B7846" t="s">
        <v>14667</v>
      </c>
      <c r="C7846" s="1">
        <v>44083</v>
      </c>
      <c r="D7846" t="b">
        <v>1</v>
      </c>
      <c r="E7846" t="s">
        <v>10</v>
      </c>
      <c r="F7846">
        <v>1554</v>
      </c>
    </row>
    <row r="7847" spans="1:6" x14ac:dyDescent="0.25">
      <c r="A7847" t="s">
        <v>14668</v>
      </c>
      <c r="B7847" t="s">
        <v>14669</v>
      </c>
      <c r="C7847" s="1">
        <v>44083</v>
      </c>
      <c r="D7847" t="b">
        <v>1</v>
      </c>
      <c r="E7847" t="s">
        <v>10</v>
      </c>
      <c r="F7847">
        <v>9674</v>
      </c>
    </row>
    <row r="7848" spans="1:6" x14ac:dyDescent="0.25">
      <c r="A7848" t="s">
        <v>14670</v>
      </c>
      <c r="B7848" t="s">
        <v>14671</v>
      </c>
      <c r="C7848" s="1">
        <v>44083</v>
      </c>
      <c r="D7848" t="b">
        <v>1</v>
      </c>
      <c r="E7848" t="s">
        <v>10</v>
      </c>
      <c r="F7848">
        <v>6706</v>
      </c>
    </row>
    <row r="7849" spans="1:6" x14ac:dyDescent="0.25">
      <c r="A7849" t="s">
        <v>14672</v>
      </c>
      <c r="B7849" t="s">
        <v>14673</v>
      </c>
      <c r="C7849" s="1">
        <v>44083</v>
      </c>
      <c r="D7849" t="b">
        <v>1</v>
      </c>
      <c r="E7849" t="s">
        <v>10</v>
      </c>
      <c r="F7849">
        <v>6707</v>
      </c>
    </row>
    <row r="7850" spans="1:6" x14ac:dyDescent="0.25">
      <c r="A7850" t="s">
        <v>14674</v>
      </c>
      <c r="B7850" t="s">
        <v>14675</v>
      </c>
      <c r="C7850" s="1">
        <v>44083</v>
      </c>
      <c r="D7850" t="b">
        <v>1</v>
      </c>
      <c r="E7850" t="s">
        <v>10</v>
      </c>
      <c r="F7850">
        <v>15349</v>
      </c>
    </row>
    <row r="7851" spans="1:6" x14ac:dyDescent="0.25">
      <c r="A7851" t="s">
        <v>14676</v>
      </c>
      <c r="B7851" t="s">
        <v>14677</v>
      </c>
      <c r="C7851" s="1">
        <v>44083</v>
      </c>
      <c r="D7851" t="b">
        <v>1</v>
      </c>
      <c r="E7851" t="s">
        <v>10</v>
      </c>
      <c r="F7851">
        <v>8036</v>
      </c>
    </row>
    <row r="7852" spans="1:6" x14ac:dyDescent="0.25">
      <c r="A7852" t="s">
        <v>14678</v>
      </c>
      <c r="B7852" t="s">
        <v>14679</v>
      </c>
      <c r="C7852" s="1">
        <v>44083</v>
      </c>
      <c r="D7852" t="b">
        <v>1</v>
      </c>
      <c r="E7852" t="s">
        <v>10</v>
      </c>
      <c r="F7852">
        <v>12027</v>
      </c>
    </row>
    <row r="7853" spans="1:6" x14ac:dyDescent="0.25">
      <c r="A7853" t="s">
        <v>14680</v>
      </c>
      <c r="B7853" t="s">
        <v>14681</v>
      </c>
      <c r="C7853" s="1">
        <v>44083</v>
      </c>
      <c r="D7853" t="b">
        <v>1</v>
      </c>
      <c r="E7853" t="s">
        <v>10</v>
      </c>
      <c r="F7853">
        <v>6709</v>
      </c>
    </row>
    <row r="7854" spans="1:6" x14ac:dyDescent="0.25">
      <c r="A7854" t="s">
        <v>14682</v>
      </c>
      <c r="B7854" t="s">
        <v>14683</v>
      </c>
      <c r="C7854" s="1">
        <v>44083</v>
      </c>
      <c r="D7854" t="b">
        <v>1</v>
      </c>
      <c r="E7854" t="s">
        <v>10</v>
      </c>
      <c r="F7854">
        <v>6710</v>
      </c>
    </row>
    <row r="7855" spans="1:6" x14ac:dyDescent="0.25">
      <c r="A7855" t="s">
        <v>14684</v>
      </c>
      <c r="C7855" s="1">
        <v>44083</v>
      </c>
      <c r="D7855" t="b">
        <v>1</v>
      </c>
      <c r="E7855" t="s">
        <v>10</v>
      </c>
      <c r="F7855">
        <v>6711</v>
      </c>
    </row>
    <row r="7856" spans="1:6" x14ac:dyDescent="0.25">
      <c r="A7856" t="s">
        <v>14685</v>
      </c>
      <c r="B7856" t="s">
        <v>14686</v>
      </c>
      <c r="C7856" s="1">
        <v>44083</v>
      </c>
      <c r="D7856" t="b">
        <v>1</v>
      </c>
      <c r="E7856" t="s">
        <v>10</v>
      </c>
      <c r="F7856">
        <v>14264</v>
      </c>
    </row>
    <row r="7857" spans="1:6" x14ac:dyDescent="0.25">
      <c r="A7857" t="s">
        <v>14687</v>
      </c>
      <c r="B7857" t="s">
        <v>14686</v>
      </c>
      <c r="C7857" s="1">
        <v>44083</v>
      </c>
      <c r="D7857" t="b">
        <v>1</v>
      </c>
      <c r="E7857" t="s">
        <v>10</v>
      </c>
      <c r="F7857">
        <v>14254</v>
      </c>
    </row>
    <row r="7858" spans="1:6" x14ac:dyDescent="0.25">
      <c r="A7858" t="s">
        <v>14688</v>
      </c>
      <c r="C7858" s="1">
        <v>44083</v>
      </c>
      <c r="D7858" t="b">
        <v>1</v>
      </c>
      <c r="E7858" t="s">
        <v>10</v>
      </c>
      <c r="F7858">
        <v>14733</v>
      </c>
    </row>
    <row r="7859" spans="1:6" x14ac:dyDescent="0.25">
      <c r="A7859" t="s">
        <v>14689</v>
      </c>
      <c r="B7859" t="s">
        <v>14690</v>
      </c>
      <c r="C7859" s="1">
        <v>44083</v>
      </c>
      <c r="D7859" t="b">
        <v>1</v>
      </c>
      <c r="E7859" t="s">
        <v>10</v>
      </c>
      <c r="F7859">
        <v>6712</v>
      </c>
    </row>
    <row r="7860" spans="1:6" x14ac:dyDescent="0.25">
      <c r="A7860" t="s">
        <v>14691</v>
      </c>
      <c r="C7860" s="1">
        <v>44083</v>
      </c>
      <c r="D7860" t="b">
        <v>1</v>
      </c>
      <c r="E7860" t="s">
        <v>10</v>
      </c>
      <c r="F7860">
        <v>6714</v>
      </c>
    </row>
    <row r="7861" spans="1:6" x14ac:dyDescent="0.25">
      <c r="A7861" t="s">
        <v>14692</v>
      </c>
      <c r="B7861" t="s">
        <v>14693</v>
      </c>
      <c r="C7861" s="1">
        <v>44083</v>
      </c>
      <c r="D7861" t="b">
        <v>1</v>
      </c>
      <c r="E7861" t="s">
        <v>10</v>
      </c>
      <c r="F7861">
        <v>6715</v>
      </c>
    </row>
    <row r="7862" spans="1:6" x14ac:dyDescent="0.25">
      <c r="A7862" t="s">
        <v>14694</v>
      </c>
      <c r="B7862" t="s">
        <v>14695</v>
      </c>
      <c r="C7862" s="1">
        <v>44083</v>
      </c>
      <c r="D7862" t="b">
        <v>1</v>
      </c>
      <c r="E7862" t="s">
        <v>10</v>
      </c>
      <c r="F7862">
        <v>6716</v>
      </c>
    </row>
    <row r="7863" spans="1:6" x14ac:dyDescent="0.25">
      <c r="A7863" t="s">
        <v>14696</v>
      </c>
      <c r="C7863" s="1">
        <v>44083</v>
      </c>
      <c r="D7863" t="b">
        <v>1</v>
      </c>
      <c r="E7863" t="s">
        <v>10</v>
      </c>
      <c r="F7863">
        <v>6718</v>
      </c>
    </row>
    <row r="7864" spans="1:6" x14ac:dyDescent="0.25">
      <c r="A7864" t="s">
        <v>14697</v>
      </c>
      <c r="B7864" t="s">
        <v>14698</v>
      </c>
      <c r="C7864" s="1">
        <v>44083</v>
      </c>
      <c r="D7864" t="b">
        <v>1</v>
      </c>
      <c r="E7864" t="s">
        <v>10</v>
      </c>
      <c r="F7864">
        <v>6719</v>
      </c>
    </row>
    <row r="7865" spans="1:6" x14ac:dyDescent="0.25">
      <c r="A7865" t="s">
        <v>14699</v>
      </c>
      <c r="C7865" s="1">
        <v>44083</v>
      </c>
      <c r="D7865" t="b">
        <v>1</v>
      </c>
      <c r="E7865" t="s">
        <v>10</v>
      </c>
      <c r="F7865">
        <v>6720</v>
      </c>
    </row>
    <row r="7866" spans="1:6" x14ac:dyDescent="0.25">
      <c r="A7866" t="s">
        <v>14700</v>
      </c>
      <c r="B7866" t="s">
        <v>14701</v>
      </c>
      <c r="C7866" s="1">
        <v>44083</v>
      </c>
      <c r="D7866" t="b">
        <v>1</v>
      </c>
      <c r="E7866" t="s">
        <v>10</v>
      </c>
      <c r="F7866">
        <v>10118</v>
      </c>
    </row>
    <row r="7867" spans="1:6" x14ac:dyDescent="0.25">
      <c r="A7867" t="s">
        <v>14702</v>
      </c>
      <c r="B7867" t="s">
        <v>14703</v>
      </c>
      <c r="C7867" s="1">
        <v>44083</v>
      </c>
      <c r="D7867" t="b">
        <v>1</v>
      </c>
      <c r="E7867" t="s">
        <v>10</v>
      </c>
      <c r="F7867">
        <v>6722</v>
      </c>
    </row>
    <row r="7868" spans="1:6" x14ac:dyDescent="0.25">
      <c r="A7868" t="s">
        <v>14704</v>
      </c>
      <c r="B7868" t="s">
        <v>14705</v>
      </c>
      <c r="C7868" s="1">
        <v>44083</v>
      </c>
      <c r="D7868" t="b">
        <v>1</v>
      </c>
      <c r="E7868" t="s">
        <v>10</v>
      </c>
      <c r="F7868">
        <v>6723</v>
      </c>
    </row>
    <row r="7869" spans="1:6" x14ac:dyDescent="0.25">
      <c r="A7869" t="s">
        <v>14706</v>
      </c>
      <c r="B7869" t="s">
        <v>14707</v>
      </c>
      <c r="C7869" s="1">
        <v>44083</v>
      </c>
      <c r="D7869" t="b">
        <v>1</v>
      </c>
      <c r="E7869" t="s">
        <v>10</v>
      </c>
      <c r="F7869">
        <v>6724</v>
      </c>
    </row>
    <row r="7870" spans="1:6" x14ac:dyDescent="0.25">
      <c r="A7870" t="s">
        <v>14708</v>
      </c>
      <c r="B7870" t="s">
        <v>14709</v>
      </c>
      <c r="C7870" s="1">
        <v>44083</v>
      </c>
      <c r="D7870" t="b">
        <v>1</v>
      </c>
      <c r="E7870" t="s">
        <v>10</v>
      </c>
      <c r="F7870">
        <v>16276</v>
      </c>
    </row>
    <row r="7871" spans="1:6" x14ac:dyDescent="0.25">
      <c r="A7871" t="s">
        <v>14710</v>
      </c>
      <c r="B7871" t="s">
        <v>14711</v>
      </c>
      <c r="C7871" s="1">
        <v>44083</v>
      </c>
      <c r="D7871" t="b">
        <v>0</v>
      </c>
      <c r="E7871" t="s">
        <v>10</v>
      </c>
      <c r="F7871">
        <v>17054</v>
      </c>
    </row>
    <row r="7872" spans="1:6" x14ac:dyDescent="0.25">
      <c r="A7872" t="s">
        <v>14712</v>
      </c>
      <c r="B7872" t="s">
        <v>14713</v>
      </c>
      <c r="C7872" s="1">
        <v>44083</v>
      </c>
      <c r="D7872" t="b">
        <v>1</v>
      </c>
      <c r="E7872" t="s">
        <v>10</v>
      </c>
      <c r="F7872">
        <v>13208</v>
      </c>
    </row>
    <row r="7873" spans="1:6" x14ac:dyDescent="0.25">
      <c r="A7873" t="s">
        <v>14714</v>
      </c>
      <c r="C7873" s="1">
        <v>44083</v>
      </c>
      <c r="D7873" t="b">
        <v>1</v>
      </c>
      <c r="E7873" t="s">
        <v>10</v>
      </c>
      <c r="F7873">
        <v>15239</v>
      </c>
    </row>
    <row r="7874" spans="1:6" x14ac:dyDescent="0.25">
      <c r="A7874" t="s">
        <v>14715</v>
      </c>
      <c r="C7874" s="1">
        <v>44083</v>
      </c>
      <c r="D7874" t="b">
        <v>1</v>
      </c>
      <c r="E7874" t="s">
        <v>10</v>
      </c>
      <c r="F7874">
        <v>13513</v>
      </c>
    </row>
    <row r="7875" spans="1:6" x14ac:dyDescent="0.25">
      <c r="A7875" t="s">
        <v>14716</v>
      </c>
      <c r="C7875" s="1">
        <v>44083</v>
      </c>
      <c r="D7875" t="b">
        <v>1</v>
      </c>
      <c r="E7875" t="s">
        <v>10</v>
      </c>
      <c r="F7875">
        <v>13514</v>
      </c>
    </row>
    <row r="7876" spans="1:6" x14ac:dyDescent="0.25">
      <c r="A7876" t="s">
        <v>14717</v>
      </c>
      <c r="B7876" t="s">
        <v>14718</v>
      </c>
      <c r="C7876" s="1">
        <v>44083</v>
      </c>
      <c r="D7876" t="b">
        <v>1</v>
      </c>
      <c r="E7876" t="s">
        <v>10</v>
      </c>
      <c r="F7876">
        <v>6728</v>
      </c>
    </row>
    <row r="7877" spans="1:6" x14ac:dyDescent="0.25">
      <c r="A7877" t="s">
        <v>14719</v>
      </c>
      <c r="B7877" t="s">
        <v>14720</v>
      </c>
      <c r="C7877" s="1">
        <v>44083</v>
      </c>
      <c r="D7877" t="b">
        <v>1</v>
      </c>
      <c r="E7877" t="s">
        <v>10</v>
      </c>
      <c r="F7877">
        <v>15557</v>
      </c>
    </row>
    <row r="7878" spans="1:6" x14ac:dyDescent="0.25">
      <c r="A7878" t="s">
        <v>14721</v>
      </c>
      <c r="B7878" t="s">
        <v>14722</v>
      </c>
      <c r="C7878" s="1">
        <v>44083</v>
      </c>
      <c r="D7878" t="b">
        <v>1</v>
      </c>
      <c r="E7878" t="s">
        <v>10</v>
      </c>
      <c r="F7878">
        <v>10830</v>
      </c>
    </row>
    <row r="7879" spans="1:6" x14ac:dyDescent="0.25">
      <c r="A7879" t="s">
        <v>14723</v>
      </c>
      <c r="B7879" t="s">
        <v>14724</v>
      </c>
      <c r="C7879" s="1">
        <v>44083</v>
      </c>
      <c r="D7879" t="b">
        <v>1</v>
      </c>
      <c r="E7879" t="s">
        <v>10</v>
      </c>
      <c r="F7879">
        <v>16450</v>
      </c>
    </row>
    <row r="7880" spans="1:6" x14ac:dyDescent="0.25">
      <c r="A7880" t="s">
        <v>14725</v>
      </c>
      <c r="B7880" t="s">
        <v>14726</v>
      </c>
      <c r="C7880" s="1">
        <v>44083</v>
      </c>
      <c r="D7880" t="b">
        <v>1</v>
      </c>
      <c r="E7880" t="s">
        <v>10</v>
      </c>
      <c r="F7880">
        <v>6732</v>
      </c>
    </row>
    <row r="7881" spans="1:6" x14ac:dyDescent="0.25">
      <c r="A7881" t="s">
        <v>14727</v>
      </c>
      <c r="B7881" t="s">
        <v>14728</v>
      </c>
      <c r="C7881" s="1">
        <v>44083</v>
      </c>
      <c r="D7881" t="b">
        <v>1</v>
      </c>
      <c r="E7881" t="s">
        <v>10</v>
      </c>
      <c r="F7881">
        <v>6702</v>
      </c>
    </row>
    <row r="7882" spans="1:6" x14ac:dyDescent="0.25">
      <c r="A7882" t="s">
        <v>14729</v>
      </c>
      <c r="B7882" t="s">
        <v>14730</v>
      </c>
      <c r="C7882" s="1">
        <v>44083</v>
      </c>
      <c r="D7882" t="b">
        <v>1</v>
      </c>
      <c r="E7882" t="s">
        <v>10</v>
      </c>
      <c r="F7882">
        <v>6733</v>
      </c>
    </row>
    <row r="7883" spans="1:6" x14ac:dyDescent="0.25">
      <c r="A7883" t="s">
        <v>14731</v>
      </c>
      <c r="B7883" t="s">
        <v>14732</v>
      </c>
      <c r="C7883" s="1">
        <v>44083</v>
      </c>
      <c r="D7883" t="b">
        <v>1</v>
      </c>
      <c r="E7883" t="s">
        <v>10</v>
      </c>
      <c r="F7883">
        <v>6734</v>
      </c>
    </row>
    <row r="7884" spans="1:6" x14ac:dyDescent="0.25">
      <c r="A7884" t="s">
        <v>14733</v>
      </c>
      <c r="C7884" s="1">
        <v>44083</v>
      </c>
      <c r="D7884" t="b">
        <v>1</v>
      </c>
      <c r="E7884" t="s">
        <v>10</v>
      </c>
      <c r="F7884">
        <v>15793</v>
      </c>
    </row>
    <row r="7885" spans="1:6" x14ac:dyDescent="0.25">
      <c r="A7885" t="s">
        <v>14734</v>
      </c>
      <c r="B7885" t="s">
        <v>14735</v>
      </c>
      <c r="C7885" s="1">
        <v>44083</v>
      </c>
      <c r="D7885" t="b">
        <v>1</v>
      </c>
      <c r="E7885" t="s">
        <v>10</v>
      </c>
      <c r="F7885">
        <v>8480</v>
      </c>
    </row>
    <row r="7886" spans="1:6" x14ac:dyDescent="0.25">
      <c r="A7886" t="s">
        <v>14736</v>
      </c>
      <c r="B7886" t="s">
        <v>14737</v>
      </c>
      <c r="C7886" s="1">
        <v>44083</v>
      </c>
      <c r="D7886" t="b">
        <v>1</v>
      </c>
      <c r="E7886" t="s">
        <v>10</v>
      </c>
      <c r="F7886">
        <v>6737</v>
      </c>
    </row>
    <row r="7887" spans="1:6" x14ac:dyDescent="0.25">
      <c r="A7887" t="s">
        <v>14738</v>
      </c>
      <c r="B7887" t="s">
        <v>14739</v>
      </c>
      <c r="C7887" s="1">
        <v>44083</v>
      </c>
      <c r="D7887" t="b">
        <v>1</v>
      </c>
      <c r="E7887" t="s">
        <v>10</v>
      </c>
      <c r="F7887">
        <v>16715</v>
      </c>
    </row>
    <row r="7888" spans="1:6" x14ac:dyDescent="0.25">
      <c r="A7888" t="s">
        <v>14740</v>
      </c>
      <c r="B7888" t="s">
        <v>14741</v>
      </c>
      <c r="C7888" s="1">
        <v>44083</v>
      </c>
      <c r="D7888" t="b">
        <v>1</v>
      </c>
      <c r="E7888" t="s">
        <v>10</v>
      </c>
      <c r="F7888">
        <v>6739</v>
      </c>
    </row>
    <row r="7889" spans="1:6" x14ac:dyDescent="0.25">
      <c r="A7889" t="s">
        <v>14742</v>
      </c>
      <c r="B7889" t="s">
        <v>14743</v>
      </c>
      <c r="C7889" s="1">
        <v>44083</v>
      </c>
      <c r="D7889" t="b">
        <v>1</v>
      </c>
      <c r="E7889" t="s">
        <v>10</v>
      </c>
      <c r="F7889">
        <v>6740</v>
      </c>
    </row>
    <row r="7890" spans="1:6" x14ac:dyDescent="0.25">
      <c r="A7890" t="s">
        <v>14744</v>
      </c>
      <c r="B7890" t="s">
        <v>14745</v>
      </c>
      <c r="C7890" s="1">
        <v>44083</v>
      </c>
      <c r="D7890" t="b">
        <v>1</v>
      </c>
      <c r="E7890" t="s">
        <v>10</v>
      </c>
      <c r="F7890">
        <v>16241</v>
      </c>
    </row>
    <row r="7891" spans="1:6" x14ac:dyDescent="0.25">
      <c r="A7891" t="s">
        <v>14746</v>
      </c>
      <c r="B7891" t="s">
        <v>14747</v>
      </c>
      <c r="C7891" s="1">
        <v>44083</v>
      </c>
      <c r="D7891" t="b">
        <v>1</v>
      </c>
      <c r="E7891" t="s">
        <v>10</v>
      </c>
      <c r="F7891">
        <v>4523</v>
      </c>
    </row>
    <row r="7892" spans="1:6" x14ac:dyDescent="0.25">
      <c r="A7892" t="s">
        <v>14748</v>
      </c>
      <c r="B7892" t="s">
        <v>14749</v>
      </c>
      <c r="C7892" s="1">
        <v>44083</v>
      </c>
      <c r="D7892" t="b">
        <v>1</v>
      </c>
      <c r="E7892" t="s">
        <v>10</v>
      </c>
      <c r="F7892">
        <v>6742</v>
      </c>
    </row>
    <row r="7893" spans="1:6" x14ac:dyDescent="0.25">
      <c r="A7893" t="s">
        <v>14750</v>
      </c>
      <c r="B7893" t="s">
        <v>14751</v>
      </c>
      <c r="C7893" s="1">
        <v>44083</v>
      </c>
      <c r="D7893" t="b">
        <v>1</v>
      </c>
      <c r="E7893" t="s">
        <v>10</v>
      </c>
      <c r="F7893">
        <v>14797</v>
      </c>
    </row>
    <row r="7894" spans="1:6" x14ac:dyDescent="0.25">
      <c r="A7894" t="s">
        <v>14752</v>
      </c>
      <c r="B7894" t="s">
        <v>14753</v>
      </c>
      <c r="C7894" s="1">
        <v>44083</v>
      </c>
      <c r="D7894" t="b">
        <v>1</v>
      </c>
      <c r="E7894" t="s">
        <v>10</v>
      </c>
      <c r="F7894">
        <v>5216</v>
      </c>
    </row>
    <row r="7895" spans="1:6" x14ac:dyDescent="0.25">
      <c r="A7895" t="s">
        <v>14754</v>
      </c>
      <c r="B7895" t="s">
        <v>14755</v>
      </c>
      <c r="C7895" s="1">
        <v>44083</v>
      </c>
      <c r="D7895" t="b">
        <v>1</v>
      </c>
      <c r="E7895" t="s">
        <v>10</v>
      </c>
      <c r="F7895">
        <v>6744</v>
      </c>
    </row>
    <row r="7896" spans="1:6" x14ac:dyDescent="0.25">
      <c r="A7896" t="s">
        <v>14756</v>
      </c>
      <c r="B7896" t="s">
        <v>14757</v>
      </c>
      <c r="C7896" s="1">
        <v>44083</v>
      </c>
      <c r="D7896" t="b">
        <v>0</v>
      </c>
      <c r="E7896" t="s">
        <v>10</v>
      </c>
      <c r="F7896">
        <v>17055</v>
      </c>
    </row>
    <row r="7897" spans="1:6" x14ac:dyDescent="0.25">
      <c r="A7897" t="s">
        <v>14758</v>
      </c>
      <c r="B7897" t="s">
        <v>14759</v>
      </c>
      <c r="C7897" s="1">
        <v>44083</v>
      </c>
      <c r="D7897" t="b">
        <v>1</v>
      </c>
      <c r="E7897" t="s">
        <v>10</v>
      </c>
      <c r="F7897">
        <v>6746</v>
      </c>
    </row>
    <row r="7898" spans="1:6" x14ac:dyDescent="0.25">
      <c r="A7898" t="s">
        <v>14760</v>
      </c>
      <c r="B7898" t="s">
        <v>14761</v>
      </c>
      <c r="C7898" s="1">
        <v>44083</v>
      </c>
      <c r="D7898" t="b">
        <v>1</v>
      </c>
      <c r="E7898" t="s">
        <v>10</v>
      </c>
      <c r="F7898">
        <v>12771</v>
      </c>
    </row>
    <row r="7899" spans="1:6" x14ac:dyDescent="0.25">
      <c r="A7899" t="s">
        <v>14762</v>
      </c>
      <c r="B7899" t="s">
        <v>14763</v>
      </c>
      <c r="C7899" s="1">
        <v>44083</v>
      </c>
      <c r="D7899" t="b">
        <v>1</v>
      </c>
      <c r="E7899" t="s">
        <v>10</v>
      </c>
      <c r="F7899">
        <v>6748</v>
      </c>
    </row>
    <row r="7900" spans="1:6" x14ac:dyDescent="0.25">
      <c r="A7900" t="s">
        <v>14764</v>
      </c>
      <c r="B7900" t="s">
        <v>14765</v>
      </c>
      <c r="C7900" s="1">
        <v>44083</v>
      </c>
      <c r="D7900" t="b">
        <v>1</v>
      </c>
      <c r="E7900" t="s">
        <v>10</v>
      </c>
      <c r="F7900">
        <v>2269</v>
      </c>
    </row>
    <row r="7901" spans="1:6" x14ac:dyDescent="0.25">
      <c r="A7901" t="s">
        <v>14766</v>
      </c>
      <c r="B7901" t="s">
        <v>14767</v>
      </c>
      <c r="C7901" s="1">
        <v>44083</v>
      </c>
      <c r="D7901" t="b">
        <v>1</v>
      </c>
      <c r="E7901" t="s">
        <v>10</v>
      </c>
      <c r="F7901">
        <v>6750</v>
      </c>
    </row>
    <row r="7902" spans="1:6" x14ac:dyDescent="0.25">
      <c r="A7902" t="s">
        <v>14768</v>
      </c>
      <c r="B7902" t="s">
        <v>14769</v>
      </c>
      <c r="C7902" s="1">
        <v>44083</v>
      </c>
      <c r="D7902" t="b">
        <v>1</v>
      </c>
      <c r="E7902" t="s">
        <v>10</v>
      </c>
      <c r="F7902">
        <v>6751</v>
      </c>
    </row>
    <row r="7903" spans="1:6" x14ac:dyDescent="0.25">
      <c r="A7903" t="s">
        <v>14770</v>
      </c>
      <c r="B7903" t="s">
        <v>14771</v>
      </c>
      <c r="C7903" s="1">
        <v>44083</v>
      </c>
      <c r="D7903" t="b">
        <v>1</v>
      </c>
      <c r="E7903" t="s">
        <v>10</v>
      </c>
      <c r="F7903">
        <v>637</v>
      </c>
    </row>
    <row r="7904" spans="1:6" x14ac:dyDescent="0.25">
      <c r="A7904" t="s">
        <v>14772</v>
      </c>
      <c r="C7904" s="1">
        <v>44083</v>
      </c>
      <c r="D7904" t="b">
        <v>1</v>
      </c>
      <c r="E7904" t="s">
        <v>10</v>
      </c>
      <c r="F7904">
        <v>640</v>
      </c>
    </row>
    <row r="7905" spans="1:6" x14ac:dyDescent="0.25">
      <c r="A7905" t="s">
        <v>14773</v>
      </c>
      <c r="C7905" s="1">
        <v>44083</v>
      </c>
      <c r="D7905" t="b">
        <v>1</v>
      </c>
      <c r="E7905" t="s">
        <v>10</v>
      </c>
      <c r="F7905">
        <v>641</v>
      </c>
    </row>
    <row r="7906" spans="1:6" x14ac:dyDescent="0.25">
      <c r="A7906" t="s">
        <v>14774</v>
      </c>
      <c r="C7906" s="1">
        <v>44083</v>
      </c>
      <c r="D7906" t="b">
        <v>1</v>
      </c>
      <c r="E7906" t="s">
        <v>10</v>
      </c>
      <c r="F7906">
        <v>11151</v>
      </c>
    </row>
    <row r="7907" spans="1:6" x14ac:dyDescent="0.25">
      <c r="A7907" t="s">
        <v>14775</v>
      </c>
      <c r="C7907" s="1">
        <v>44083</v>
      </c>
      <c r="D7907" t="b">
        <v>1</v>
      </c>
      <c r="E7907" t="s">
        <v>10</v>
      </c>
      <c r="F7907">
        <v>16364</v>
      </c>
    </row>
    <row r="7908" spans="1:6" x14ac:dyDescent="0.25">
      <c r="A7908" t="s">
        <v>14776</v>
      </c>
      <c r="C7908" s="1">
        <v>44083</v>
      </c>
      <c r="D7908" t="b">
        <v>1</v>
      </c>
      <c r="E7908" t="s">
        <v>10</v>
      </c>
      <c r="F7908">
        <v>16769</v>
      </c>
    </row>
    <row r="7909" spans="1:6" x14ac:dyDescent="0.25">
      <c r="A7909" t="s">
        <v>14777</v>
      </c>
      <c r="C7909" s="1">
        <v>44083</v>
      </c>
      <c r="D7909" t="b">
        <v>1</v>
      </c>
      <c r="E7909" t="s">
        <v>10</v>
      </c>
      <c r="F7909">
        <v>17070</v>
      </c>
    </row>
    <row r="7910" spans="1:6" x14ac:dyDescent="0.25">
      <c r="A7910" t="s">
        <v>14778</v>
      </c>
      <c r="B7910" t="s">
        <v>14779</v>
      </c>
      <c r="C7910" s="1">
        <v>44083</v>
      </c>
      <c r="D7910" t="b">
        <v>1</v>
      </c>
      <c r="E7910" t="s">
        <v>10</v>
      </c>
      <c r="F7910">
        <v>16020</v>
      </c>
    </row>
    <row r="7911" spans="1:6" x14ac:dyDescent="0.25">
      <c r="A7911" t="s">
        <v>14780</v>
      </c>
      <c r="B7911" t="s">
        <v>14781</v>
      </c>
      <c r="C7911" s="1">
        <v>44083</v>
      </c>
      <c r="D7911" t="b">
        <v>1</v>
      </c>
      <c r="E7911" t="s">
        <v>10</v>
      </c>
      <c r="F7911">
        <v>6755</v>
      </c>
    </row>
    <row r="7912" spans="1:6" x14ac:dyDescent="0.25">
      <c r="A7912" t="s">
        <v>14782</v>
      </c>
      <c r="B7912" t="s">
        <v>14783</v>
      </c>
      <c r="C7912" s="1">
        <v>44083</v>
      </c>
      <c r="D7912" t="b">
        <v>1</v>
      </c>
      <c r="E7912" t="s">
        <v>10</v>
      </c>
      <c r="F7912">
        <v>16522</v>
      </c>
    </row>
    <row r="7913" spans="1:6" x14ac:dyDescent="0.25">
      <c r="A7913" t="s">
        <v>14784</v>
      </c>
      <c r="B7913" t="s">
        <v>14785</v>
      </c>
      <c r="C7913" s="1">
        <v>44083</v>
      </c>
      <c r="D7913" t="b">
        <v>1</v>
      </c>
      <c r="E7913" t="s">
        <v>10</v>
      </c>
      <c r="F7913">
        <v>14874</v>
      </c>
    </row>
    <row r="7914" spans="1:6" x14ac:dyDescent="0.25">
      <c r="A7914" t="s">
        <v>14786</v>
      </c>
      <c r="B7914" t="s">
        <v>14787</v>
      </c>
      <c r="C7914" s="1">
        <v>44083</v>
      </c>
      <c r="D7914" t="b">
        <v>0</v>
      </c>
      <c r="E7914" t="s">
        <v>10</v>
      </c>
      <c r="F7914">
        <v>17105</v>
      </c>
    </row>
    <row r="7915" spans="1:6" x14ac:dyDescent="0.25">
      <c r="A7915" t="s">
        <v>14788</v>
      </c>
      <c r="B7915" t="s">
        <v>14789</v>
      </c>
      <c r="C7915" s="1">
        <v>44083</v>
      </c>
      <c r="D7915" t="b">
        <v>1</v>
      </c>
      <c r="E7915" t="s">
        <v>10</v>
      </c>
      <c r="F7915">
        <v>8268</v>
      </c>
    </row>
    <row r="7916" spans="1:6" x14ac:dyDescent="0.25">
      <c r="A7916" t="s">
        <v>14790</v>
      </c>
      <c r="B7916" t="s">
        <v>14791</v>
      </c>
      <c r="C7916" s="1">
        <v>44083</v>
      </c>
      <c r="D7916" t="b">
        <v>1</v>
      </c>
      <c r="E7916" t="s">
        <v>10</v>
      </c>
      <c r="F7916">
        <v>14875</v>
      </c>
    </row>
    <row r="7917" spans="1:6" x14ac:dyDescent="0.25">
      <c r="A7917" t="s">
        <v>14792</v>
      </c>
      <c r="B7917" t="s">
        <v>14793</v>
      </c>
      <c r="C7917" s="1">
        <v>44083</v>
      </c>
      <c r="D7917" t="b">
        <v>1</v>
      </c>
      <c r="E7917" t="s">
        <v>10</v>
      </c>
      <c r="F7917">
        <v>6757</v>
      </c>
    </row>
    <row r="7918" spans="1:6" x14ac:dyDescent="0.25">
      <c r="A7918" t="s">
        <v>14794</v>
      </c>
      <c r="B7918" t="s">
        <v>14795</v>
      </c>
      <c r="C7918" s="1">
        <v>44083</v>
      </c>
      <c r="D7918" t="b">
        <v>1</v>
      </c>
      <c r="E7918" t="s">
        <v>10</v>
      </c>
      <c r="F7918">
        <v>6758</v>
      </c>
    </row>
    <row r="7919" spans="1:6" x14ac:dyDescent="0.25">
      <c r="A7919" t="s">
        <v>14796</v>
      </c>
      <c r="B7919" t="s">
        <v>14797</v>
      </c>
      <c r="C7919" s="1">
        <v>44083</v>
      </c>
      <c r="D7919" t="b">
        <v>1</v>
      </c>
      <c r="E7919" t="s">
        <v>10</v>
      </c>
      <c r="F7919">
        <v>6759</v>
      </c>
    </row>
    <row r="7920" spans="1:6" x14ac:dyDescent="0.25">
      <c r="A7920" t="s">
        <v>14798</v>
      </c>
      <c r="B7920" t="s">
        <v>14799</v>
      </c>
      <c r="C7920" s="1">
        <v>44083</v>
      </c>
      <c r="D7920" t="b">
        <v>1</v>
      </c>
      <c r="E7920" t="s">
        <v>10</v>
      </c>
      <c r="F7920">
        <v>6760</v>
      </c>
    </row>
    <row r="7921" spans="1:6" x14ac:dyDescent="0.25">
      <c r="A7921" t="s">
        <v>14800</v>
      </c>
      <c r="B7921" t="s">
        <v>14801</v>
      </c>
      <c r="C7921" s="1">
        <v>44083</v>
      </c>
      <c r="D7921" t="b">
        <v>1</v>
      </c>
      <c r="E7921" t="s">
        <v>10</v>
      </c>
      <c r="F7921">
        <v>6761</v>
      </c>
    </row>
    <row r="7922" spans="1:6" x14ac:dyDescent="0.25">
      <c r="A7922" t="s">
        <v>14802</v>
      </c>
      <c r="B7922" t="s">
        <v>14803</v>
      </c>
      <c r="C7922" s="1">
        <v>44083</v>
      </c>
      <c r="D7922" t="b">
        <v>1</v>
      </c>
      <c r="E7922" t="s">
        <v>10</v>
      </c>
      <c r="F7922">
        <v>6762</v>
      </c>
    </row>
    <row r="7923" spans="1:6" x14ac:dyDescent="0.25">
      <c r="A7923" t="s">
        <v>14804</v>
      </c>
      <c r="B7923" t="s">
        <v>14805</v>
      </c>
      <c r="C7923" s="1">
        <v>44083</v>
      </c>
      <c r="D7923" t="b">
        <v>1</v>
      </c>
      <c r="E7923" t="s">
        <v>10</v>
      </c>
      <c r="F7923">
        <v>6767</v>
      </c>
    </row>
    <row r="7924" spans="1:6" x14ac:dyDescent="0.25">
      <c r="A7924" t="s">
        <v>14806</v>
      </c>
      <c r="B7924" t="s">
        <v>14807</v>
      </c>
      <c r="C7924" s="1">
        <v>44083</v>
      </c>
      <c r="D7924" t="b">
        <v>1</v>
      </c>
      <c r="E7924" t="s">
        <v>10</v>
      </c>
      <c r="F7924">
        <v>6768</v>
      </c>
    </row>
    <row r="7925" spans="1:6" x14ac:dyDescent="0.25">
      <c r="A7925" t="s">
        <v>14808</v>
      </c>
      <c r="B7925" t="s">
        <v>14809</v>
      </c>
      <c r="C7925" s="1">
        <v>44083</v>
      </c>
      <c r="D7925" t="b">
        <v>1</v>
      </c>
      <c r="E7925" t="s">
        <v>10</v>
      </c>
      <c r="F7925">
        <v>332</v>
      </c>
    </row>
    <row r="7926" spans="1:6" x14ac:dyDescent="0.25">
      <c r="A7926" t="s">
        <v>14810</v>
      </c>
      <c r="B7926" t="s">
        <v>14811</v>
      </c>
      <c r="C7926" s="1">
        <v>44083</v>
      </c>
      <c r="D7926" t="b">
        <v>1</v>
      </c>
      <c r="E7926" t="s">
        <v>10</v>
      </c>
      <c r="F7926">
        <v>2781</v>
      </c>
    </row>
    <row r="7927" spans="1:6" x14ac:dyDescent="0.25">
      <c r="A7927" t="s">
        <v>14812</v>
      </c>
      <c r="B7927" t="s">
        <v>14813</v>
      </c>
      <c r="C7927" s="1">
        <v>44083</v>
      </c>
      <c r="D7927" t="b">
        <v>1</v>
      </c>
      <c r="E7927" t="s">
        <v>10</v>
      </c>
      <c r="F7927">
        <v>6769</v>
      </c>
    </row>
    <row r="7928" spans="1:6" x14ac:dyDescent="0.25">
      <c r="A7928" t="s">
        <v>14814</v>
      </c>
      <c r="C7928" s="1">
        <v>44083</v>
      </c>
      <c r="D7928" t="b">
        <v>1</v>
      </c>
      <c r="E7928" t="s">
        <v>10</v>
      </c>
      <c r="F7928">
        <v>14637</v>
      </c>
    </row>
    <row r="7929" spans="1:6" x14ac:dyDescent="0.25">
      <c r="A7929" t="s">
        <v>14815</v>
      </c>
      <c r="C7929" s="1">
        <v>44083</v>
      </c>
      <c r="D7929" t="b">
        <v>1</v>
      </c>
      <c r="E7929" t="s">
        <v>10</v>
      </c>
      <c r="F7929">
        <v>14638</v>
      </c>
    </row>
    <row r="7930" spans="1:6" x14ac:dyDescent="0.25">
      <c r="A7930" t="s">
        <v>14816</v>
      </c>
      <c r="B7930" t="s">
        <v>14817</v>
      </c>
      <c r="C7930" s="1">
        <v>44083</v>
      </c>
      <c r="D7930" t="b">
        <v>0</v>
      </c>
      <c r="E7930" t="s">
        <v>10</v>
      </c>
      <c r="F7930">
        <v>17056</v>
      </c>
    </row>
    <row r="7931" spans="1:6" x14ac:dyDescent="0.25">
      <c r="A7931" t="s">
        <v>14818</v>
      </c>
      <c r="B7931" t="s">
        <v>14819</v>
      </c>
      <c r="C7931" s="1">
        <v>44083</v>
      </c>
      <c r="D7931" t="b">
        <v>1</v>
      </c>
      <c r="E7931" t="s">
        <v>10</v>
      </c>
      <c r="F7931">
        <v>6771</v>
      </c>
    </row>
    <row r="7932" spans="1:6" x14ac:dyDescent="0.25">
      <c r="A7932" t="s">
        <v>14820</v>
      </c>
      <c r="B7932" t="s">
        <v>14821</v>
      </c>
      <c r="C7932" s="1">
        <v>44083</v>
      </c>
      <c r="D7932" t="b">
        <v>1</v>
      </c>
      <c r="E7932" t="s">
        <v>10</v>
      </c>
      <c r="F7932">
        <v>6772</v>
      </c>
    </row>
    <row r="7933" spans="1:6" x14ac:dyDescent="0.25">
      <c r="A7933" t="s">
        <v>14822</v>
      </c>
      <c r="B7933" t="s">
        <v>14823</v>
      </c>
      <c r="C7933" s="1">
        <v>44083</v>
      </c>
      <c r="D7933" t="b">
        <v>1</v>
      </c>
      <c r="E7933" t="s">
        <v>10</v>
      </c>
      <c r="F7933">
        <v>6773</v>
      </c>
    </row>
    <row r="7934" spans="1:6" x14ac:dyDescent="0.25">
      <c r="A7934" t="s">
        <v>14824</v>
      </c>
      <c r="B7934" t="s">
        <v>14825</v>
      </c>
      <c r="C7934" s="1">
        <v>44083</v>
      </c>
      <c r="D7934" t="b">
        <v>1</v>
      </c>
      <c r="E7934" t="s">
        <v>10</v>
      </c>
      <c r="F7934">
        <v>14214</v>
      </c>
    </row>
    <row r="7935" spans="1:6" x14ac:dyDescent="0.25">
      <c r="A7935" t="s">
        <v>14826</v>
      </c>
      <c r="B7935" t="s">
        <v>14827</v>
      </c>
      <c r="C7935" s="1">
        <v>44083</v>
      </c>
      <c r="D7935" t="b">
        <v>1</v>
      </c>
      <c r="E7935" t="s">
        <v>10</v>
      </c>
      <c r="F7935">
        <v>16158</v>
      </c>
    </row>
    <row r="7936" spans="1:6" x14ac:dyDescent="0.25">
      <c r="A7936" t="s">
        <v>14828</v>
      </c>
      <c r="B7936" t="s">
        <v>14829</v>
      </c>
      <c r="C7936" s="1">
        <v>44083</v>
      </c>
      <c r="D7936" t="b">
        <v>1</v>
      </c>
      <c r="E7936" t="s">
        <v>10</v>
      </c>
      <c r="F7936">
        <v>15945</v>
      </c>
    </row>
    <row r="7937" spans="1:6" x14ac:dyDescent="0.25">
      <c r="A7937" t="s">
        <v>14830</v>
      </c>
      <c r="C7937" s="1">
        <v>44083</v>
      </c>
      <c r="D7937" t="b">
        <v>1</v>
      </c>
      <c r="E7937" t="s">
        <v>10</v>
      </c>
      <c r="F7937">
        <v>16161</v>
      </c>
    </row>
    <row r="7938" spans="1:6" x14ac:dyDescent="0.25">
      <c r="A7938" t="s">
        <v>14831</v>
      </c>
      <c r="B7938" t="s">
        <v>14832</v>
      </c>
      <c r="C7938" s="1">
        <v>44083</v>
      </c>
      <c r="D7938" t="b">
        <v>1</v>
      </c>
      <c r="E7938" t="s">
        <v>10</v>
      </c>
      <c r="F7938">
        <v>6775</v>
      </c>
    </row>
    <row r="7939" spans="1:6" x14ac:dyDescent="0.25">
      <c r="A7939" t="s">
        <v>14833</v>
      </c>
      <c r="B7939" t="s">
        <v>14834</v>
      </c>
      <c r="C7939" s="1">
        <v>44083</v>
      </c>
      <c r="D7939" t="b">
        <v>1</v>
      </c>
      <c r="E7939" t="s">
        <v>10</v>
      </c>
      <c r="F7939">
        <v>15976</v>
      </c>
    </row>
    <row r="7940" spans="1:6" x14ac:dyDescent="0.25">
      <c r="A7940" t="s">
        <v>14835</v>
      </c>
      <c r="B7940" t="s">
        <v>14834</v>
      </c>
      <c r="C7940" s="1">
        <v>44083</v>
      </c>
      <c r="D7940" t="b">
        <v>1</v>
      </c>
      <c r="E7940" t="s">
        <v>10</v>
      </c>
      <c r="F7940">
        <v>15914</v>
      </c>
    </row>
    <row r="7941" spans="1:6" x14ac:dyDescent="0.25">
      <c r="A7941" t="s">
        <v>14836</v>
      </c>
      <c r="C7941" s="1">
        <v>44083</v>
      </c>
      <c r="D7941" t="b">
        <v>1</v>
      </c>
      <c r="E7941" t="s">
        <v>10</v>
      </c>
      <c r="F7941">
        <v>15977</v>
      </c>
    </row>
    <row r="7942" spans="1:6" x14ac:dyDescent="0.25">
      <c r="A7942" t="s">
        <v>14837</v>
      </c>
      <c r="B7942" t="s">
        <v>14838</v>
      </c>
      <c r="C7942" s="1">
        <v>44083</v>
      </c>
      <c r="D7942" t="b">
        <v>1</v>
      </c>
      <c r="E7942" t="s">
        <v>10</v>
      </c>
      <c r="F7942">
        <v>15558</v>
      </c>
    </row>
    <row r="7943" spans="1:6" x14ac:dyDescent="0.25">
      <c r="A7943" t="s">
        <v>14839</v>
      </c>
      <c r="B7943" t="s">
        <v>14838</v>
      </c>
      <c r="C7943" s="1">
        <v>44083</v>
      </c>
      <c r="D7943" t="b">
        <v>1</v>
      </c>
      <c r="E7943" t="s">
        <v>10</v>
      </c>
      <c r="F7943">
        <v>15442</v>
      </c>
    </row>
    <row r="7944" spans="1:6" x14ac:dyDescent="0.25">
      <c r="A7944" t="s">
        <v>14840</v>
      </c>
      <c r="C7944" s="1">
        <v>44083</v>
      </c>
      <c r="D7944" t="b">
        <v>1</v>
      </c>
      <c r="E7944" t="s">
        <v>10</v>
      </c>
      <c r="F7944">
        <v>15561</v>
      </c>
    </row>
    <row r="7945" spans="1:6" x14ac:dyDescent="0.25">
      <c r="A7945" t="s">
        <v>14841</v>
      </c>
      <c r="B7945" t="s">
        <v>14842</v>
      </c>
      <c r="C7945" s="1">
        <v>44083</v>
      </c>
      <c r="D7945" t="b">
        <v>1</v>
      </c>
      <c r="E7945" t="s">
        <v>10</v>
      </c>
      <c r="F7945">
        <v>15917</v>
      </c>
    </row>
    <row r="7946" spans="1:6" x14ac:dyDescent="0.25">
      <c r="A7946" t="s">
        <v>14843</v>
      </c>
      <c r="B7946" t="s">
        <v>14844</v>
      </c>
      <c r="C7946" s="1">
        <v>44083</v>
      </c>
      <c r="D7946" t="b">
        <v>1</v>
      </c>
      <c r="E7946" t="s">
        <v>10</v>
      </c>
      <c r="F7946">
        <v>6776</v>
      </c>
    </row>
    <row r="7947" spans="1:6" x14ac:dyDescent="0.25">
      <c r="A7947" t="s">
        <v>14845</v>
      </c>
      <c r="B7947" t="s">
        <v>14846</v>
      </c>
      <c r="C7947" s="1">
        <v>44083</v>
      </c>
      <c r="D7947" t="b">
        <v>1</v>
      </c>
      <c r="E7947" t="s">
        <v>10</v>
      </c>
      <c r="F7947">
        <v>6777</v>
      </c>
    </row>
    <row r="7948" spans="1:6" x14ac:dyDescent="0.25">
      <c r="A7948" t="s">
        <v>14847</v>
      </c>
      <c r="B7948" t="s">
        <v>14848</v>
      </c>
      <c r="C7948" s="1">
        <v>44083</v>
      </c>
      <c r="D7948" t="b">
        <v>1</v>
      </c>
      <c r="E7948" t="s">
        <v>10</v>
      </c>
      <c r="F7948">
        <v>6778</v>
      </c>
    </row>
    <row r="7949" spans="1:6" x14ac:dyDescent="0.25">
      <c r="A7949" t="s">
        <v>14849</v>
      </c>
      <c r="C7949" s="1">
        <v>44083</v>
      </c>
      <c r="D7949" t="b">
        <v>1</v>
      </c>
      <c r="E7949" t="s">
        <v>10</v>
      </c>
      <c r="F7949">
        <v>6779</v>
      </c>
    </row>
    <row r="7950" spans="1:6" x14ac:dyDescent="0.25">
      <c r="A7950" t="s">
        <v>14850</v>
      </c>
      <c r="B7950" t="s">
        <v>14851</v>
      </c>
      <c r="C7950" s="1">
        <v>44083</v>
      </c>
      <c r="D7950" t="b">
        <v>1</v>
      </c>
      <c r="E7950" t="s">
        <v>10</v>
      </c>
      <c r="F7950">
        <v>6783</v>
      </c>
    </row>
    <row r="7951" spans="1:6" x14ac:dyDescent="0.25">
      <c r="A7951" t="s">
        <v>14852</v>
      </c>
      <c r="B7951" t="s">
        <v>14853</v>
      </c>
      <c r="C7951" s="1">
        <v>44083</v>
      </c>
      <c r="D7951" t="b">
        <v>1</v>
      </c>
      <c r="E7951" t="s">
        <v>10</v>
      </c>
      <c r="F7951">
        <v>3960</v>
      </c>
    </row>
    <row r="7952" spans="1:6" x14ac:dyDescent="0.25">
      <c r="A7952" t="s">
        <v>14854</v>
      </c>
      <c r="B7952" t="s">
        <v>14855</v>
      </c>
      <c r="C7952" s="1">
        <v>44083</v>
      </c>
      <c r="D7952" t="b">
        <v>1</v>
      </c>
      <c r="E7952" t="s">
        <v>10</v>
      </c>
      <c r="F7952">
        <v>16716</v>
      </c>
    </row>
    <row r="7953" spans="1:6" x14ac:dyDescent="0.25">
      <c r="A7953" t="s">
        <v>14856</v>
      </c>
      <c r="B7953" t="s">
        <v>14857</v>
      </c>
      <c r="C7953" s="1">
        <v>44083</v>
      </c>
      <c r="D7953" t="b">
        <v>1</v>
      </c>
      <c r="E7953" t="s">
        <v>10</v>
      </c>
      <c r="F7953">
        <v>6784</v>
      </c>
    </row>
    <row r="7954" spans="1:6" x14ac:dyDescent="0.25">
      <c r="A7954" t="s">
        <v>14858</v>
      </c>
      <c r="B7954" t="s">
        <v>14859</v>
      </c>
      <c r="C7954" s="1">
        <v>44083</v>
      </c>
      <c r="D7954" t="b">
        <v>1</v>
      </c>
      <c r="E7954" t="s">
        <v>10</v>
      </c>
      <c r="F7954">
        <v>8889</v>
      </c>
    </row>
    <row r="7955" spans="1:6" x14ac:dyDescent="0.25">
      <c r="A7955" t="s">
        <v>14860</v>
      </c>
      <c r="B7955" t="s">
        <v>14861</v>
      </c>
      <c r="C7955" s="1">
        <v>44083</v>
      </c>
      <c r="D7955" t="b">
        <v>1</v>
      </c>
      <c r="E7955" t="s">
        <v>10</v>
      </c>
      <c r="F7955">
        <v>6786</v>
      </c>
    </row>
    <row r="7956" spans="1:6" x14ac:dyDescent="0.25">
      <c r="A7956" t="s">
        <v>14862</v>
      </c>
      <c r="B7956" t="s">
        <v>14863</v>
      </c>
      <c r="C7956" s="1">
        <v>44083</v>
      </c>
      <c r="D7956" t="b">
        <v>1</v>
      </c>
      <c r="E7956" t="s">
        <v>10</v>
      </c>
      <c r="F7956">
        <v>6789</v>
      </c>
    </row>
    <row r="7957" spans="1:6" x14ac:dyDescent="0.25">
      <c r="A7957" t="s">
        <v>14864</v>
      </c>
      <c r="B7957" t="s">
        <v>14865</v>
      </c>
      <c r="C7957" s="1">
        <v>44083</v>
      </c>
      <c r="D7957" t="b">
        <v>1</v>
      </c>
      <c r="E7957" t="s">
        <v>10</v>
      </c>
      <c r="F7957">
        <v>6791</v>
      </c>
    </row>
    <row r="7958" spans="1:6" x14ac:dyDescent="0.25">
      <c r="A7958" t="s">
        <v>14866</v>
      </c>
      <c r="B7958" t="s">
        <v>14867</v>
      </c>
      <c r="C7958" s="1">
        <v>44083</v>
      </c>
      <c r="D7958" t="b">
        <v>1</v>
      </c>
      <c r="E7958" t="s">
        <v>10</v>
      </c>
      <c r="F7958">
        <v>16184</v>
      </c>
    </row>
    <row r="7959" spans="1:6" x14ac:dyDescent="0.25">
      <c r="A7959" t="s">
        <v>14868</v>
      </c>
      <c r="B7959" t="s">
        <v>14869</v>
      </c>
      <c r="C7959" s="1">
        <v>44083</v>
      </c>
      <c r="D7959" t="b">
        <v>1</v>
      </c>
      <c r="E7959" t="s">
        <v>10</v>
      </c>
      <c r="F7959">
        <v>10026</v>
      </c>
    </row>
    <row r="7960" spans="1:6" x14ac:dyDescent="0.25">
      <c r="A7960" t="s">
        <v>14870</v>
      </c>
      <c r="C7960" s="1">
        <v>44083</v>
      </c>
      <c r="D7960" t="b">
        <v>1</v>
      </c>
      <c r="E7960" t="s">
        <v>10</v>
      </c>
      <c r="F7960">
        <v>14220</v>
      </c>
    </row>
    <row r="7961" spans="1:6" x14ac:dyDescent="0.25">
      <c r="A7961" t="s">
        <v>14871</v>
      </c>
      <c r="B7961" t="s">
        <v>14872</v>
      </c>
      <c r="C7961" s="1">
        <v>44083</v>
      </c>
      <c r="D7961" t="b">
        <v>1</v>
      </c>
      <c r="E7961" t="s">
        <v>10</v>
      </c>
      <c r="F7961">
        <v>16611</v>
      </c>
    </row>
    <row r="7962" spans="1:6" x14ac:dyDescent="0.25">
      <c r="A7962" t="s">
        <v>14873</v>
      </c>
      <c r="B7962" t="s">
        <v>14874</v>
      </c>
      <c r="C7962" s="1">
        <v>44083</v>
      </c>
      <c r="D7962" t="b">
        <v>1</v>
      </c>
      <c r="E7962" t="s">
        <v>10</v>
      </c>
      <c r="F7962">
        <v>6798</v>
      </c>
    </row>
    <row r="7963" spans="1:6" x14ac:dyDescent="0.25">
      <c r="A7963" t="s">
        <v>14875</v>
      </c>
      <c r="B7963" t="s">
        <v>14876</v>
      </c>
      <c r="C7963" s="1">
        <v>44083</v>
      </c>
      <c r="D7963" t="b">
        <v>1</v>
      </c>
      <c r="E7963" t="s">
        <v>10</v>
      </c>
      <c r="F7963">
        <v>16864</v>
      </c>
    </row>
    <row r="7964" spans="1:6" x14ac:dyDescent="0.25">
      <c r="A7964" t="s">
        <v>14877</v>
      </c>
      <c r="B7964" t="s">
        <v>14878</v>
      </c>
      <c r="C7964" s="1">
        <v>44083</v>
      </c>
      <c r="D7964" t="b">
        <v>1</v>
      </c>
      <c r="E7964" t="s">
        <v>10</v>
      </c>
      <c r="F7964">
        <v>15373</v>
      </c>
    </row>
    <row r="7965" spans="1:6" x14ac:dyDescent="0.25">
      <c r="A7965" t="s">
        <v>14879</v>
      </c>
      <c r="B7965" t="s">
        <v>14880</v>
      </c>
      <c r="C7965" s="1">
        <v>44083</v>
      </c>
      <c r="D7965" t="b">
        <v>1</v>
      </c>
      <c r="E7965" t="s">
        <v>10</v>
      </c>
      <c r="F7965">
        <v>15463</v>
      </c>
    </row>
    <row r="7966" spans="1:6" x14ac:dyDescent="0.25">
      <c r="A7966" t="s">
        <v>14881</v>
      </c>
      <c r="B7966" t="s">
        <v>14882</v>
      </c>
      <c r="C7966" s="1">
        <v>44083</v>
      </c>
      <c r="D7966" t="b">
        <v>1</v>
      </c>
      <c r="E7966" t="s">
        <v>10</v>
      </c>
      <c r="F7966">
        <v>6801</v>
      </c>
    </row>
    <row r="7967" spans="1:6" x14ac:dyDescent="0.25">
      <c r="A7967" t="s">
        <v>14883</v>
      </c>
      <c r="B7967" t="s">
        <v>14884</v>
      </c>
      <c r="C7967" s="1">
        <v>44083</v>
      </c>
      <c r="D7967" t="b">
        <v>1</v>
      </c>
      <c r="E7967" t="s">
        <v>10</v>
      </c>
      <c r="F7967">
        <v>6802</v>
      </c>
    </row>
    <row r="7968" spans="1:6" x14ac:dyDescent="0.25">
      <c r="A7968" t="s">
        <v>14885</v>
      </c>
      <c r="B7968" t="s">
        <v>14886</v>
      </c>
      <c r="C7968" s="1">
        <v>44083</v>
      </c>
      <c r="D7968" t="b">
        <v>1</v>
      </c>
      <c r="E7968" t="s">
        <v>10</v>
      </c>
      <c r="F7968">
        <v>6804</v>
      </c>
    </row>
    <row r="7969" spans="1:6" x14ac:dyDescent="0.25">
      <c r="A7969" t="s">
        <v>14887</v>
      </c>
      <c r="B7969" t="s">
        <v>14888</v>
      </c>
      <c r="C7969" s="1">
        <v>44083</v>
      </c>
      <c r="D7969" t="b">
        <v>1</v>
      </c>
      <c r="E7969" t="s">
        <v>10</v>
      </c>
      <c r="F7969">
        <v>7740</v>
      </c>
    </row>
    <row r="7970" spans="1:6" x14ac:dyDescent="0.25">
      <c r="A7970" t="s">
        <v>14889</v>
      </c>
      <c r="B7970" t="s">
        <v>14890</v>
      </c>
      <c r="C7970" s="1">
        <v>44083</v>
      </c>
      <c r="D7970" t="b">
        <v>1</v>
      </c>
      <c r="E7970" t="s">
        <v>10</v>
      </c>
      <c r="F7970">
        <v>6805</v>
      </c>
    </row>
    <row r="7971" spans="1:6" x14ac:dyDescent="0.25">
      <c r="A7971" t="s">
        <v>14891</v>
      </c>
      <c r="B7971" t="s">
        <v>14892</v>
      </c>
      <c r="C7971" s="1">
        <v>44083</v>
      </c>
      <c r="D7971" t="b">
        <v>1</v>
      </c>
      <c r="E7971" t="s">
        <v>10</v>
      </c>
      <c r="F7971">
        <v>6806</v>
      </c>
    </row>
    <row r="7972" spans="1:6" x14ac:dyDescent="0.25">
      <c r="A7972" t="s">
        <v>14893</v>
      </c>
      <c r="B7972" t="s">
        <v>14894</v>
      </c>
      <c r="C7972" s="1">
        <v>44083</v>
      </c>
      <c r="D7972" t="b">
        <v>1</v>
      </c>
      <c r="E7972" t="s">
        <v>10</v>
      </c>
      <c r="F7972">
        <v>6809</v>
      </c>
    </row>
    <row r="7973" spans="1:6" x14ac:dyDescent="0.25">
      <c r="A7973" t="s">
        <v>14895</v>
      </c>
      <c r="B7973" t="s">
        <v>14896</v>
      </c>
      <c r="C7973" s="1">
        <v>44083</v>
      </c>
      <c r="D7973" t="b">
        <v>1</v>
      </c>
      <c r="E7973" t="s">
        <v>10</v>
      </c>
      <c r="F7973">
        <v>6810</v>
      </c>
    </row>
    <row r="7974" spans="1:6" x14ac:dyDescent="0.25">
      <c r="A7974" t="s">
        <v>14897</v>
      </c>
      <c r="B7974" t="s">
        <v>14898</v>
      </c>
      <c r="C7974" s="1">
        <v>44083</v>
      </c>
      <c r="D7974" t="b">
        <v>1</v>
      </c>
      <c r="E7974" t="s">
        <v>10</v>
      </c>
      <c r="F7974">
        <v>6812</v>
      </c>
    </row>
    <row r="7975" spans="1:6" x14ac:dyDescent="0.25">
      <c r="A7975" t="s">
        <v>14899</v>
      </c>
      <c r="B7975" t="s">
        <v>14900</v>
      </c>
      <c r="C7975" s="1">
        <v>44083</v>
      </c>
      <c r="D7975" t="b">
        <v>1</v>
      </c>
      <c r="E7975" t="s">
        <v>10</v>
      </c>
      <c r="F7975">
        <v>6813</v>
      </c>
    </row>
    <row r="7976" spans="1:6" x14ac:dyDescent="0.25">
      <c r="A7976" t="s">
        <v>14901</v>
      </c>
      <c r="B7976" t="s">
        <v>14902</v>
      </c>
      <c r="C7976" s="1">
        <v>44083</v>
      </c>
      <c r="D7976" t="b">
        <v>1</v>
      </c>
      <c r="E7976" t="s">
        <v>10</v>
      </c>
      <c r="F7976">
        <v>12500</v>
      </c>
    </row>
    <row r="7977" spans="1:6" x14ac:dyDescent="0.25">
      <c r="A7977" t="s">
        <v>14903</v>
      </c>
      <c r="B7977" t="s">
        <v>14904</v>
      </c>
      <c r="C7977" s="1">
        <v>44083</v>
      </c>
      <c r="D7977" t="b">
        <v>1</v>
      </c>
      <c r="E7977" t="s">
        <v>10</v>
      </c>
      <c r="F7977">
        <v>6814</v>
      </c>
    </row>
    <row r="7978" spans="1:6" x14ac:dyDescent="0.25">
      <c r="A7978" t="s">
        <v>14905</v>
      </c>
      <c r="B7978" t="s">
        <v>14906</v>
      </c>
      <c r="C7978" s="1">
        <v>44083</v>
      </c>
      <c r="D7978" t="b">
        <v>1</v>
      </c>
      <c r="E7978" t="s">
        <v>10</v>
      </c>
      <c r="F7978">
        <v>6817</v>
      </c>
    </row>
    <row r="7979" spans="1:6" x14ac:dyDescent="0.25">
      <c r="A7979" t="s">
        <v>14907</v>
      </c>
      <c r="B7979" t="s">
        <v>14908</v>
      </c>
      <c r="C7979" s="1">
        <v>44083</v>
      </c>
      <c r="D7979" t="b">
        <v>1</v>
      </c>
      <c r="E7979" t="s">
        <v>10</v>
      </c>
      <c r="F7979">
        <v>14170</v>
      </c>
    </row>
    <row r="7980" spans="1:6" x14ac:dyDescent="0.25">
      <c r="A7980" t="s">
        <v>14909</v>
      </c>
      <c r="B7980" t="s">
        <v>14910</v>
      </c>
      <c r="C7980" s="1">
        <v>44083</v>
      </c>
      <c r="D7980" t="b">
        <v>1</v>
      </c>
      <c r="E7980" t="s">
        <v>10</v>
      </c>
      <c r="F7980">
        <v>10831</v>
      </c>
    </row>
    <row r="7981" spans="1:6" x14ac:dyDescent="0.25">
      <c r="A7981" t="s">
        <v>14911</v>
      </c>
      <c r="B7981" t="s">
        <v>14910</v>
      </c>
      <c r="C7981" s="1">
        <v>44083</v>
      </c>
      <c r="D7981" t="b">
        <v>1</v>
      </c>
      <c r="E7981" t="s">
        <v>10</v>
      </c>
      <c r="F7981">
        <v>10832</v>
      </c>
    </row>
    <row r="7982" spans="1:6" x14ac:dyDescent="0.25">
      <c r="A7982" t="s">
        <v>14912</v>
      </c>
      <c r="B7982" t="s">
        <v>14913</v>
      </c>
      <c r="C7982" s="1">
        <v>44083</v>
      </c>
      <c r="D7982" t="b">
        <v>1</v>
      </c>
      <c r="E7982" t="s">
        <v>10</v>
      </c>
      <c r="F7982">
        <v>3454</v>
      </c>
    </row>
    <row r="7983" spans="1:6" x14ac:dyDescent="0.25">
      <c r="A7983" t="s">
        <v>14914</v>
      </c>
      <c r="B7983" t="s">
        <v>14915</v>
      </c>
      <c r="C7983" s="1">
        <v>44083</v>
      </c>
      <c r="D7983" t="b">
        <v>1</v>
      </c>
      <c r="E7983" t="s">
        <v>10</v>
      </c>
      <c r="F7983">
        <v>6820</v>
      </c>
    </row>
    <row r="7984" spans="1:6" x14ac:dyDescent="0.25">
      <c r="A7984" t="s">
        <v>14916</v>
      </c>
      <c r="B7984" t="s">
        <v>14917</v>
      </c>
      <c r="C7984" s="1">
        <v>44083</v>
      </c>
      <c r="D7984" t="b">
        <v>1</v>
      </c>
      <c r="E7984" t="s">
        <v>10</v>
      </c>
      <c r="F7984">
        <v>6821</v>
      </c>
    </row>
    <row r="7985" spans="1:6" x14ac:dyDescent="0.25">
      <c r="A7985" t="s">
        <v>14918</v>
      </c>
      <c r="B7985" t="s">
        <v>14919</v>
      </c>
      <c r="C7985" s="1">
        <v>44083</v>
      </c>
      <c r="D7985" t="b">
        <v>1</v>
      </c>
      <c r="E7985" t="s">
        <v>10</v>
      </c>
      <c r="F7985">
        <v>6822</v>
      </c>
    </row>
    <row r="7986" spans="1:6" x14ac:dyDescent="0.25">
      <c r="A7986" t="s">
        <v>14920</v>
      </c>
      <c r="B7986" t="s">
        <v>14921</v>
      </c>
      <c r="C7986" s="1">
        <v>44083</v>
      </c>
      <c r="D7986" t="b">
        <v>1</v>
      </c>
      <c r="E7986" t="s">
        <v>10</v>
      </c>
      <c r="F7986">
        <v>11667</v>
      </c>
    </row>
    <row r="7987" spans="1:6" x14ac:dyDescent="0.25">
      <c r="A7987" t="s">
        <v>14922</v>
      </c>
      <c r="B7987" t="s">
        <v>14923</v>
      </c>
      <c r="C7987" s="1">
        <v>44083</v>
      </c>
      <c r="D7987" t="b">
        <v>1</v>
      </c>
      <c r="E7987" t="s">
        <v>10</v>
      </c>
      <c r="F7987">
        <v>14759</v>
      </c>
    </row>
    <row r="7988" spans="1:6" x14ac:dyDescent="0.25">
      <c r="A7988" t="s">
        <v>14924</v>
      </c>
      <c r="B7988" t="s">
        <v>14925</v>
      </c>
      <c r="C7988" s="1">
        <v>44083</v>
      </c>
      <c r="D7988" t="b">
        <v>1</v>
      </c>
      <c r="E7988" t="s">
        <v>10</v>
      </c>
      <c r="F7988">
        <v>14876</v>
      </c>
    </row>
    <row r="7989" spans="1:6" x14ac:dyDescent="0.25">
      <c r="A7989" t="s">
        <v>14926</v>
      </c>
      <c r="B7989" t="s">
        <v>14927</v>
      </c>
      <c r="C7989" s="1">
        <v>44083</v>
      </c>
      <c r="D7989" t="b">
        <v>1</v>
      </c>
      <c r="E7989" t="s">
        <v>10</v>
      </c>
      <c r="F7989">
        <v>6829</v>
      </c>
    </row>
    <row r="7990" spans="1:6" x14ac:dyDescent="0.25">
      <c r="A7990" t="s">
        <v>14928</v>
      </c>
      <c r="B7990" t="s">
        <v>14929</v>
      </c>
      <c r="C7990" s="1">
        <v>44083</v>
      </c>
      <c r="D7990" t="b">
        <v>1</v>
      </c>
      <c r="E7990" t="s">
        <v>10</v>
      </c>
      <c r="F7990">
        <v>6830</v>
      </c>
    </row>
    <row r="7991" spans="1:6" x14ac:dyDescent="0.25">
      <c r="A7991" t="s">
        <v>14930</v>
      </c>
      <c r="B7991" t="s">
        <v>14931</v>
      </c>
      <c r="C7991" s="1">
        <v>44083</v>
      </c>
      <c r="D7991" t="b">
        <v>1</v>
      </c>
      <c r="E7991" t="s">
        <v>10</v>
      </c>
      <c r="F7991">
        <v>6831</v>
      </c>
    </row>
    <row r="7992" spans="1:6" x14ac:dyDescent="0.25">
      <c r="A7992" t="s">
        <v>14932</v>
      </c>
      <c r="B7992" t="s">
        <v>14933</v>
      </c>
      <c r="C7992" s="1">
        <v>44083</v>
      </c>
      <c r="D7992" t="b">
        <v>1</v>
      </c>
      <c r="E7992" t="s">
        <v>10</v>
      </c>
      <c r="F7992">
        <v>6832</v>
      </c>
    </row>
    <row r="7993" spans="1:6" x14ac:dyDescent="0.25">
      <c r="A7993" t="s">
        <v>14934</v>
      </c>
      <c r="B7993" t="s">
        <v>14935</v>
      </c>
      <c r="C7993" s="1">
        <v>44083</v>
      </c>
      <c r="D7993" t="b">
        <v>1</v>
      </c>
      <c r="E7993" t="s">
        <v>10</v>
      </c>
      <c r="F7993">
        <v>6833</v>
      </c>
    </row>
    <row r="7994" spans="1:6" x14ac:dyDescent="0.25">
      <c r="A7994" t="s">
        <v>14936</v>
      </c>
      <c r="B7994" t="s">
        <v>14937</v>
      </c>
      <c r="C7994" s="1">
        <v>44083</v>
      </c>
      <c r="D7994" t="b">
        <v>1</v>
      </c>
      <c r="E7994" t="s">
        <v>10</v>
      </c>
      <c r="F7994">
        <v>10112</v>
      </c>
    </row>
    <row r="7995" spans="1:6" x14ac:dyDescent="0.25">
      <c r="A7995" t="s">
        <v>14938</v>
      </c>
      <c r="B7995" t="s">
        <v>14939</v>
      </c>
      <c r="C7995" s="1">
        <v>44083</v>
      </c>
      <c r="D7995" t="b">
        <v>1</v>
      </c>
      <c r="E7995" t="s">
        <v>10</v>
      </c>
      <c r="F7995">
        <v>14782</v>
      </c>
    </row>
    <row r="7996" spans="1:6" x14ac:dyDescent="0.25">
      <c r="A7996" t="s">
        <v>14940</v>
      </c>
      <c r="B7996" t="s">
        <v>14941</v>
      </c>
      <c r="C7996" s="1">
        <v>44083</v>
      </c>
      <c r="D7996" t="b">
        <v>1</v>
      </c>
      <c r="E7996" t="s">
        <v>10</v>
      </c>
      <c r="F7996">
        <v>16277</v>
      </c>
    </row>
    <row r="7997" spans="1:6" x14ac:dyDescent="0.25">
      <c r="A7997" t="s">
        <v>14942</v>
      </c>
      <c r="B7997" t="s">
        <v>14943</v>
      </c>
      <c r="C7997" s="1">
        <v>44083</v>
      </c>
      <c r="D7997" t="b">
        <v>1</v>
      </c>
      <c r="E7997" t="s">
        <v>10</v>
      </c>
      <c r="F7997">
        <v>15659</v>
      </c>
    </row>
    <row r="7998" spans="1:6" x14ac:dyDescent="0.25">
      <c r="A7998" t="s">
        <v>14944</v>
      </c>
      <c r="B7998" t="s">
        <v>14945</v>
      </c>
      <c r="C7998" s="1">
        <v>44083</v>
      </c>
      <c r="D7998" t="b">
        <v>1</v>
      </c>
      <c r="E7998" t="s">
        <v>10</v>
      </c>
      <c r="F7998">
        <v>15114</v>
      </c>
    </row>
    <row r="7999" spans="1:6" x14ac:dyDescent="0.25">
      <c r="A7999" t="s">
        <v>14946</v>
      </c>
      <c r="B7999" t="s">
        <v>14947</v>
      </c>
      <c r="C7999" s="1">
        <v>44083</v>
      </c>
      <c r="D7999" t="b">
        <v>1</v>
      </c>
      <c r="E7999" t="s">
        <v>10</v>
      </c>
      <c r="F7999">
        <v>6834</v>
      </c>
    </row>
    <row r="8000" spans="1:6" x14ac:dyDescent="0.25">
      <c r="A8000" t="s">
        <v>14948</v>
      </c>
      <c r="B8000" t="s">
        <v>14949</v>
      </c>
      <c r="C8000" s="1">
        <v>44083</v>
      </c>
      <c r="D8000" t="b">
        <v>1</v>
      </c>
      <c r="E8000" t="s">
        <v>10</v>
      </c>
      <c r="F8000">
        <v>14089</v>
      </c>
    </row>
    <row r="8001" spans="1:6" x14ac:dyDescent="0.25">
      <c r="A8001" t="s">
        <v>14950</v>
      </c>
      <c r="B8001" t="s">
        <v>14951</v>
      </c>
      <c r="C8001" s="1">
        <v>44083</v>
      </c>
      <c r="D8001" t="b">
        <v>1</v>
      </c>
      <c r="E8001" t="s">
        <v>10</v>
      </c>
      <c r="F8001">
        <v>6836</v>
      </c>
    </row>
    <row r="8002" spans="1:6" x14ac:dyDescent="0.25">
      <c r="A8002" t="s">
        <v>14952</v>
      </c>
      <c r="B8002" t="s">
        <v>14953</v>
      </c>
      <c r="C8002" s="1">
        <v>44083</v>
      </c>
      <c r="D8002" t="b">
        <v>1</v>
      </c>
      <c r="E8002" t="s">
        <v>10</v>
      </c>
      <c r="F8002">
        <v>6840</v>
      </c>
    </row>
    <row r="8003" spans="1:6" x14ac:dyDescent="0.25">
      <c r="A8003" t="s">
        <v>14954</v>
      </c>
      <c r="B8003" t="s">
        <v>14955</v>
      </c>
      <c r="C8003" s="1">
        <v>44083</v>
      </c>
      <c r="D8003" t="b">
        <v>1</v>
      </c>
      <c r="E8003" t="s">
        <v>10</v>
      </c>
      <c r="F8003">
        <v>6841</v>
      </c>
    </row>
    <row r="8004" spans="1:6" x14ac:dyDescent="0.25">
      <c r="A8004" t="s">
        <v>14956</v>
      </c>
      <c r="B8004" t="s">
        <v>14957</v>
      </c>
      <c r="C8004" s="1">
        <v>44083</v>
      </c>
      <c r="D8004" t="b">
        <v>1</v>
      </c>
      <c r="E8004" t="s">
        <v>10</v>
      </c>
      <c r="F8004">
        <v>4734</v>
      </c>
    </row>
    <row r="8005" spans="1:6" x14ac:dyDescent="0.25">
      <c r="A8005" t="s">
        <v>14958</v>
      </c>
      <c r="B8005" t="s">
        <v>14959</v>
      </c>
      <c r="C8005" s="1">
        <v>44083</v>
      </c>
      <c r="D8005" t="b">
        <v>1</v>
      </c>
      <c r="E8005" t="s">
        <v>10</v>
      </c>
      <c r="F8005">
        <v>8853</v>
      </c>
    </row>
    <row r="8006" spans="1:6" x14ac:dyDescent="0.25">
      <c r="A8006" t="s">
        <v>14960</v>
      </c>
      <c r="B8006" t="s">
        <v>14961</v>
      </c>
      <c r="C8006" s="1">
        <v>44083</v>
      </c>
      <c r="D8006" t="b">
        <v>1</v>
      </c>
      <c r="E8006" t="s">
        <v>10</v>
      </c>
      <c r="F8006">
        <v>6843</v>
      </c>
    </row>
    <row r="8007" spans="1:6" x14ac:dyDescent="0.25">
      <c r="A8007" t="s">
        <v>14962</v>
      </c>
      <c r="B8007" t="s">
        <v>14963</v>
      </c>
      <c r="C8007" s="1">
        <v>44083</v>
      </c>
      <c r="D8007" t="b">
        <v>1</v>
      </c>
      <c r="E8007" t="s">
        <v>10</v>
      </c>
      <c r="F8007">
        <v>6844</v>
      </c>
    </row>
    <row r="8008" spans="1:6" x14ac:dyDescent="0.25">
      <c r="A8008" t="s">
        <v>14964</v>
      </c>
      <c r="B8008" t="s">
        <v>14965</v>
      </c>
      <c r="C8008" s="1">
        <v>44083</v>
      </c>
      <c r="D8008" t="b">
        <v>1</v>
      </c>
      <c r="E8008" t="s">
        <v>10</v>
      </c>
      <c r="F8008">
        <v>6845</v>
      </c>
    </row>
    <row r="8009" spans="1:6" x14ac:dyDescent="0.25">
      <c r="A8009" t="s">
        <v>14966</v>
      </c>
      <c r="B8009" t="s">
        <v>14967</v>
      </c>
      <c r="C8009" s="1">
        <v>44083</v>
      </c>
      <c r="D8009" t="b">
        <v>1</v>
      </c>
      <c r="E8009" t="s">
        <v>10</v>
      </c>
      <c r="F8009">
        <v>6846</v>
      </c>
    </row>
    <row r="8010" spans="1:6" x14ac:dyDescent="0.25">
      <c r="A8010" t="s">
        <v>14968</v>
      </c>
      <c r="B8010" t="s">
        <v>14969</v>
      </c>
      <c r="C8010" s="1">
        <v>44083</v>
      </c>
      <c r="D8010" t="b">
        <v>1</v>
      </c>
      <c r="E8010" t="s">
        <v>10</v>
      </c>
      <c r="F8010">
        <v>6847</v>
      </c>
    </row>
    <row r="8011" spans="1:6" x14ac:dyDescent="0.25">
      <c r="A8011" t="s">
        <v>14970</v>
      </c>
      <c r="B8011" t="s">
        <v>14971</v>
      </c>
      <c r="C8011" s="1">
        <v>44083</v>
      </c>
      <c r="D8011" t="b">
        <v>1</v>
      </c>
      <c r="E8011" t="s">
        <v>10</v>
      </c>
      <c r="F8011">
        <v>7980</v>
      </c>
    </row>
    <row r="8012" spans="1:6" x14ac:dyDescent="0.25">
      <c r="A8012" t="s">
        <v>14972</v>
      </c>
      <c r="B8012" t="s">
        <v>14973</v>
      </c>
      <c r="C8012" s="1">
        <v>44083</v>
      </c>
      <c r="D8012" t="b">
        <v>1</v>
      </c>
      <c r="E8012" t="s">
        <v>10</v>
      </c>
      <c r="F8012">
        <v>8467</v>
      </c>
    </row>
    <row r="8013" spans="1:6" x14ac:dyDescent="0.25">
      <c r="A8013" t="s">
        <v>14974</v>
      </c>
      <c r="B8013" t="s">
        <v>14975</v>
      </c>
      <c r="C8013" s="1">
        <v>44083</v>
      </c>
      <c r="D8013" t="b">
        <v>1</v>
      </c>
      <c r="E8013" t="s">
        <v>10</v>
      </c>
      <c r="F8013">
        <v>6851</v>
      </c>
    </row>
    <row r="8014" spans="1:6" x14ac:dyDescent="0.25">
      <c r="A8014" t="s">
        <v>14976</v>
      </c>
      <c r="B8014" t="s">
        <v>14977</v>
      </c>
      <c r="C8014" s="1">
        <v>44083</v>
      </c>
      <c r="D8014" t="b">
        <v>1</v>
      </c>
      <c r="E8014" t="s">
        <v>10</v>
      </c>
      <c r="F8014">
        <v>6852</v>
      </c>
    </row>
    <row r="8015" spans="1:6" x14ac:dyDescent="0.25">
      <c r="A8015" t="s">
        <v>14978</v>
      </c>
      <c r="C8015" s="1">
        <v>44083</v>
      </c>
      <c r="D8015" t="b">
        <v>1</v>
      </c>
      <c r="E8015" t="s">
        <v>10</v>
      </c>
      <c r="F8015">
        <v>14640</v>
      </c>
    </row>
    <row r="8016" spans="1:6" x14ac:dyDescent="0.25">
      <c r="A8016" t="s">
        <v>14979</v>
      </c>
      <c r="C8016" s="1">
        <v>44083</v>
      </c>
      <c r="D8016" t="b">
        <v>1</v>
      </c>
      <c r="E8016" t="s">
        <v>10</v>
      </c>
      <c r="F8016">
        <v>14641</v>
      </c>
    </row>
    <row r="8017" spans="1:6" x14ac:dyDescent="0.25">
      <c r="A8017" t="s">
        <v>14980</v>
      </c>
      <c r="C8017" s="1">
        <v>44083</v>
      </c>
      <c r="D8017" t="b">
        <v>1</v>
      </c>
      <c r="E8017" t="s">
        <v>10</v>
      </c>
      <c r="F8017">
        <v>14642</v>
      </c>
    </row>
    <row r="8018" spans="1:6" x14ac:dyDescent="0.25">
      <c r="A8018" t="s">
        <v>14981</v>
      </c>
      <c r="C8018" s="1">
        <v>44083</v>
      </c>
      <c r="D8018" t="b">
        <v>1</v>
      </c>
      <c r="E8018" t="s">
        <v>10</v>
      </c>
      <c r="F8018">
        <v>14800</v>
      </c>
    </row>
    <row r="8019" spans="1:6" x14ac:dyDescent="0.25">
      <c r="A8019" t="s">
        <v>14982</v>
      </c>
      <c r="B8019" t="s">
        <v>14983</v>
      </c>
      <c r="C8019" s="1">
        <v>44083</v>
      </c>
      <c r="D8019" t="b">
        <v>1</v>
      </c>
      <c r="E8019" t="s">
        <v>10</v>
      </c>
      <c r="F8019">
        <v>7714</v>
      </c>
    </row>
    <row r="8020" spans="1:6" x14ac:dyDescent="0.25">
      <c r="A8020" t="s">
        <v>14984</v>
      </c>
      <c r="B8020" t="s">
        <v>14985</v>
      </c>
      <c r="C8020" s="1">
        <v>44083</v>
      </c>
      <c r="D8020" t="b">
        <v>1</v>
      </c>
      <c r="E8020" t="s">
        <v>10</v>
      </c>
      <c r="F8020">
        <v>6855</v>
      </c>
    </row>
    <row r="8021" spans="1:6" x14ac:dyDescent="0.25">
      <c r="A8021" t="s">
        <v>14986</v>
      </c>
      <c r="B8021" t="s">
        <v>14987</v>
      </c>
      <c r="C8021" s="1">
        <v>44083</v>
      </c>
      <c r="D8021" t="b">
        <v>1</v>
      </c>
      <c r="E8021" t="s">
        <v>10</v>
      </c>
      <c r="F8021">
        <v>15966</v>
      </c>
    </row>
    <row r="8022" spans="1:6" x14ac:dyDescent="0.25">
      <c r="A8022" t="s">
        <v>14988</v>
      </c>
      <c r="B8022" t="s">
        <v>14989</v>
      </c>
      <c r="C8022" s="1">
        <v>44083</v>
      </c>
      <c r="D8022" t="b">
        <v>1</v>
      </c>
      <c r="E8022" t="s">
        <v>10</v>
      </c>
      <c r="F8022">
        <v>6856</v>
      </c>
    </row>
    <row r="8023" spans="1:6" x14ac:dyDescent="0.25">
      <c r="A8023" t="s">
        <v>14990</v>
      </c>
      <c r="B8023" t="s">
        <v>14991</v>
      </c>
      <c r="C8023" s="1">
        <v>44083</v>
      </c>
      <c r="D8023" t="b">
        <v>1</v>
      </c>
      <c r="E8023" t="s">
        <v>10</v>
      </c>
      <c r="F8023">
        <v>8488</v>
      </c>
    </row>
    <row r="8024" spans="1:6" x14ac:dyDescent="0.25">
      <c r="A8024" t="s">
        <v>14992</v>
      </c>
      <c r="B8024" t="s">
        <v>14993</v>
      </c>
      <c r="C8024" s="1">
        <v>44083</v>
      </c>
      <c r="D8024" t="b">
        <v>1</v>
      </c>
      <c r="E8024" t="s">
        <v>10</v>
      </c>
      <c r="F8024">
        <v>6858</v>
      </c>
    </row>
    <row r="8025" spans="1:6" x14ac:dyDescent="0.25">
      <c r="A8025" t="s">
        <v>14994</v>
      </c>
      <c r="B8025" t="s">
        <v>14995</v>
      </c>
      <c r="C8025" s="1">
        <v>44083</v>
      </c>
      <c r="D8025" t="b">
        <v>1</v>
      </c>
      <c r="E8025" t="s">
        <v>10</v>
      </c>
      <c r="F8025">
        <v>14033</v>
      </c>
    </row>
    <row r="8026" spans="1:6" x14ac:dyDescent="0.25">
      <c r="A8026" t="s">
        <v>14996</v>
      </c>
      <c r="B8026" t="s">
        <v>14997</v>
      </c>
      <c r="C8026" s="1">
        <v>44083</v>
      </c>
      <c r="D8026" t="b">
        <v>1</v>
      </c>
      <c r="E8026" t="s">
        <v>10</v>
      </c>
      <c r="F8026">
        <v>6860</v>
      </c>
    </row>
    <row r="8027" spans="1:6" x14ac:dyDescent="0.25">
      <c r="A8027" t="s">
        <v>14998</v>
      </c>
      <c r="B8027" t="s">
        <v>14999</v>
      </c>
      <c r="C8027" s="1">
        <v>44083</v>
      </c>
      <c r="D8027" t="b">
        <v>1</v>
      </c>
      <c r="E8027" t="s">
        <v>10</v>
      </c>
      <c r="F8027">
        <v>14955</v>
      </c>
    </row>
    <row r="8028" spans="1:6" x14ac:dyDescent="0.25">
      <c r="A8028" t="s">
        <v>15000</v>
      </c>
      <c r="B8028" t="s">
        <v>15001</v>
      </c>
      <c r="C8028" s="1">
        <v>44083</v>
      </c>
      <c r="D8028" t="b">
        <v>1</v>
      </c>
      <c r="E8028" t="s">
        <v>10</v>
      </c>
      <c r="F8028">
        <v>14956</v>
      </c>
    </row>
    <row r="8029" spans="1:6" x14ac:dyDescent="0.25">
      <c r="A8029" t="s">
        <v>15002</v>
      </c>
      <c r="B8029" t="s">
        <v>14999</v>
      </c>
      <c r="C8029" s="1">
        <v>44083</v>
      </c>
      <c r="D8029" t="b">
        <v>1</v>
      </c>
      <c r="E8029" t="s">
        <v>10</v>
      </c>
      <c r="F8029">
        <v>14808</v>
      </c>
    </row>
    <row r="8030" spans="1:6" x14ac:dyDescent="0.25">
      <c r="A8030" t="s">
        <v>15003</v>
      </c>
      <c r="C8030" s="1">
        <v>44083</v>
      </c>
      <c r="D8030" t="b">
        <v>1</v>
      </c>
      <c r="E8030" t="s">
        <v>10</v>
      </c>
      <c r="F8030">
        <v>14958</v>
      </c>
    </row>
    <row r="8031" spans="1:6" x14ac:dyDescent="0.25">
      <c r="A8031" t="s">
        <v>15004</v>
      </c>
      <c r="B8031" t="s">
        <v>15005</v>
      </c>
      <c r="C8031" s="1">
        <v>44083</v>
      </c>
      <c r="D8031" t="b">
        <v>1</v>
      </c>
      <c r="E8031" t="s">
        <v>10</v>
      </c>
      <c r="F8031">
        <v>9764</v>
      </c>
    </row>
    <row r="8032" spans="1:6" x14ac:dyDescent="0.25">
      <c r="A8032" t="s">
        <v>15006</v>
      </c>
      <c r="B8032" t="s">
        <v>15007</v>
      </c>
      <c r="C8032" s="1">
        <v>44083</v>
      </c>
      <c r="D8032" t="b">
        <v>1</v>
      </c>
      <c r="E8032" t="s">
        <v>10</v>
      </c>
      <c r="F8032">
        <v>8604</v>
      </c>
    </row>
    <row r="8033" spans="1:6" x14ac:dyDescent="0.25">
      <c r="A8033" t="s">
        <v>15008</v>
      </c>
      <c r="B8033" t="s">
        <v>15009</v>
      </c>
      <c r="C8033" s="1">
        <v>44083</v>
      </c>
      <c r="D8033" t="b">
        <v>1</v>
      </c>
      <c r="E8033" t="s">
        <v>10</v>
      </c>
      <c r="F8033">
        <v>6862</v>
      </c>
    </row>
    <row r="8034" spans="1:6" x14ac:dyDescent="0.25">
      <c r="A8034" t="s">
        <v>15010</v>
      </c>
      <c r="B8034" t="s">
        <v>15011</v>
      </c>
      <c r="C8034" s="1">
        <v>44083</v>
      </c>
      <c r="D8034" t="b">
        <v>1</v>
      </c>
      <c r="E8034" t="s">
        <v>10</v>
      </c>
      <c r="F8034">
        <v>15415</v>
      </c>
    </row>
    <row r="8035" spans="1:6" x14ac:dyDescent="0.25">
      <c r="A8035" t="s">
        <v>15012</v>
      </c>
      <c r="B8035" t="s">
        <v>15013</v>
      </c>
      <c r="C8035" s="1">
        <v>44083</v>
      </c>
      <c r="D8035" t="b">
        <v>1</v>
      </c>
      <c r="E8035" t="s">
        <v>10</v>
      </c>
      <c r="F8035">
        <v>10818</v>
      </c>
    </row>
    <row r="8036" spans="1:6" x14ac:dyDescent="0.25">
      <c r="A8036" t="s">
        <v>15014</v>
      </c>
      <c r="B8036" t="s">
        <v>15015</v>
      </c>
      <c r="C8036" s="1">
        <v>44083</v>
      </c>
      <c r="D8036" t="b">
        <v>1</v>
      </c>
      <c r="E8036" t="s">
        <v>10</v>
      </c>
      <c r="F8036">
        <v>6864</v>
      </c>
    </row>
    <row r="8037" spans="1:6" x14ac:dyDescent="0.25">
      <c r="A8037" t="s">
        <v>15016</v>
      </c>
      <c r="B8037" t="s">
        <v>15017</v>
      </c>
      <c r="C8037" s="1">
        <v>44083</v>
      </c>
      <c r="D8037" t="b">
        <v>1</v>
      </c>
      <c r="E8037" t="s">
        <v>10</v>
      </c>
      <c r="F8037">
        <v>8962</v>
      </c>
    </row>
    <row r="8038" spans="1:6" x14ac:dyDescent="0.25">
      <c r="A8038" t="s">
        <v>15018</v>
      </c>
      <c r="B8038" t="s">
        <v>15019</v>
      </c>
      <c r="C8038" s="1">
        <v>44083</v>
      </c>
      <c r="D8038" t="b">
        <v>1</v>
      </c>
      <c r="E8038" t="s">
        <v>10</v>
      </c>
      <c r="F8038">
        <v>6866</v>
      </c>
    </row>
    <row r="8039" spans="1:6" x14ac:dyDescent="0.25">
      <c r="A8039" t="s">
        <v>15020</v>
      </c>
      <c r="B8039" t="s">
        <v>15021</v>
      </c>
      <c r="C8039" s="1">
        <v>44083</v>
      </c>
      <c r="D8039" t="b">
        <v>1</v>
      </c>
      <c r="E8039" t="s">
        <v>10</v>
      </c>
      <c r="F8039">
        <v>15682</v>
      </c>
    </row>
    <row r="8040" spans="1:6" x14ac:dyDescent="0.25">
      <c r="A8040" t="s">
        <v>15022</v>
      </c>
      <c r="B8040" t="s">
        <v>15023</v>
      </c>
      <c r="C8040" s="1">
        <v>44083</v>
      </c>
      <c r="D8040" t="b">
        <v>1</v>
      </c>
      <c r="E8040" t="s">
        <v>10</v>
      </c>
      <c r="F8040">
        <v>10952</v>
      </c>
    </row>
    <row r="8041" spans="1:6" x14ac:dyDescent="0.25">
      <c r="A8041" t="s">
        <v>15024</v>
      </c>
      <c r="B8041" t="s">
        <v>15025</v>
      </c>
      <c r="C8041" s="1">
        <v>44083</v>
      </c>
      <c r="D8041" t="b">
        <v>1</v>
      </c>
      <c r="E8041" t="s">
        <v>10</v>
      </c>
      <c r="F8041">
        <v>11500</v>
      </c>
    </row>
    <row r="8042" spans="1:6" x14ac:dyDescent="0.25">
      <c r="A8042" t="s">
        <v>15026</v>
      </c>
      <c r="B8042" t="s">
        <v>15027</v>
      </c>
      <c r="C8042" s="1">
        <v>44083</v>
      </c>
      <c r="D8042" t="b">
        <v>1</v>
      </c>
      <c r="E8042" t="s">
        <v>10</v>
      </c>
      <c r="F8042">
        <v>16336</v>
      </c>
    </row>
    <row r="8043" spans="1:6" x14ac:dyDescent="0.25">
      <c r="A8043" t="s">
        <v>15028</v>
      </c>
      <c r="B8043" t="s">
        <v>15029</v>
      </c>
      <c r="C8043" s="1">
        <v>44083</v>
      </c>
      <c r="D8043" t="b">
        <v>1</v>
      </c>
      <c r="E8043" t="s">
        <v>10</v>
      </c>
      <c r="F8043">
        <v>6868</v>
      </c>
    </row>
    <row r="8044" spans="1:6" x14ac:dyDescent="0.25">
      <c r="A8044" t="s">
        <v>15030</v>
      </c>
      <c r="B8044" t="s">
        <v>15031</v>
      </c>
      <c r="C8044" s="1">
        <v>44083</v>
      </c>
      <c r="D8044" t="b">
        <v>1</v>
      </c>
      <c r="E8044" t="s">
        <v>10</v>
      </c>
      <c r="F8044">
        <v>15683</v>
      </c>
    </row>
    <row r="8045" spans="1:6" x14ac:dyDescent="0.25">
      <c r="A8045" t="s">
        <v>15032</v>
      </c>
      <c r="B8045" t="s">
        <v>15033</v>
      </c>
      <c r="C8045" s="1">
        <v>44083</v>
      </c>
      <c r="D8045" t="b">
        <v>1</v>
      </c>
      <c r="E8045" t="s">
        <v>10</v>
      </c>
      <c r="F8045">
        <v>12870</v>
      </c>
    </row>
    <row r="8046" spans="1:6" x14ac:dyDescent="0.25">
      <c r="A8046" t="s">
        <v>15034</v>
      </c>
      <c r="B8046" t="s">
        <v>15035</v>
      </c>
      <c r="C8046" s="1">
        <v>44083</v>
      </c>
      <c r="D8046" t="b">
        <v>1</v>
      </c>
      <c r="E8046" t="s">
        <v>10</v>
      </c>
      <c r="F8046">
        <v>1389</v>
      </c>
    </row>
    <row r="8047" spans="1:6" x14ac:dyDescent="0.25">
      <c r="A8047" t="s">
        <v>15036</v>
      </c>
      <c r="B8047" t="s">
        <v>15037</v>
      </c>
      <c r="C8047" s="1">
        <v>44083</v>
      </c>
      <c r="D8047" t="b">
        <v>1</v>
      </c>
      <c r="E8047" t="s">
        <v>10</v>
      </c>
      <c r="F8047">
        <v>7736</v>
      </c>
    </row>
    <row r="8048" spans="1:6" x14ac:dyDescent="0.25">
      <c r="A8048" t="s">
        <v>15038</v>
      </c>
      <c r="B8048" t="s">
        <v>15039</v>
      </c>
      <c r="C8048" s="1">
        <v>44083</v>
      </c>
      <c r="D8048" t="b">
        <v>1</v>
      </c>
      <c r="E8048" t="s">
        <v>10</v>
      </c>
      <c r="F8048">
        <v>16337</v>
      </c>
    </row>
    <row r="8049" spans="1:6" x14ac:dyDescent="0.25">
      <c r="A8049" t="s">
        <v>15040</v>
      </c>
      <c r="B8049" t="s">
        <v>15041</v>
      </c>
      <c r="C8049" s="1">
        <v>44083</v>
      </c>
      <c r="D8049" t="b">
        <v>1</v>
      </c>
      <c r="E8049" t="s">
        <v>10</v>
      </c>
      <c r="F8049">
        <v>15595</v>
      </c>
    </row>
    <row r="8050" spans="1:6" x14ac:dyDescent="0.25">
      <c r="A8050" t="s">
        <v>15042</v>
      </c>
      <c r="B8050" t="s">
        <v>15043</v>
      </c>
      <c r="C8050" s="1">
        <v>44083</v>
      </c>
      <c r="D8050" t="b">
        <v>1</v>
      </c>
      <c r="E8050" t="s">
        <v>10</v>
      </c>
      <c r="F8050">
        <v>8093</v>
      </c>
    </row>
    <row r="8051" spans="1:6" x14ac:dyDescent="0.25">
      <c r="A8051" t="s">
        <v>15044</v>
      </c>
      <c r="C8051" s="1">
        <v>44083</v>
      </c>
      <c r="D8051" t="b">
        <v>1</v>
      </c>
      <c r="E8051" t="s">
        <v>10</v>
      </c>
      <c r="F8051">
        <v>13155</v>
      </c>
    </row>
    <row r="8052" spans="1:6" x14ac:dyDescent="0.25">
      <c r="A8052" t="s">
        <v>15045</v>
      </c>
      <c r="B8052" t="s">
        <v>15046</v>
      </c>
      <c r="C8052" s="1">
        <v>44083</v>
      </c>
      <c r="D8052" t="b">
        <v>1</v>
      </c>
      <c r="E8052" t="s">
        <v>10</v>
      </c>
      <c r="F8052">
        <v>6871</v>
      </c>
    </row>
    <row r="8053" spans="1:6" x14ac:dyDescent="0.25">
      <c r="A8053" t="s">
        <v>15047</v>
      </c>
      <c r="B8053" t="s">
        <v>15048</v>
      </c>
      <c r="C8053" s="1">
        <v>44083</v>
      </c>
      <c r="D8053" t="b">
        <v>1</v>
      </c>
      <c r="E8053" t="s">
        <v>10</v>
      </c>
      <c r="F8053">
        <v>10239</v>
      </c>
    </row>
    <row r="8054" spans="1:6" x14ac:dyDescent="0.25">
      <c r="A8054" t="s">
        <v>15049</v>
      </c>
      <c r="B8054" t="s">
        <v>15050</v>
      </c>
      <c r="C8054" s="1">
        <v>44083</v>
      </c>
      <c r="D8054" t="b">
        <v>1</v>
      </c>
      <c r="E8054" t="s">
        <v>10</v>
      </c>
      <c r="F8054">
        <v>6872</v>
      </c>
    </row>
    <row r="8055" spans="1:6" x14ac:dyDescent="0.25">
      <c r="A8055" t="s">
        <v>15051</v>
      </c>
      <c r="B8055" t="s">
        <v>15052</v>
      </c>
      <c r="C8055" s="1">
        <v>44083</v>
      </c>
      <c r="D8055" t="b">
        <v>1</v>
      </c>
      <c r="E8055" t="s">
        <v>10</v>
      </c>
      <c r="F8055">
        <v>6874</v>
      </c>
    </row>
    <row r="8056" spans="1:6" x14ac:dyDescent="0.25">
      <c r="A8056" t="s">
        <v>15053</v>
      </c>
      <c r="B8056" t="s">
        <v>15054</v>
      </c>
      <c r="C8056" s="1">
        <v>44083</v>
      </c>
      <c r="D8056" t="b">
        <v>1</v>
      </c>
      <c r="E8056" t="s">
        <v>10</v>
      </c>
      <c r="F8056">
        <v>6875</v>
      </c>
    </row>
    <row r="8057" spans="1:6" x14ac:dyDescent="0.25">
      <c r="A8057" t="s">
        <v>15055</v>
      </c>
      <c r="B8057" t="s">
        <v>15056</v>
      </c>
      <c r="C8057" s="1">
        <v>44083</v>
      </c>
      <c r="D8057" t="b">
        <v>1</v>
      </c>
      <c r="E8057" t="s">
        <v>10</v>
      </c>
      <c r="F8057">
        <v>6877</v>
      </c>
    </row>
    <row r="8058" spans="1:6" x14ac:dyDescent="0.25">
      <c r="A8058" t="s">
        <v>15057</v>
      </c>
      <c r="B8058" t="s">
        <v>15058</v>
      </c>
      <c r="C8058" s="1">
        <v>44083</v>
      </c>
      <c r="D8058" t="b">
        <v>1</v>
      </c>
      <c r="E8058" t="s">
        <v>10</v>
      </c>
      <c r="F8058">
        <v>8165</v>
      </c>
    </row>
    <row r="8059" spans="1:6" x14ac:dyDescent="0.25">
      <c r="A8059" t="s">
        <v>15059</v>
      </c>
      <c r="B8059" t="s">
        <v>15060</v>
      </c>
      <c r="C8059" s="1">
        <v>44083</v>
      </c>
      <c r="D8059" t="b">
        <v>1</v>
      </c>
      <c r="E8059" t="s">
        <v>10</v>
      </c>
      <c r="F8059">
        <v>17034</v>
      </c>
    </row>
    <row r="8060" spans="1:6" x14ac:dyDescent="0.25">
      <c r="A8060" t="s">
        <v>15061</v>
      </c>
      <c r="C8060" s="1">
        <v>44083</v>
      </c>
      <c r="D8060" t="b">
        <v>1</v>
      </c>
      <c r="E8060" t="s">
        <v>10</v>
      </c>
      <c r="F8060">
        <v>17071</v>
      </c>
    </row>
    <row r="8061" spans="1:6" x14ac:dyDescent="0.25">
      <c r="A8061" t="s">
        <v>15062</v>
      </c>
      <c r="B8061" t="s">
        <v>15063</v>
      </c>
      <c r="C8061" s="1">
        <v>44083</v>
      </c>
      <c r="D8061" t="b">
        <v>1</v>
      </c>
      <c r="E8061" t="s">
        <v>10</v>
      </c>
      <c r="F8061">
        <v>16772</v>
      </c>
    </row>
    <row r="8062" spans="1:6" x14ac:dyDescent="0.25">
      <c r="A8062" t="s">
        <v>15064</v>
      </c>
      <c r="B8062" t="s">
        <v>15065</v>
      </c>
      <c r="C8062" s="1">
        <v>44083</v>
      </c>
      <c r="D8062" t="b">
        <v>1</v>
      </c>
      <c r="E8062" t="s">
        <v>10</v>
      </c>
      <c r="F8062">
        <v>427</v>
      </c>
    </row>
    <row r="8063" spans="1:6" x14ac:dyDescent="0.25">
      <c r="A8063" t="s">
        <v>15066</v>
      </c>
      <c r="B8063" t="s">
        <v>15067</v>
      </c>
      <c r="C8063" s="1">
        <v>44083</v>
      </c>
      <c r="D8063" t="b">
        <v>1</v>
      </c>
      <c r="E8063" t="s">
        <v>10</v>
      </c>
      <c r="F8063">
        <v>6879</v>
      </c>
    </row>
    <row r="8064" spans="1:6" x14ac:dyDescent="0.25">
      <c r="A8064" t="s">
        <v>15068</v>
      </c>
      <c r="B8064" t="s">
        <v>15069</v>
      </c>
      <c r="C8064" s="1">
        <v>44083</v>
      </c>
      <c r="D8064" t="b">
        <v>1</v>
      </c>
      <c r="E8064" t="s">
        <v>10</v>
      </c>
      <c r="F8064">
        <v>6881</v>
      </c>
    </row>
    <row r="8065" spans="1:6" x14ac:dyDescent="0.25">
      <c r="A8065" t="s">
        <v>15070</v>
      </c>
      <c r="B8065" t="s">
        <v>15071</v>
      </c>
      <c r="C8065" s="1">
        <v>44083</v>
      </c>
      <c r="D8065" t="b">
        <v>1</v>
      </c>
      <c r="E8065" t="s">
        <v>10</v>
      </c>
      <c r="F8065">
        <v>6883</v>
      </c>
    </row>
    <row r="8066" spans="1:6" x14ac:dyDescent="0.25">
      <c r="A8066" t="s">
        <v>15072</v>
      </c>
      <c r="B8066" t="s">
        <v>15073</v>
      </c>
      <c r="C8066" s="1">
        <v>44083</v>
      </c>
      <c r="D8066" t="b">
        <v>1</v>
      </c>
      <c r="E8066" t="s">
        <v>10</v>
      </c>
      <c r="F8066">
        <v>11004</v>
      </c>
    </row>
    <row r="8067" spans="1:6" x14ac:dyDescent="0.25">
      <c r="A8067" t="s">
        <v>15074</v>
      </c>
      <c r="B8067" t="s">
        <v>15075</v>
      </c>
      <c r="C8067" s="1">
        <v>44083</v>
      </c>
      <c r="D8067" t="b">
        <v>1</v>
      </c>
      <c r="E8067" t="s">
        <v>10</v>
      </c>
      <c r="F8067">
        <v>6885</v>
      </c>
    </row>
    <row r="8068" spans="1:6" x14ac:dyDescent="0.25">
      <c r="A8068" t="s">
        <v>15076</v>
      </c>
      <c r="B8068" t="s">
        <v>15077</v>
      </c>
      <c r="C8068" s="1">
        <v>44083</v>
      </c>
      <c r="D8068" t="b">
        <v>1</v>
      </c>
      <c r="E8068" t="s">
        <v>10</v>
      </c>
      <c r="F8068">
        <v>6886</v>
      </c>
    </row>
    <row r="8069" spans="1:6" x14ac:dyDescent="0.25">
      <c r="A8069" t="s">
        <v>15078</v>
      </c>
      <c r="B8069" t="s">
        <v>15079</v>
      </c>
      <c r="C8069" s="1">
        <v>44083</v>
      </c>
      <c r="D8069" t="b">
        <v>1</v>
      </c>
      <c r="E8069" t="s">
        <v>10</v>
      </c>
      <c r="F8069">
        <v>9604</v>
      </c>
    </row>
    <row r="8070" spans="1:6" x14ac:dyDescent="0.25">
      <c r="A8070" t="s">
        <v>15080</v>
      </c>
      <c r="B8070" t="s">
        <v>15081</v>
      </c>
      <c r="C8070" s="1">
        <v>44083</v>
      </c>
      <c r="D8070" t="b">
        <v>1</v>
      </c>
      <c r="E8070" t="s">
        <v>10</v>
      </c>
      <c r="F8070">
        <v>6887</v>
      </c>
    </row>
    <row r="8071" spans="1:6" x14ac:dyDescent="0.25">
      <c r="A8071" t="s">
        <v>15082</v>
      </c>
      <c r="B8071" t="s">
        <v>15083</v>
      </c>
      <c r="C8071" s="1">
        <v>44083</v>
      </c>
      <c r="D8071" t="b">
        <v>1</v>
      </c>
      <c r="E8071" t="s">
        <v>10</v>
      </c>
      <c r="F8071">
        <v>6891</v>
      </c>
    </row>
    <row r="8072" spans="1:6" x14ac:dyDescent="0.25">
      <c r="A8072" t="s">
        <v>15084</v>
      </c>
      <c r="B8072" t="s">
        <v>15085</v>
      </c>
      <c r="C8072" s="1">
        <v>44083</v>
      </c>
      <c r="D8072" t="b">
        <v>1</v>
      </c>
      <c r="E8072" t="s">
        <v>10</v>
      </c>
      <c r="F8072">
        <v>13884</v>
      </c>
    </row>
    <row r="8073" spans="1:6" x14ac:dyDescent="0.25">
      <c r="A8073" t="s">
        <v>15086</v>
      </c>
      <c r="B8073" t="s">
        <v>15087</v>
      </c>
      <c r="C8073" s="1">
        <v>44083</v>
      </c>
      <c r="D8073" t="b">
        <v>1</v>
      </c>
      <c r="E8073" t="s">
        <v>10</v>
      </c>
      <c r="F8073">
        <v>6892</v>
      </c>
    </row>
    <row r="8074" spans="1:6" x14ac:dyDescent="0.25">
      <c r="A8074" t="s">
        <v>15088</v>
      </c>
      <c r="B8074" t="s">
        <v>15089</v>
      </c>
      <c r="C8074" s="1">
        <v>44083</v>
      </c>
      <c r="D8074" t="b">
        <v>1</v>
      </c>
      <c r="E8074" t="s">
        <v>10</v>
      </c>
      <c r="F8074">
        <v>13377</v>
      </c>
    </row>
    <row r="8075" spans="1:6" x14ac:dyDescent="0.25">
      <c r="A8075" t="s">
        <v>15090</v>
      </c>
      <c r="B8075" t="s">
        <v>15091</v>
      </c>
      <c r="C8075" s="1">
        <v>44083</v>
      </c>
      <c r="D8075" t="b">
        <v>1</v>
      </c>
      <c r="E8075" t="s">
        <v>10</v>
      </c>
      <c r="F8075">
        <v>6894</v>
      </c>
    </row>
    <row r="8076" spans="1:6" x14ac:dyDescent="0.25">
      <c r="A8076" t="s">
        <v>15092</v>
      </c>
      <c r="B8076" t="s">
        <v>15093</v>
      </c>
      <c r="C8076" s="1">
        <v>44083</v>
      </c>
      <c r="D8076" t="b">
        <v>1</v>
      </c>
      <c r="E8076" t="s">
        <v>10</v>
      </c>
      <c r="F8076">
        <v>15688</v>
      </c>
    </row>
    <row r="8077" spans="1:6" x14ac:dyDescent="0.25">
      <c r="A8077" t="s">
        <v>15094</v>
      </c>
      <c r="B8077" t="s">
        <v>15095</v>
      </c>
      <c r="C8077" s="1">
        <v>44083</v>
      </c>
      <c r="D8077" t="b">
        <v>1</v>
      </c>
      <c r="E8077" t="s">
        <v>10</v>
      </c>
      <c r="F8077">
        <v>15679</v>
      </c>
    </row>
    <row r="8078" spans="1:6" x14ac:dyDescent="0.25">
      <c r="A8078" t="s">
        <v>15096</v>
      </c>
      <c r="C8078" s="1">
        <v>44083</v>
      </c>
      <c r="D8078" t="b">
        <v>1</v>
      </c>
      <c r="E8078" t="s">
        <v>10</v>
      </c>
      <c r="F8078">
        <v>15695</v>
      </c>
    </row>
    <row r="8079" spans="1:6" x14ac:dyDescent="0.25">
      <c r="A8079" t="s">
        <v>15097</v>
      </c>
      <c r="B8079" t="s">
        <v>15098</v>
      </c>
      <c r="C8079" s="1">
        <v>44083</v>
      </c>
      <c r="D8079" t="b">
        <v>1</v>
      </c>
      <c r="E8079" t="s">
        <v>10</v>
      </c>
      <c r="F8079">
        <v>15464</v>
      </c>
    </row>
    <row r="8080" spans="1:6" x14ac:dyDescent="0.25">
      <c r="A8080" t="s">
        <v>15099</v>
      </c>
      <c r="B8080" t="s">
        <v>15100</v>
      </c>
      <c r="C8080" s="1">
        <v>44083</v>
      </c>
      <c r="D8080" t="b">
        <v>1</v>
      </c>
      <c r="E8080" t="s">
        <v>10</v>
      </c>
      <c r="F8080">
        <v>6897</v>
      </c>
    </row>
    <row r="8081" spans="1:6" x14ac:dyDescent="0.25">
      <c r="A8081" t="s">
        <v>15101</v>
      </c>
      <c r="B8081" t="s">
        <v>15102</v>
      </c>
      <c r="C8081" s="1">
        <v>44083</v>
      </c>
      <c r="D8081" t="b">
        <v>1</v>
      </c>
      <c r="E8081" t="s">
        <v>10</v>
      </c>
      <c r="F8081">
        <v>6899</v>
      </c>
    </row>
    <row r="8082" spans="1:6" x14ac:dyDescent="0.25">
      <c r="A8082" t="s">
        <v>15103</v>
      </c>
      <c r="B8082" t="s">
        <v>15104</v>
      </c>
      <c r="C8082" s="1">
        <v>44083</v>
      </c>
      <c r="D8082" t="b">
        <v>1</v>
      </c>
      <c r="E8082" t="s">
        <v>10</v>
      </c>
      <c r="F8082">
        <v>6903</v>
      </c>
    </row>
    <row r="8083" spans="1:6" x14ac:dyDescent="0.25">
      <c r="A8083" t="s">
        <v>15105</v>
      </c>
      <c r="B8083" t="s">
        <v>15106</v>
      </c>
      <c r="C8083" s="1">
        <v>44083</v>
      </c>
      <c r="D8083" t="b">
        <v>1</v>
      </c>
      <c r="E8083" t="s">
        <v>10</v>
      </c>
      <c r="F8083">
        <v>15562</v>
      </c>
    </row>
    <row r="8084" spans="1:6" x14ac:dyDescent="0.25">
      <c r="A8084" t="s">
        <v>15107</v>
      </c>
      <c r="B8084" t="s">
        <v>15108</v>
      </c>
      <c r="C8084" s="1">
        <v>44083</v>
      </c>
      <c r="D8084" t="b">
        <v>1</v>
      </c>
      <c r="E8084" t="s">
        <v>10</v>
      </c>
      <c r="F8084">
        <v>6905</v>
      </c>
    </row>
    <row r="8085" spans="1:6" x14ac:dyDescent="0.25">
      <c r="A8085" t="s">
        <v>15109</v>
      </c>
      <c r="B8085" t="s">
        <v>15110</v>
      </c>
      <c r="C8085" s="1">
        <v>44083</v>
      </c>
      <c r="D8085" t="b">
        <v>1</v>
      </c>
      <c r="E8085" t="s">
        <v>10</v>
      </c>
      <c r="F8085">
        <v>6906</v>
      </c>
    </row>
    <row r="8086" spans="1:6" x14ac:dyDescent="0.25">
      <c r="A8086" t="s">
        <v>15111</v>
      </c>
      <c r="B8086" t="s">
        <v>15112</v>
      </c>
      <c r="C8086" s="1">
        <v>44083</v>
      </c>
      <c r="D8086" t="b">
        <v>1</v>
      </c>
      <c r="E8086" t="s">
        <v>10</v>
      </c>
      <c r="F8086">
        <v>6908</v>
      </c>
    </row>
    <row r="8087" spans="1:6" x14ac:dyDescent="0.25">
      <c r="A8087" t="s">
        <v>15113</v>
      </c>
      <c r="B8087" t="s">
        <v>15114</v>
      </c>
      <c r="C8087" s="1">
        <v>44083</v>
      </c>
      <c r="D8087" t="b">
        <v>1</v>
      </c>
      <c r="E8087" t="s">
        <v>10</v>
      </c>
      <c r="F8087">
        <v>6910</v>
      </c>
    </row>
    <row r="8088" spans="1:6" x14ac:dyDescent="0.25">
      <c r="A8088" t="s">
        <v>15115</v>
      </c>
      <c r="B8088" t="s">
        <v>15116</v>
      </c>
      <c r="C8088" s="1">
        <v>44083</v>
      </c>
      <c r="D8088" t="b">
        <v>1</v>
      </c>
      <c r="E8088" t="s">
        <v>10</v>
      </c>
      <c r="F8088">
        <v>6912</v>
      </c>
    </row>
    <row r="8089" spans="1:6" x14ac:dyDescent="0.25">
      <c r="A8089" t="s">
        <v>15117</v>
      </c>
      <c r="B8089" t="s">
        <v>15118</v>
      </c>
      <c r="C8089" s="1">
        <v>44083</v>
      </c>
      <c r="D8089" t="b">
        <v>1</v>
      </c>
      <c r="E8089" t="s">
        <v>10</v>
      </c>
      <c r="F8089">
        <v>11398</v>
      </c>
    </row>
    <row r="8090" spans="1:6" x14ac:dyDescent="0.25">
      <c r="A8090" t="s">
        <v>15119</v>
      </c>
      <c r="C8090" s="1">
        <v>44083</v>
      </c>
      <c r="D8090" t="b">
        <v>1</v>
      </c>
      <c r="E8090" t="s">
        <v>10</v>
      </c>
      <c r="F8090">
        <v>15541</v>
      </c>
    </row>
    <row r="8091" spans="1:6" x14ac:dyDescent="0.25">
      <c r="A8091" t="s">
        <v>15120</v>
      </c>
      <c r="C8091" s="1">
        <v>44083</v>
      </c>
      <c r="D8091" t="b">
        <v>1</v>
      </c>
      <c r="E8091" t="s">
        <v>10</v>
      </c>
      <c r="F8091">
        <v>15904</v>
      </c>
    </row>
    <row r="8092" spans="1:6" x14ac:dyDescent="0.25">
      <c r="A8092" t="s">
        <v>15121</v>
      </c>
      <c r="C8092" s="1">
        <v>44083</v>
      </c>
      <c r="D8092" t="b">
        <v>1</v>
      </c>
      <c r="E8092" t="s">
        <v>10</v>
      </c>
      <c r="F8092">
        <v>16294</v>
      </c>
    </row>
    <row r="8093" spans="1:6" x14ac:dyDescent="0.25">
      <c r="A8093" t="s">
        <v>15122</v>
      </c>
      <c r="C8093" s="1">
        <v>44083</v>
      </c>
      <c r="D8093" t="b">
        <v>1</v>
      </c>
      <c r="E8093" t="s">
        <v>10</v>
      </c>
      <c r="F8093">
        <v>16491</v>
      </c>
    </row>
    <row r="8094" spans="1:6" x14ac:dyDescent="0.25">
      <c r="A8094" t="s">
        <v>15123</v>
      </c>
      <c r="B8094" t="s">
        <v>15124</v>
      </c>
      <c r="C8094" s="1">
        <v>44083</v>
      </c>
      <c r="D8094" t="b">
        <v>1</v>
      </c>
      <c r="E8094" t="s">
        <v>10</v>
      </c>
      <c r="F8094">
        <v>12814</v>
      </c>
    </row>
    <row r="8095" spans="1:6" x14ac:dyDescent="0.25">
      <c r="A8095" t="s">
        <v>15125</v>
      </c>
      <c r="B8095" t="s">
        <v>15126</v>
      </c>
      <c r="C8095" s="1">
        <v>44083</v>
      </c>
      <c r="D8095" t="b">
        <v>1</v>
      </c>
      <c r="E8095" t="s">
        <v>10</v>
      </c>
      <c r="F8095">
        <v>15006</v>
      </c>
    </row>
    <row r="8096" spans="1:6" x14ac:dyDescent="0.25">
      <c r="A8096" t="s">
        <v>15127</v>
      </c>
      <c r="B8096" t="s">
        <v>15128</v>
      </c>
      <c r="C8096" s="1">
        <v>44083</v>
      </c>
      <c r="D8096" t="b">
        <v>1</v>
      </c>
      <c r="E8096" t="s">
        <v>10</v>
      </c>
      <c r="F8096">
        <v>10130</v>
      </c>
    </row>
    <row r="8097" spans="1:6" x14ac:dyDescent="0.25">
      <c r="A8097" t="b">
        <v>1</v>
      </c>
      <c r="B8097" t="s">
        <v>15129</v>
      </c>
      <c r="C8097" s="1">
        <v>44083</v>
      </c>
      <c r="D8097" t="b">
        <v>1</v>
      </c>
      <c r="E8097" t="s">
        <v>10</v>
      </c>
      <c r="F8097">
        <v>8605</v>
      </c>
    </row>
    <row r="8098" spans="1:6" x14ac:dyDescent="0.25">
      <c r="A8098" t="s">
        <v>15130</v>
      </c>
      <c r="B8098" t="s">
        <v>15131</v>
      </c>
      <c r="C8098" s="1">
        <v>44083</v>
      </c>
      <c r="D8098" t="b">
        <v>1</v>
      </c>
      <c r="E8098" t="s">
        <v>10</v>
      </c>
      <c r="F8098">
        <v>8933</v>
      </c>
    </row>
    <row r="8099" spans="1:6" x14ac:dyDescent="0.25">
      <c r="A8099" t="s">
        <v>15132</v>
      </c>
      <c r="B8099" t="s">
        <v>15133</v>
      </c>
      <c r="C8099" s="1">
        <v>44083</v>
      </c>
      <c r="D8099" t="b">
        <v>1</v>
      </c>
      <c r="E8099" t="s">
        <v>10</v>
      </c>
      <c r="F8099">
        <v>6913</v>
      </c>
    </row>
    <row r="8100" spans="1:6" x14ac:dyDescent="0.25">
      <c r="A8100" t="s">
        <v>15134</v>
      </c>
      <c r="B8100" t="s">
        <v>15135</v>
      </c>
      <c r="C8100" s="1">
        <v>44083</v>
      </c>
      <c r="D8100" t="b">
        <v>1</v>
      </c>
      <c r="E8100" t="s">
        <v>10</v>
      </c>
      <c r="F8100">
        <v>12089</v>
      </c>
    </row>
    <row r="8101" spans="1:6" x14ac:dyDescent="0.25">
      <c r="A8101" t="s">
        <v>15136</v>
      </c>
      <c r="B8101" t="s">
        <v>15137</v>
      </c>
      <c r="C8101" s="1">
        <v>44083</v>
      </c>
      <c r="D8101" t="b">
        <v>1</v>
      </c>
      <c r="E8101" t="s">
        <v>10</v>
      </c>
      <c r="F8101">
        <v>15662</v>
      </c>
    </row>
    <row r="8102" spans="1:6" x14ac:dyDescent="0.25">
      <c r="A8102" t="s">
        <v>15138</v>
      </c>
      <c r="B8102" t="s">
        <v>15139</v>
      </c>
      <c r="C8102" s="1">
        <v>44083</v>
      </c>
      <c r="D8102" t="b">
        <v>1</v>
      </c>
      <c r="E8102" t="s">
        <v>10</v>
      </c>
      <c r="F8102">
        <v>8121</v>
      </c>
    </row>
    <row r="8103" spans="1:6" x14ac:dyDescent="0.25">
      <c r="A8103" t="s">
        <v>15140</v>
      </c>
      <c r="B8103" t="s">
        <v>15141</v>
      </c>
      <c r="C8103" s="1">
        <v>44083</v>
      </c>
      <c r="D8103" t="b">
        <v>1</v>
      </c>
      <c r="E8103" t="s">
        <v>10</v>
      </c>
      <c r="F8103">
        <v>15410</v>
      </c>
    </row>
    <row r="8104" spans="1:6" x14ac:dyDescent="0.25">
      <c r="A8104" t="s">
        <v>15142</v>
      </c>
      <c r="B8104" t="s">
        <v>15143</v>
      </c>
      <c r="C8104" s="1">
        <v>44083</v>
      </c>
      <c r="D8104" t="b">
        <v>1</v>
      </c>
      <c r="E8104" t="s">
        <v>10</v>
      </c>
      <c r="F8104">
        <v>6915</v>
      </c>
    </row>
    <row r="8105" spans="1:6" x14ac:dyDescent="0.25">
      <c r="A8105" t="s">
        <v>15144</v>
      </c>
      <c r="B8105" t="s">
        <v>15145</v>
      </c>
      <c r="C8105" s="1">
        <v>44083</v>
      </c>
      <c r="D8105" t="b">
        <v>1</v>
      </c>
      <c r="E8105" t="s">
        <v>10</v>
      </c>
      <c r="F8105">
        <v>8551</v>
      </c>
    </row>
    <row r="8106" spans="1:6" x14ac:dyDescent="0.25">
      <c r="A8106" t="s">
        <v>15146</v>
      </c>
      <c r="B8106" t="s">
        <v>15147</v>
      </c>
      <c r="C8106" s="1">
        <v>44083</v>
      </c>
      <c r="D8106" t="b">
        <v>1</v>
      </c>
      <c r="E8106" t="s">
        <v>10</v>
      </c>
      <c r="F8106">
        <v>6916</v>
      </c>
    </row>
    <row r="8107" spans="1:6" x14ac:dyDescent="0.25">
      <c r="A8107" t="s">
        <v>15148</v>
      </c>
      <c r="B8107" t="s">
        <v>15149</v>
      </c>
      <c r="C8107" s="1">
        <v>44083</v>
      </c>
      <c r="D8107" t="b">
        <v>1</v>
      </c>
      <c r="E8107" t="s">
        <v>10</v>
      </c>
      <c r="F8107">
        <v>6917</v>
      </c>
    </row>
    <row r="8108" spans="1:6" x14ac:dyDescent="0.25">
      <c r="A8108" t="s">
        <v>15150</v>
      </c>
      <c r="B8108" t="s">
        <v>15151</v>
      </c>
      <c r="C8108" s="1">
        <v>44083</v>
      </c>
      <c r="D8108" t="b">
        <v>1</v>
      </c>
      <c r="E8108" t="s">
        <v>10</v>
      </c>
      <c r="F8108">
        <v>6918</v>
      </c>
    </row>
    <row r="8109" spans="1:6" x14ac:dyDescent="0.25">
      <c r="A8109" t="s">
        <v>15152</v>
      </c>
      <c r="C8109" s="1">
        <v>44083</v>
      </c>
      <c r="D8109" t="b">
        <v>1</v>
      </c>
      <c r="E8109" t="s">
        <v>10</v>
      </c>
      <c r="F8109">
        <v>14309</v>
      </c>
    </row>
    <row r="8110" spans="1:6" x14ac:dyDescent="0.25">
      <c r="A8110" t="s">
        <v>15153</v>
      </c>
      <c r="C8110" s="1">
        <v>44083</v>
      </c>
      <c r="D8110" t="b">
        <v>1</v>
      </c>
      <c r="E8110" t="s">
        <v>10</v>
      </c>
      <c r="F8110">
        <v>15795</v>
      </c>
    </row>
    <row r="8111" spans="1:6" x14ac:dyDescent="0.25">
      <c r="A8111" t="s">
        <v>15154</v>
      </c>
      <c r="B8111" t="s">
        <v>15155</v>
      </c>
      <c r="C8111" s="1">
        <v>44083</v>
      </c>
      <c r="D8111" t="b">
        <v>1</v>
      </c>
      <c r="E8111" t="s">
        <v>10</v>
      </c>
      <c r="F8111">
        <v>6919</v>
      </c>
    </row>
    <row r="8112" spans="1:6" x14ac:dyDescent="0.25">
      <c r="A8112" t="s">
        <v>15156</v>
      </c>
      <c r="B8112" t="s">
        <v>15157</v>
      </c>
      <c r="C8112" s="1">
        <v>44083</v>
      </c>
      <c r="D8112" t="b">
        <v>1</v>
      </c>
      <c r="E8112" t="s">
        <v>10</v>
      </c>
      <c r="F8112">
        <v>8683</v>
      </c>
    </row>
    <row r="8113" spans="1:6" x14ac:dyDescent="0.25">
      <c r="A8113" t="s">
        <v>15158</v>
      </c>
      <c r="B8113" t="s">
        <v>15159</v>
      </c>
      <c r="C8113" s="1">
        <v>44083</v>
      </c>
      <c r="D8113" t="b">
        <v>1</v>
      </c>
      <c r="E8113" t="s">
        <v>10</v>
      </c>
      <c r="F8113">
        <v>6920</v>
      </c>
    </row>
    <row r="8114" spans="1:6" x14ac:dyDescent="0.25">
      <c r="A8114" t="s">
        <v>15160</v>
      </c>
      <c r="B8114" t="s">
        <v>15161</v>
      </c>
      <c r="C8114" s="1">
        <v>44083</v>
      </c>
      <c r="D8114" t="b">
        <v>1</v>
      </c>
      <c r="E8114" t="s">
        <v>10</v>
      </c>
      <c r="F8114">
        <v>6922</v>
      </c>
    </row>
    <row r="8115" spans="1:6" x14ac:dyDescent="0.25">
      <c r="A8115" t="s">
        <v>15162</v>
      </c>
      <c r="B8115" t="s">
        <v>15163</v>
      </c>
      <c r="C8115" s="1">
        <v>44083</v>
      </c>
      <c r="D8115" t="b">
        <v>1</v>
      </c>
      <c r="E8115" t="s">
        <v>10</v>
      </c>
      <c r="F8115">
        <v>6924</v>
      </c>
    </row>
    <row r="8116" spans="1:6" x14ac:dyDescent="0.25">
      <c r="A8116" t="s">
        <v>15164</v>
      </c>
      <c r="B8116" t="s">
        <v>15165</v>
      </c>
      <c r="C8116" s="1">
        <v>44083</v>
      </c>
      <c r="D8116" t="b">
        <v>1</v>
      </c>
      <c r="E8116" t="s">
        <v>10</v>
      </c>
      <c r="F8116">
        <v>8460</v>
      </c>
    </row>
    <row r="8117" spans="1:6" x14ac:dyDescent="0.25">
      <c r="A8117" t="s">
        <v>15166</v>
      </c>
      <c r="B8117" t="s">
        <v>15167</v>
      </c>
      <c r="C8117" s="1">
        <v>44083</v>
      </c>
      <c r="D8117" t="b">
        <v>1</v>
      </c>
      <c r="E8117" t="s">
        <v>10</v>
      </c>
      <c r="F8117">
        <v>6925</v>
      </c>
    </row>
    <row r="8118" spans="1:6" x14ac:dyDescent="0.25">
      <c r="A8118" t="s">
        <v>15168</v>
      </c>
      <c r="B8118" t="s">
        <v>15169</v>
      </c>
      <c r="C8118" s="1">
        <v>44083</v>
      </c>
      <c r="D8118" t="b">
        <v>1</v>
      </c>
      <c r="E8118" t="s">
        <v>10</v>
      </c>
      <c r="F8118">
        <v>6926</v>
      </c>
    </row>
    <row r="8119" spans="1:6" x14ac:dyDescent="0.25">
      <c r="A8119" t="s">
        <v>15170</v>
      </c>
      <c r="B8119" t="s">
        <v>15171</v>
      </c>
      <c r="C8119" s="1">
        <v>44083</v>
      </c>
      <c r="D8119" t="b">
        <v>1</v>
      </c>
      <c r="E8119" t="s">
        <v>10</v>
      </c>
      <c r="F8119">
        <v>8881</v>
      </c>
    </row>
    <row r="8120" spans="1:6" x14ac:dyDescent="0.25">
      <c r="A8120" t="s">
        <v>15172</v>
      </c>
      <c r="B8120" t="s">
        <v>15173</v>
      </c>
      <c r="C8120" s="1">
        <v>44083</v>
      </c>
      <c r="D8120" t="b">
        <v>1</v>
      </c>
      <c r="E8120" t="s">
        <v>10</v>
      </c>
      <c r="F8120">
        <v>6931</v>
      </c>
    </row>
    <row r="8121" spans="1:6" x14ac:dyDescent="0.25">
      <c r="A8121" t="s">
        <v>15174</v>
      </c>
      <c r="B8121" t="s">
        <v>15175</v>
      </c>
      <c r="C8121" s="1">
        <v>44083</v>
      </c>
      <c r="D8121" t="b">
        <v>1</v>
      </c>
      <c r="E8121" t="s">
        <v>10</v>
      </c>
      <c r="F8121">
        <v>6936</v>
      </c>
    </row>
    <row r="8122" spans="1:6" x14ac:dyDescent="0.25">
      <c r="A8122" t="s">
        <v>15176</v>
      </c>
      <c r="B8122" t="s">
        <v>15177</v>
      </c>
      <c r="C8122" s="1">
        <v>44083</v>
      </c>
      <c r="D8122" t="b">
        <v>1</v>
      </c>
      <c r="E8122" t="s">
        <v>10</v>
      </c>
      <c r="F8122">
        <v>3609</v>
      </c>
    </row>
    <row r="8123" spans="1:6" x14ac:dyDescent="0.25">
      <c r="A8123" t="s">
        <v>15178</v>
      </c>
      <c r="B8123" t="s">
        <v>15179</v>
      </c>
      <c r="C8123" s="1">
        <v>44083</v>
      </c>
      <c r="D8123" t="b">
        <v>1</v>
      </c>
      <c r="E8123" t="s">
        <v>10</v>
      </c>
      <c r="F8123">
        <v>11895</v>
      </c>
    </row>
    <row r="8124" spans="1:6" x14ac:dyDescent="0.25">
      <c r="A8124" t="s">
        <v>15180</v>
      </c>
      <c r="B8124" t="s">
        <v>15181</v>
      </c>
      <c r="C8124" s="1">
        <v>44083</v>
      </c>
      <c r="D8124" t="b">
        <v>1</v>
      </c>
      <c r="E8124" t="s">
        <v>10</v>
      </c>
      <c r="F8124">
        <v>13072</v>
      </c>
    </row>
    <row r="8125" spans="1:6" x14ac:dyDescent="0.25">
      <c r="A8125" t="s">
        <v>15182</v>
      </c>
      <c r="B8125" t="s">
        <v>15183</v>
      </c>
      <c r="C8125" s="1">
        <v>44083</v>
      </c>
      <c r="D8125" t="b">
        <v>1</v>
      </c>
      <c r="E8125" t="s">
        <v>10</v>
      </c>
      <c r="F8125">
        <v>6938</v>
      </c>
    </row>
    <row r="8126" spans="1:6" x14ac:dyDescent="0.25">
      <c r="A8126" t="s">
        <v>15184</v>
      </c>
      <c r="B8126" t="s">
        <v>15185</v>
      </c>
      <c r="C8126" s="1">
        <v>44083</v>
      </c>
      <c r="D8126" t="b">
        <v>1</v>
      </c>
      <c r="E8126" t="s">
        <v>10</v>
      </c>
      <c r="F8126">
        <v>11751</v>
      </c>
    </row>
    <row r="8127" spans="1:6" x14ac:dyDescent="0.25">
      <c r="A8127" t="s">
        <v>15186</v>
      </c>
      <c r="B8127" t="s">
        <v>15187</v>
      </c>
      <c r="C8127" s="1">
        <v>44083</v>
      </c>
      <c r="D8127" t="b">
        <v>1</v>
      </c>
      <c r="E8127" t="s">
        <v>10</v>
      </c>
      <c r="F8127">
        <v>6939</v>
      </c>
    </row>
    <row r="8128" spans="1:6" x14ac:dyDescent="0.25">
      <c r="A8128" t="s">
        <v>15188</v>
      </c>
      <c r="B8128" t="s">
        <v>15189</v>
      </c>
      <c r="C8128" s="1">
        <v>44083</v>
      </c>
      <c r="D8128" t="b">
        <v>1</v>
      </c>
      <c r="E8128" t="s">
        <v>10</v>
      </c>
      <c r="F8128">
        <v>6940</v>
      </c>
    </row>
    <row r="8129" spans="1:6" x14ac:dyDescent="0.25">
      <c r="A8129" t="s">
        <v>15190</v>
      </c>
      <c r="B8129" t="s">
        <v>15191</v>
      </c>
      <c r="C8129" s="1">
        <v>44083</v>
      </c>
      <c r="D8129" t="b">
        <v>1</v>
      </c>
      <c r="E8129" t="s">
        <v>10</v>
      </c>
      <c r="F8129">
        <v>6943</v>
      </c>
    </row>
    <row r="8130" spans="1:6" x14ac:dyDescent="0.25">
      <c r="A8130" t="s">
        <v>15192</v>
      </c>
      <c r="B8130" t="s">
        <v>15193</v>
      </c>
      <c r="C8130" s="1">
        <v>44083</v>
      </c>
      <c r="D8130" t="b">
        <v>1</v>
      </c>
      <c r="E8130" t="s">
        <v>10</v>
      </c>
      <c r="F8130">
        <v>6945</v>
      </c>
    </row>
    <row r="8131" spans="1:6" x14ac:dyDescent="0.25">
      <c r="A8131" t="s">
        <v>15194</v>
      </c>
      <c r="B8131" t="s">
        <v>15195</v>
      </c>
      <c r="C8131" s="1">
        <v>44083</v>
      </c>
      <c r="D8131" t="b">
        <v>1</v>
      </c>
      <c r="E8131" t="s">
        <v>10</v>
      </c>
      <c r="F8131">
        <v>6946</v>
      </c>
    </row>
    <row r="8132" spans="1:6" x14ac:dyDescent="0.25">
      <c r="A8132" t="s">
        <v>15196</v>
      </c>
      <c r="B8132" t="s">
        <v>15197</v>
      </c>
      <c r="C8132" s="1">
        <v>44083</v>
      </c>
      <c r="D8132" t="b">
        <v>1</v>
      </c>
      <c r="E8132" t="s">
        <v>10</v>
      </c>
      <c r="F8132">
        <v>6947</v>
      </c>
    </row>
    <row r="8133" spans="1:6" x14ac:dyDescent="0.25">
      <c r="A8133" t="s">
        <v>15198</v>
      </c>
      <c r="B8133" t="s">
        <v>15199</v>
      </c>
      <c r="C8133" s="1">
        <v>44083</v>
      </c>
      <c r="D8133" t="b">
        <v>1</v>
      </c>
      <c r="E8133" t="s">
        <v>10</v>
      </c>
      <c r="F8133">
        <v>10695</v>
      </c>
    </row>
    <row r="8134" spans="1:6" x14ac:dyDescent="0.25">
      <c r="A8134" t="s">
        <v>15200</v>
      </c>
      <c r="B8134" t="s">
        <v>15201</v>
      </c>
      <c r="C8134" s="1">
        <v>44083</v>
      </c>
      <c r="D8134" t="b">
        <v>1</v>
      </c>
      <c r="E8134" t="s">
        <v>10</v>
      </c>
      <c r="F8134">
        <v>8934</v>
      </c>
    </row>
    <row r="8135" spans="1:6" x14ac:dyDescent="0.25">
      <c r="A8135" t="s">
        <v>15202</v>
      </c>
      <c r="B8135" t="s">
        <v>15203</v>
      </c>
      <c r="C8135" s="1">
        <v>44083</v>
      </c>
      <c r="D8135" t="b">
        <v>1</v>
      </c>
      <c r="E8135" t="s">
        <v>10</v>
      </c>
      <c r="F8135">
        <v>6948</v>
      </c>
    </row>
    <row r="8136" spans="1:6" x14ac:dyDescent="0.25">
      <c r="A8136" t="s">
        <v>15204</v>
      </c>
      <c r="B8136" t="s">
        <v>15205</v>
      </c>
      <c r="C8136" s="1">
        <v>44083</v>
      </c>
      <c r="D8136" t="b">
        <v>1</v>
      </c>
      <c r="E8136" t="s">
        <v>10</v>
      </c>
      <c r="F8136">
        <v>6951</v>
      </c>
    </row>
    <row r="8137" spans="1:6" x14ac:dyDescent="0.25">
      <c r="A8137" t="s">
        <v>15206</v>
      </c>
      <c r="B8137" t="s">
        <v>15207</v>
      </c>
      <c r="C8137" s="1">
        <v>44083</v>
      </c>
      <c r="D8137" t="b">
        <v>1</v>
      </c>
      <c r="E8137" t="s">
        <v>10</v>
      </c>
      <c r="F8137">
        <v>15209</v>
      </c>
    </row>
    <row r="8138" spans="1:6" x14ac:dyDescent="0.25">
      <c r="A8138" t="s">
        <v>15208</v>
      </c>
      <c r="B8138" t="s">
        <v>15209</v>
      </c>
      <c r="C8138" s="1">
        <v>44083</v>
      </c>
      <c r="D8138" t="b">
        <v>1</v>
      </c>
      <c r="E8138" t="s">
        <v>10</v>
      </c>
      <c r="F8138">
        <v>6952</v>
      </c>
    </row>
    <row r="8139" spans="1:6" x14ac:dyDescent="0.25">
      <c r="A8139" t="s">
        <v>15210</v>
      </c>
      <c r="B8139" t="s">
        <v>15211</v>
      </c>
      <c r="C8139" s="1">
        <v>44083</v>
      </c>
      <c r="D8139" t="b">
        <v>1</v>
      </c>
      <c r="E8139" t="s">
        <v>10</v>
      </c>
      <c r="F8139">
        <v>6953</v>
      </c>
    </row>
    <row r="8140" spans="1:6" x14ac:dyDescent="0.25">
      <c r="A8140" t="s">
        <v>15212</v>
      </c>
      <c r="B8140" t="s">
        <v>15213</v>
      </c>
      <c r="C8140" s="1">
        <v>44083</v>
      </c>
      <c r="D8140" t="b">
        <v>1</v>
      </c>
      <c r="E8140" t="s">
        <v>10</v>
      </c>
      <c r="F8140">
        <v>15498</v>
      </c>
    </row>
    <row r="8141" spans="1:6" x14ac:dyDescent="0.25">
      <c r="A8141" t="s">
        <v>15214</v>
      </c>
      <c r="B8141" t="s">
        <v>15215</v>
      </c>
      <c r="C8141" s="1">
        <v>44083</v>
      </c>
      <c r="D8141" t="b">
        <v>1</v>
      </c>
      <c r="E8141" t="s">
        <v>10</v>
      </c>
      <c r="F8141">
        <v>6957</v>
      </c>
    </row>
    <row r="8142" spans="1:6" x14ac:dyDescent="0.25">
      <c r="A8142" t="s">
        <v>15216</v>
      </c>
      <c r="B8142" t="s">
        <v>15217</v>
      </c>
      <c r="C8142" s="1">
        <v>44083</v>
      </c>
      <c r="D8142" t="b">
        <v>1</v>
      </c>
      <c r="E8142" t="s">
        <v>10</v>
      </c>
      <c r="F8142">
        <v>6958</v>
      </c>
    </row>
    <row r="8143" spans="1:6" x14ac:dyDescent="0.25">
      <c r="A8143" t="s">
        <v>15218</v>
      </c>
      <c r="B8143" t="s">
        <v>15219</v>
      </c>
      <c r="C8143" s="1">
        <v>44083</v>
      </c>
      <c r="D8143" t="b">
        <v>1</v>
      </c>
      <c r="E8143" t="s">
        <v>10</v>
      </c>
      <c r="F8143">
        <v>6803</v>
      </c>
    </row>
    <row r="8144" spans="1:6" x14ac:dyDescent="0.25">
      <c r="A8144" t="s">
        <v>15220</v>
      </c>
      <c r="B8144" t="s">
        <v>15221</v>
      </c>
      <c r="C8144" s="1">
        <v>44083</v>
      </c>
      <c r="D8144" t="b">
        <v>1</v>
      </c>
      <c r="E8144" t="s">
        <v>10</v>
      </c>
      <c r="F8144">
        <v>2700</v>
      </c>
    </row>
    <row r="8145" spans="1:6" x14ac:dyDescent="0.25">
      <c r="A8145" t="s">
        <v>15222</v>
      </c>
      <c r="B8145" t="s">
        <v>15223</v>
      </c>
      <c r="C8145" s="1">
        <v>44083</v>
      </c>
      <c r="D8145" t="b">
        <v>1</v>
      </c>
      <c r="E8145" t="s">
        <v>10</v>
      </c>
      <c r="F8145">
        <v>11812</v>
      </c>
    </row>
    <row r="8146" spans="1:6" x14ac:dyDescent="0.25">
      <c r="A8146" t="s">
        <v>15224</v>
      </c>
      <c r="B8146" t="s">
        <v>15225</v>
      </c>
      <c r="C8146" s="1">
        <v>44083</v>
      </c>
      <c r="D8146" t="b">
        <v>1</v>
      </c>
      <c r="E8146" t="s">
        <v>10</v>
      </c>
      <c r="F8146">
        <v>6960</v>
      </c>
    </row>
    <row r="8147" spans="1:6" x14ac:dyDescent="0.25">
      <c r="A8147" t="s">
        <v>15226</v>
      </c>
      <c r="C8147" s="1">
        <v>44083</v>
      </c>
      <c r="D8147" t="b">
        <v>1</v>
      </c>
      <c r="E8147" t="s">
        <v>10</v>
      </c>
      <c r="F8147">
        <v>6961</v>
      </c>
    </row>
    <row r="8148" spans="1:6" x14ac:dyDescent="0.25">
      <c r="A8148" t="s">
        <v>15227</v>
      </c>
      <c r="C8148" s="1">
        <v>44083</v>
      </c>
      <c r="D8148" t="b">
        <v>1</v>
      </c>
      <c r="E8148" t="s">
        <v>10</v>
      </c>
      <c r="F8148">
        <v>6962</v>
      </c>
    </row>
    <row r="8149" spans="1:6" x14ac:dyDescent="0.25">
      <c r="A8149" t="s">
        <v>15228</v>
      </c>
      <c r="B8149" t="s">
        <v>15229</v>
      </c>
      <c r="C8149" s="1">
        <v>44083</v>
      </c>
      <c r="D8149" t="b">
        <v>1</v>
      </c>
      <c r="E8149" t="s">
        <v>10</v>
      </c>
      <c r="F8149">
        <v>3335</v>
      </c>
    </row>
    <row r="8150" spans="1:6" x14ac:dyDescent="0.25">
      <c r="A8150" t="s">
        <v>15230</v>
      </c>
      <c r="B8150" t="s">
        <v>15231</v>
      </c>
      <c r="C8150" s="1">
        <v>44083</v>
      </c>
      <c r="D8150" t="b">
        <v>1</v>
      </c>
      <c r="E8150" t="s">
        <v>10</v>
      </c>
      <c r="F8150">
        <v>15499</v>
      </c>
    </row>
    <row r="8151" spans="1:6" x14ac:dyDescent="0.25">
      <c r="A8151" t="s">
        <v>15232</v>
      </c>
      <c r="B8151" t="s">
        <v>15233</v>
      </c>
      <c r="C8151" s="1">
        <v>44083</v>
      </c>
      <c r="D8151" t="b">
        <v>1</v>
      </c>
      <c r="E8151" t="s">
        <v>10</v>
      </c>
      <c r="F8151">
        <v>6969</v>
      </c>
    </row>
    <row r="8152" spans="1:6" x14ac:dyDescent="0.25">
      <c r="A8152" t="s">
        <v>15234</v>
      </c>
      <c r="B8152" t="s">
        <v>15235</v>
      </c>
      <c r="C8152" s="1">
        <v>44083</v>
      </c>
      <c r="D8152" t="b">
        <v>1</v>
      </c>
      <c r="E8152" t="s">
        <v>10</v>
      </c>
      <c r="F8152">
        <v>6970</v>
      </c>
    </row>
    <row r="8153" spans="1:6" x14ac:dyDescent="0.25">
      <c r="A8153" t="s">
        <v>15236</v>
      </c>
      <c r="B8153" t="s">
        <v>15237</v>
      </c>
      <c r="C8153" s="1">
        <v>44083</v>
      </c>
      <c r="D8153" t="b">
        <v>1</v>
      </c>
      <c r="E8153" t="s">
        <v>10</v>
      </c>
      <c r="F8153">
        <v>11424</v>
      </c>
    </row>
    <row r="8154" spans="1:6" x14ac:dyDescent="0.25">
      <c r="A8154" t="s">
        <v>15238</v>
      </c>
      <c r="B8154" t="s">
        <v>15239</v>
      </c>
      <c r="C8154" s="1">
        <v>44083</v>
      </c>
      <c r="D8154" t="b">
        <v>1</v>
      </c>
      <c r="E8154" t="s">
        <v>10</v>
      </c>
      <c r="F8154">
        <v>6971</v>
      </c>
    </row>
    <row r="8155" spans="1:6" x14ac:dyDescent="0.25">
      <c r="A8155" t="s">
        <v>15240</v>
      </c>
      <c r="B8155" t="s">
        <v>15241</v>
      </c>
      <c r="C8155" s="1">
        <v>44083</v>
      </c>
      <c r="D8155" t="b">
        <v>1</v>
      </c>
      <c r="E8155" t="s">
        <v>10</v>
      </c>
      <c r="F8155">
        <v>6973</v>
      </c>
    </row>
    <row r="8156" spans="1:6" x14ac:dyDescent="0.25">
      <c r="A8156" t="s">
        <v>15242</v>
      </c>
      <c r="B8156" t="s">
        <v>15243</v>
      </c>
      <c r="C8156" s="1">
        <v>44083</v>
      </c>
      <c r="D8156" t="b">
        <v>1</v>
      </c>
      <c r="E8156" t="s">
        <v>10</v>
      </c>
      <c r="F8156">
        <v>17112</v>
      </c>
    </row>
    <row r="8157" spans="1:6" x14ac:dyDescent="0.25">
      <c r="A8157" t="s">
        <v>15244</v>
      </c>
      <c r="B8157" t="s">
        <v>15245</v>
      </c>
      <c r="C8157" s="1">
        <v>44083</v>
      </c>
      <c r="D8157" t="b">
        <v>1</v>
      </c>
      <c r="E8157" t="s">
        <v>10</v>
      </c>
      <c r="F8157">
        <v>10703</v>
      </c>
    </row>
    <row r="8158" spans="1:6" x14ac:dyDescent="0.25">
      <c r="A8158" t="s">
        <v>15246</v>
      </c>
      <c r="C8158" s="1">
        <v>44083</v>
      </c>
      <c r="D8158" t="b">
        <v>1</v>
      </c>
      <c r="E8158" t="s">
        <v>10</v>
      </c>
      <c r="F8158">
        <v>10711</v>
      </c>
    </row>
    <row r="8159" spans="1:6" x14ac:dyDescent="0.25">
      <c r="A8159" t="s">
        <v>15247</v>
      </c>
      <c r="B8159" t="s">
        <v>15248</v>
      </c>
      <c r="C8159" s="1">
        <v>44083</v>
      </c>
      <c r="D8159" t="b">
        <v>1</v>
      </c>
      <c r="E8159" t="s">
        <v>10</v>
      </c>
      <c r="F8159">
        <v>6974</v>
      </c>
    </row>
    <row r="8160" spans="1:6" x14ac:dyDescent="0.25">
      <c r="A8160" t="s">
        <v>15249</v>
      </c>
      <c r="C8160" s="1">
        <v>44083</v>
      </c>
      <c r="D8160" t="b">
        <v>1</v>
      </c>
      <c r="E8160" t="s">
        <v>10</v>
      </c>
      <c r="F8160">
        <v>12484</v>
      </c>
    </row>
    <row r="8161" spans="1:6" x14ac:dyDescent="0.25">
      <c r="A8161" t="s">
        <v>15250</v>
      </c>
      <c r="C8161" s="1">
        <v>44083</v>
      </c>
      <c r="D8161" t="b">
        <v>1</v>
      </c>
      <c r="E8161" t="s">
        <v>10</v>
      </c>
      <c r="F8161">
        <v>13171</v>
      </c>
    </row>
    <row r="8162" spans="1:6" x14ac:dyDescent="0.25">
      <c r="A8162" t="s">
        <v>15251</v>
      </c>
      <c r="C8162" s="1">
        <v>44083</v>
      </c>
      <c r="D8162" t="b">
        <v>1</v>
      </c>
      <c r="E8162" t="s">
        <v>10</v>
      </c>
      <c r="F8162">
        <v>13845</v>
      </c>
    </row>
    <row r="8163" spans="1:6" x14ac:dyDescent="0.25">
      <c r="A8163" t="s">
        <v>15252</v>
      </c>
      <c r="C8163" s="1">
        <v>44083</v>
      </c>
      <c r="D8163" t="b">
        <v>1</v>
      </c>
      <c r="E8163" t="s">
        <v>10</v>
      </c>
      <c r="F8163">
        <v>14890</v>
      </c>
    </row>
    <row r="8164" spans="1:6" x14ac:dyDescent="0.25">
      <c r="A8164" t="s">
        <v>15253</v>
      </c>
      <c r="C8164" s="1">
        <v>44083</v>
      </c>
      <c r="D8164" t="b">
        <v>1</v>
      </c>
      <c r="E8164" t="s">
        <v>10</v>
      </c>
      <c r="F8164">
        <v>14891</v>
      </c>
    </row>
    <row r="8165" spans="1:6" x14ac:dyDescent="0.25">
      <c r="A8165" t="s">
        <v>15254</v>
      </c>
      <c r="B8165" t="s">
        <v>15255</v>
      </c>
      <c r="C8165" s="1">
        <v>44083</v>
      </c>
      <c r="D8165" t="b">
        <v>1</v>
      </c>
      <c r="E8165" t="s">
        <v>10</v>
      </c>
      <c r="F8165">
        <v>8471</v>
      </c>
    </row>
    <row r="8166" spans="1:6" x14ac:dyDescent="0.25">
      <c r="A8166" t="s">
        <v>15256</v>
      </c>
      <c r="B8166" t="s">
        <v>15257</v>
      </c>
      <c r="C8166" s="1">
        <v>44083</v>
      </c>
      <c r="D8166" t="b">
        <v>1</v>
      </c>
      <c r="E8166" t="s">
        <v>10</v>
      </c>
      <c r="F8166">
        <v>15115</v>
      </c>
    </row>
    <row r="8167" spans="1:6" x14ac:dyDescent="0.25">
      <c r="A8167" t="s">
        <v>15258</v>
      </c>
      <c r="B8167" t="s">
        <v>15259</v>
      </c>
      <c r="C8167" s="1">
        <v>44083</v>
      </c>
      <c r="D8167" t="b">
        <v>1</v>
      </c>
      <c r="E8167" t="s">
        <v>10</v>
      </c>
      <c r="F8167">
        <v>8014</v>
      </c>
    </row>
    <row r="8168" spans="1:6" x14ac:dyDescent="0.25">
      <c r="A8168" t="s">
        <v>15260</v>
      </c>
      <c r="B8168" t="s">
        <v>15261</v>
      </c>
      <c r="C8168" s="1">
        <v>44083</v>
      </c>
      <c r="D8168" t="b">
        <v>1</v>
      </c>
      <c r="E8168" t="s">
        <v>10</v>
      </c>
      <c r="F8168">
        <v>6980</v>
      </c>
    </row>
    <row r="8169" spans="1:6" x14ac:dyDescent="0.25">
      <c r="A8169" t="s">
        <v>15262</v>
      </c>
      <c r="B8169" t="s">
        <v>15263</v>
      </c>
      <c r="C8169" s="1">
        <v>44083</v>
      </c>
      <c r="D8169" t="b">
        <v>1</v>
      </c>
      <c r="E8169" t="s">
        <v>10</v>
      </c>
      <c r="F8169">
        <v>16018</v>
      </c>
    </row>
    <row r="8170" spans="1:6" x14ac:dyDescent="0.25">
      <c r="A8170" t="s">
        <v>15264</v>
      </c>
      <c r="B8170" t="s">
        <v>15265</v>
      </c>
      <c r="C8170" s="1">
        <v>44083</v>
      </c>
      <c r="D8170" t="b">
        <v>1</v>
      </c>
      <c r="E8170" t="s">
        <v>10</v>
      </c>
      <c r="F8170">
        <v>6983</v>
      </c>
    </row>
    <row r="8171" spans="1:6" x14ac:dyDescent="0.25">
      <c r="A8171" t="s">
        <v>15266</v>
      </c>
      <c r="B8171" t="s">
        <v>15267</v>
      </c>
      <c r="C8171" s="1">
        <v>44083</v>
      </c>
      <c r="D8171" t="b">
        <v>1</v>
      </c>
      <c r="E8171" t="s">
        <v>10</v>
      </c>
      <c r="F8171">
        <v>6984</v>
      </c>
    </row>
    <row r="8172" spans="1:6" x14ac:dyDescent="0.25">
      <c r="A8172" t="s">
        <v>15268</v>
      </c>
      <c r="B8172" t="s">
        <v>15269</v>
      </c>
      <c r="C8172" s="1">
        <v>44083</v>
      </c>
      <c r="D8172" t="b">
        <v>1</v>
      </c>
      <c r="E8172" t="s">
        <v>10</v>
      </c>
      <c r="F8172">
        <v>6985</v>
      </c>
    </row>
    <row r="8173" spans="1:6" x14ac:dyDescent="0.25">
      <c r="A8173" t="s">
        <v>15270</v>
      </c>
      <c r="B8173" t="s">
        <v>15271</v>
      </c>
      <c r="C8173" s="1">
        <v>44083</v>
      </c>
      <c r="D8173" t="b">
        <v>1</v>
      </c>
      <c r="E8173" t="s">
        <v>10</v>
      </c>
      <c r="F8173">
        <v>6986</v>
      </c>
    </row>
    <row r="8174" spans="1:6" x14ac:dyDescent="0.25">
      <c r="A8174" t="s">
        <v>15272</v>
      </c>
      <c r="B8174" t="s">
        <v>15273</v>
      </c>
      <c r="C8174" s="1">
        <v>44083</v>
      </c>
      <c r="D8174" t="b">
        <v>1</v>
      </c>
      <c r="E8174" t="s">
        <v>10</v>
      </c>
      <c r="F8174">
        <v>6988</v>
      </c>
    </row>
    <row r="8175" spans="1:6" x14ac:dyDescent="0.25">
      <c r="A8175" t="s">
        <v>15274</v>
      </c>
      <c r="C8175" s="1">
        <v>44083</v>
      </c>
      <c r="D8175" t="b">
        <v>1</v>
      </c>
      <c r="E8175" t="s">
        <v>10</v>
      </c>
      <c r="F8175">
        <v>6989</v>
      </c>
    </row>
    <row r="8176" spans="1:6" x14ac:dyDescent="0.25">
      <c r="A8176" t="s">
        <v>15275</v>
      </c>
      <c r="B8176" t="s">
        <v>15276</v>
      </c>
      <c r="C8176" s="1">
        <v>44083</v>
      </c>
      <c r="D8176" t="b">
        <v>1</v>
      </c>
      <c r="E8176" t="s">
        <v>10</v>
      </c>
      <c r="F8176">
        <v>6990</v>
      </c>
    </row>
    <row r="8177" spans="1:6" x14ac:dyDescent="0.25">
      <c r="A8177" t="s">
        <v>15277</v>
      </c>
      <c r="B8177" t="s">
        <v>15278</v>
      </c>
      <c r="C8177" s="1">
        <v>44083</v>
      </c>
      <c r="D8177" t="b">
        <v>1</v>
      </c>
      <c r="E8177" t="s">
        <v>10</v>
      </c>
      <c r="F8177">
        <v>6992</v>
      </c>
    </row>
    <row r="8178" spans="1:6" x14ac:dyDescent="0.25">
      <c r="A8178" t="s">
        <v>15279</v>
      </c>
      <c r="B8178" t="s">
        <v>15280</v>
      </c>
      <c r="C8178" s="1">
        <v>44083</v>
      </c>
      <c r="D8178" t="b">
        <v>1</v>
      </c>
      <c r="E8178" t="s">
        <v>10</v>
      </c>
      <c r="F8178">
        <v>6993</v>
      </c>
    </row>
    <row r="8179" spans="1:6" x14ac:dyDescent="0.25">
      <c r="A8179" t="s">
        <v>15281</v>
      </c>
      <c r="B8179" t="s">
        <v>15282</v>
      </c>
      <c r="C8179" s="1">
        <v>44083</v>
      </c>
      <c r="D8179" t="b">
        <v>1</v>
      </c>
      <c r="E8179" t="s">
        <v>10</v>
      </c>
      <c r="F8179">
        <v>9840</v>
      </c>
    </row>
    <row r="8180" spans="1:6" x14ac:dyDescent="0.25">
      <c r="A8180" t="s">
        <v>15283</v>
      </c>
      <c r="B8180" t="s">
        <v>15284</v>
      </c>
      <c r="C8180" s="1">
        <v>44083</v>
      </c>
      <c r="D8180" t="b">
        <v>1</v>
      </c>
      <c r="E8180" t="s">
        <v>10</v>
      </c>
      <c r="F8180">
        <v>6995</v>
      </c>
    </row>
    <row r="8181" spans="1:6" x14ac:dyDescent="0.25">
      <c r="A8181" t="s">
        <v>15285</v>
      </c>
      <c r="B8181" t="s">
        <v>15286</v>
      </c>
      <c r="C8181" s="1">
        <v>44083</v>
      </c>
      <c r="D8181" t="b">
        <v>1</v>
      </c>
      <c r="E8181" t="s">
        <v>10</v>
      </c>
      <c r="F8181">
        <v>13193</v>
      </c>
    </row>
    <row r="8182" spans="1:6" x14ac:dyDescent="0.25">
      <c r="A8182" t="s">
        <v>15287</v>
      </c>
      <c r="B8182" t="s">
        <v>15288</v>
      </c>
      <c r="C8182" s="1">
        <v>44083</v>
      </c>
      <c r="D8182" t="b">
        <v>1</v>
      </c>
      <c r="E8182" t="s">
        <v>10</v>
      </c>
      <c r="F8182">
        <v>6998</v>
      </c>
    </row>
    <row r="8183" spans="1:6" x14ac:dyDescent="0.25">
      <c r="A8183" t="s">
        <v>15289</v>
      </c>
      <c r="B8183" t="s">
        <v>15290</v>
      </c>
      <c r="C8183" s="1">
        <v>44083</v>
      </c>
      <c r="D8183" t="b">
        <v>1</v>
      </c>
      <c r="E8183" t="s">
        <v>10</v>
      </c>
      <c r="F8183">
        <v>7002</v>
      </c>
    </row>
    <row r="8184" spans="1:6" x14ac:dyDescent="0.25">
      <c r="A8184" t="s">
        <v>15291</v>
      </c>
      <c r="B8184" t="s">
        <v>15292</v>
      </c>
      <c r="C8184" s="1">
        <v>44083</v>
      </c>
      <c r="D8184" t="b">
        <v>1</v>
      </c>
      <c r="E8184" t="s">
        <v>10</v>
      </c>
      <c r="F8184">
        <v>15148</v>
      </c>
    </row>
    <row r="8185" spans="1:6" x14ac:dyDescent="0.25">
      <c r="A8185" t="s">
        <v>15293</v>
      </c>
      <c r="B8185" t="s">
        <v>15292</v>
      </c>
      <c r="C8185" s="1">
        <v>44083</v>
      </c>
      <c r="D8185" t="b">
        <v>1</v>
      </c>
      <c r="E8185" t="s">
        <v>10</v>
      </c>
      <c r="F8185">
        <v>14848</v>
      </c>
    </row>
    <row r="8186" spans="1:6" x14ac:dyDescent="0.25">
      <c r="A8186" t="s">
        <v>15294</v>
      </c>
      <c r="C8186" s="1">
        <v>44083</v>
      </c>
      <c r="D8186" t="b">
        <v>1</v>
      </c>
      <c r="E8186" t="s">
        <v>10</v>
      </c>
      <c r="F8186">
        <v>15153</v>
      </c>
    </row>
    <row r="8187" spans="1:6" x14ac:dyDescent="0.25">
      <c r="A8187" t="s">
        <v>15295</v>
      </c>
      <c r="B8187" t="s">
        <v>15296</v>
      </c>
      <c r="C8187" s="1">
        <v>44083</v>
      </c>
      <c r="D8187" t="b">
        <v>1</v>
      </c>
      <c r="E8187" t="s">
        <v>10</v>
      </c>
      <c r="F8187">
        <v>7010</v>
      </c>
    </row>
    <row r="8188" spans="1:6" x14ac:dyDescent="0.25">
      <c r="A8188" t="s">
        <v>15297</v>
      </c>
      <c r="B8188" t="s">
        <v>15298</v>
      </c>
      <c r="C8188" s="1">
        <v>44083</v>
      </c>
      <c r="D8188" t="b">
        <v>1</v>
      </c>
      <c r="E8188" t="s">
        <v>10</v>
      </c>
      <c r="F8188">
        <v>11183</v>
      </c>
    </row>
    <row r="8189" spans="1:6" x14ac:dyDescent="0.25">
      <c r="A8189" t="s">
        <v>15299</v>
      </c>
      <c r="B8189" t="s">
        <v>15300</v>
      </c>
      <c r="C8189" s="1">
        <v>44083</v>
      </c>
      <c r="D8189" t="b">
        <v>1</v>
      </c>
      <c r="E8189" t="s">
        <v>10</v>
      </c>
      <c r="F8189">
        <v>7014</v>
      </c>
    </row>
    <row r="8190" spans="1:6" x14ac:dyDescent="0.25">
      <c r="A8190" t="s">
        <v>15301</v>
      </c>
      <c r="B8190" t="s">
        <v>15302</v>
      </c>
      <c r="C8190" s="1">
        <v>44083</v>
      </c>
      <c r="D8190" t="b">
        <v>1</v>
      </c>
      <c r="E8190" t="s">
        <v>10</v>
      </c>
      <c r="F8190">
        <v>8581</v>
      </c>
    </row>
    <row r="8191" spans="1:6" x14ac:dyDescent="0.25">
      <c r="A8191" t="s">
        <v>15303</v>
      </c>
      <c r="B8191" t="s">
        <v>15304</v>
      </c>
      <c r="C8191" s="1">
        <v>44083</v>
      </c>
      <c r="D8191" t="b">
        <v>1</v>
      </c>
      <c r="E8191" t="s">
        <v>10</v>
      </c>
      <c r="F8191">
        <v>7016</v>
      </c>
    </row>
    <row r="8192" spans="1:6" x14ac:dyDescent="0.25">
      <c r="A8192" t="s">
        <v>15305</v>
      </c>
      <c r="B8192" t="s">
        <v>15306</v>
      </c>
      <c r="C8192" s="1">
        <v>44083</v>
      </c>
      <c r="D8192" t="b">
        <v>1</v>
      </c>
      <c r="E8192" t="s">
        <v>10</v>
      </c>
      <c r="F8192">
        <v>7017</v>
      </c>
    </row>
    <row r="8193" spans="1:6" x14ac:dyDescent="0.25">
      <c r="A8193" t="s">
        <v>15307</v>
      </c>
      <c r="B8193" t="s">
        <v>15308</v>
      </c>
      <c r="C8193" s="1">
        <v>44083</v>
      </c>
      <c r="D8193" t="b">
        <v>1</v>
      </c>
      <c r="E8193" t="s">
        <v>10</v>
      </c>
      <c r="F8193">
        <v>7019</v>
      </c>
    </row>
    <row r="8194" spans="1:6" x14ac:dyDescent="0.25">
      <c r="A8194" t="s">
        <v>15309</v>
      </c>
      <c r="B8194" t="s">
        <v>15310</v>
      </c>
      <c r="C8194" s="1">
        <v>44083</v>
      </c>
      <c r="D8194" t="b">
        <v>1</v>
      </c>
      <c r="E8194" t="s">
        <v>10</v>
      </c>
      <c r="F8194">
        <v>7020</v>
      </c>
    </row>
    <row r="8195" spans="1:6" x14ac:dyDescent="0.25">
      <c r="A8195" t="s">
        <v>15311</v>
      </c>
      <c r="B8195" t="s">
        <v>15312</v>
      </c>
      <c r="C8195" s="1">
        <v>44083</v>
      </c>
      <c r="D8195" t="b">
        <v>1</v>
      </c>
      <c r="E8195" t="s">
        <v>10</v>
      </c>
      <c r="F8195">
        <v>15569</v>
      </c>
    </row>
    <row r="8196" spans="1:6" x14ac:dyDescent="0.25">
      <c r="A8196" t="s">
        <v>15313</v>
      </c>
      <c r="B8196" t="s">
        <v>3651</v>
      </c>
      <c r="C8196" s="1">
        <v>44083</v>
      </c>
      <c r="D8196" t="b">
        <v>1</v>
      </c>
      <c r="E8196" t="s">
        <v>10</v>
      </c>
      <c r="F8196">
        <v>13903</v>
      </c>
    </row>
    <row r="8197" spans="1:6" x14ac:dyDescent="0.25">
      <c r="A8197" t="s">
        <v>15314</v>
      </c>
      <c r="B8197" t="s">
        <v>15315</v>
      </c>
      <c r="C8197" s="1">
        <v>44083</v>
      </c>
      <c r="D8197" t="b">
        <v>1</v>
      </c>
      <c r="E8197" t="s">
        <v>10</v>
      </c>
      <c r="F8197">
        <v>15981</v>
      </c>
    </row>
    <row r="8198" spans="1:6" x14ac:dyDescent="0.25">
      <c r="A8198" t="s">
        <v>15316</v>
      </c>
      <c r="B8198" t="s">
        <v>15317</v>
      </c>
      <c r="C8198" s="1">
        <v>44083</v>
      </c>
      <c r="D8198" t="b">
        <v>1</v>
      </c>
      <c r="E8198" t="s">
        <v>10</v>
      </c>
      <c r="F8198">
        <v>8833</v>
      </c>
    </row>
    <row r="8199" spans="1:6" x14ac:dyDescent="0.25">
      <c r="A8199" t="s">
        <v>15318</v>
      </c>
      <c r="B8199" t="s">
        <v>15319</v>
      </c>
      <c r="C8199" s="1">
        <v>44083</v>
      </c>
      <c r="D8199" t="b">
        <v>1</v>
      </c>
      <c r="E8199" t="s">
        <v>10</v>
      </c>
      <c r="F8199">
        <v>7021</v>
      </c>
    </row>
    <row r="8200" spans="1:6" x14ac:dyDescent="0.25">
      <c r="A8200" t="s">
        <v>15320</v>
      </c>
      <c r="B8200" t="s">
        <v>15321</v>
      </c>
      <c r="C8200" s="1">
        <v>44083</v>
      </c>
      <c r="D8200" t="b">
        <v>1</v>
      </c>
      <c r="E8200" t="s">
        <v>10</v>
      </c>
      <c r="F8200">
        <v>7023</v>
      </c>
    </row>
    <row r="8201" spans="1:6" x14ac:dyDescent="0.25">
      <c r="A8201" t="s">
        <v>15322</v>
      </c>
      <c r="B8201" t="s">
        <v>15323</v>
      </c>
      <c r="C8201" s="1">
        <v>44083</v>
      </c>
      <c r="D8201" t="b">
        <v>1</v>
      </c>
      <c r="E8201" t="s">
        <v>10</v>
      </c>
      <c r="F8201">
        <v>15626</v>
      </c>
    </row>
    <row r="8202" spans="1:6" x14ac:dyDescent="0.25">
      <c r="A8202" t="s">
        <v>15324</v>
      </c>
      <c r="B8202" t="s">
        <v>15325</v>
      </c>
      <c r="C8202" s="1">
        <v>44083</v>
      </c>
      <c r="D8202" t="b">
        <v>1</v>
      </c>
      <c r="E8202" t="s">
        <v>10</v>
      </c>
      <c r="F8202">
        <v>7024</v>
      </c>
    </row>
    <row r="8203" spans="1:6" x14ac:dyDescent="0.25">
      <c r="A8203" t="s">
        <v>15326</v>
      </c>
      <c r="B8203" t="s">
        <v>15327</v>
      </c>
      <c r="C8203" s="1">
        <v>44083</v>
      </c>
      <c r="D8203" t="b">
        <v>1</v>
      </c>
      <c r="E8203" t="s">
        <v>10</v>
      </c>
      <c r="F8203">
        <v>7025</v>
      </c>
    </row>
    <row r="8204" spans="1:6" x14ac:dyDescent="0.25">
      <c r="A8204" t="s">
        <v>15328</v>
      </c>
      <c r="B8204" t="s">
        <v>15329</v>
      </c>
      <c r="C8204" s="1">
        <v>44083</v>
      </c>
      <c r="D8204" t="b">
        <v>1</v>
      </c>
      <c r="E8204" t="s">
        <v>10</v>
      </c>
      <c r="F8204">
        <v>7031</v>
      </c>
    </row>
    <row r="8205" spans="1:6" x14ac:dyDescent="0.25">
      <c r="A8205" t="s">
        <v>15330</v>
      </c>
      <c r="B8205" t="s">
        <v>15331</v>
      </c>
      <c r="C8205" s="1">
        <v>44083</v>
      </c>
      <c r="D8205" t="b">
        <v>1</v>
      </c>
      <c r="E8205" t="s">
        <v>10</v>
      </c>
      <c r="F8205">
        <v>14455</v>
      </c>
    </row>
    <row r="8206" spans="1:6" x14ac:dyDescent="0.25">
      <c r="A8206" t="s">
        <v>15332</v>
      </c>
      <c r="B8206" t="s">
        <v>15333</v>
      </c>
      <c r="C8206" s="1">
        <v>44083</v>
      </c>
      <c r="D8206" t="b">
        <v>1</v>
      </c>
      <c r="E8206" t="s">
        <v>10</v>
      </c>
      <c r="F8206">
        <v>7032</v>
      </c>
    </row>
    <row r="8207" spans="1:6" x14ac:dyDescent="0.25">
      <c r="A8207" t="s">
        <v>15334</v>
      </c>
      <c r="C8207" s="1">
        <v>44083</v>
      </c>
      <c r="D8207" t="b">
        <v>1</v>
      </c>
      <c r="E8207" t="s">
        <v>10</v>
      </c>
      <c r="F8207">
        <v>13431</v>
      </c>
    </row>
    <row r="8208" spans="1:6" x14ac:dyDescent="0.25">
      <c r="A8208" t="s">
        <v>15335</v>
      </c>
      <c r="C8208" s="1">
        <v>44083</v>
      </c>
      <c r="D8208" t="b">
        <v>1</v>
      </c>
      <c r="E8208" t="s">
        <v>10</v>
      </c>
      <c r="F8208">
        <v>16156</v>
      </c>
    </row>
    <row r="8209" spans="1:6" x14ac:dyDescent="0.25">
      <c r="A8209" t="s">
        <v>15336</v>
      </c>
      <c r="B8209" t="s">
        <v>15337</v>
      </c>
      <c r="C8209" s="1">
        <v>44083</v>
      </c>
      <c r="D8209" t="b">
        <v>1</v>
      </c>
      <c r="E8209" t="s">
        <v>10</v>
      </c>
      <c r="F8209">
        <v>7036</v>
      </c>
    </row>
    <row r="8210" spans="1:6" x14ac:dyDescent="0.25">
      <c r="A8210" t="s">
        <v>15338</v>
      </c>
      <c r="B8210" t="s">
        <v>15339</v>
      </c>
      <c r="C8210" s="1">
        <v>44083</v>
      </c>
      <c r="D8210" t="b">
        <v>1</v>
      </c>
      <c r="E8210" t="s">
        <v>10</v>
      </c>
      <c r="F8210">
        <v>9418</v>
      </c>
    </row>
    <row r="8211" spans="1:6" x14ac:dyDescent="0.25">
      <c r="A8211" t="s">
        <v>15340</v>
      </c>
      <c r="B8211" t="s">
        <v>15341</v>
      </c>
      <c r="C8211" s="1">
        <v>44083</v>
      </c>
      <c r="D8211" t="b">
        <v>1</v>
      </c>
      <c r="E8211" t="s">
        <v>10</v>
      </c>
      <c r="F8211">
        <v>7040</v>
      </c>
    </row>
    <row r="8212" spans="1:6" x14ac:dyDescent="0.25">
      <c r="A8212" t="s">
        <v>15342</v>
      </c>
      <c r="B8212" t="s">
        <v>15343</v>
      </c>
      <c r="C8212" s="1">
        <v>44083</v>
      </c>
      <c r="D8212" t="b">
        <v>1</v>
      </c>
      <c r="E8212" t="s">
        <v>10</v>
      </c>
      <c r="F8212">
        <v>7041</v>
      </c>
    </row>
    <row r="8213" spans="1:6" x14ac:dyDescent="0.25">
      <c r="A8213" t="s">
        <v>15344</v>
      </c>
      <c r="B8213" t="s">
        <v>15345</v>
      </c>
      <c r="C8213" s="1">
        <v>44083</v>
      </c>
      <c r="D8213" t="b">
        <v>1</v>
      </c>
      <c r="E8213" t="s">
        <v>10</v>
      </c>
      <c r="F8213">
        <v>14352</v>
      </c>
    </row>
    <row r="8214" spans="1:6" x14ac:dyDescent="0.25">
      <c r="A8214" t="s">
        <v>15346</v>
      </c>
      <c r="B8214" t="s">
        <v>15347</v>
      </c>
      <c r="C8214" s="1">
        <v>44083</v>
      </c>
      <c r="D8214" t="b">
        <v>1</v>
      </c>
      <c r="E8214" t="s">
        <v>10</v>
      </c>
      <c r="F8214">
        <v>7043</v>
      </c>
    </row>
    <row r="8215" spans="1:6" x14ac:dyDescent="0.25">
      <c r="A8215" t="s">
        <v>15348</v>
      </c>
      <c r="C8215" s="1">
        <v>44083</v>
      </c>
      <c r="D8215" t="b">
        <v>1</v>
      </c>
      <c r="E8215" t="s">
        <v>10</v>
      </c>
      <c r="F8215">
        <v>16816</v>
      </c>
    </row>
    <row r="8216" spans="1:6" x14ac:dyDescent="0.25">
      <c r="A8216" t="s">
        <v>15349</v>
      </c>
      <c r="B8216" t="s">
        <v>15350</v>
      </c>
      <c r="C8216" s="1">
        <v>44083</v>
      </c>
      <c r="D8216" t="b">
        <v>1</v>
      </c>
      <c r="E8216" t="s">
        <v>10</v>
      </c>
      <c r="F8216">
        <v>7044</v>
      </c>
    </row>
    <row r="8217" spans="1:6" x14ac:dyDescent="0.25">
      <c r="A8217" t="s">
        <v>15351</v>
      </c>
      <c r="B8217" t="s">
        <v>3651</v>
      </c>
      <c r="C8217" s="1">
        <v>44083</v>
      </c>
      <c r="D8217" t="b">
        <v>1</v>
      </c>
      <c r="E8217" t="s">
        <v>10</v>
      </c>
      <c r="F8217">
        <v>13904</v>
      </c>
    </row>
    <row r="8218" spans="1:6" x14ac:dyDescent="0.25">
      <c r="A8218" t="s">
        <v>15352</v>
      </c>
      <c r="B8218" t="s">
        <v>15353</v>
      </c>
      <c r="C8218" s="1">
        <v>44083</v>
      </c>
      <c r="D8218" t="b">
        <v>1</v>
      </c>
      <c r="E8218" t="s">
        <v>10</v>
      </c>
      <c r="F8218">
        <v>7047</v>
      </c>
    </row>
    <row r="8219" spans="1:6" x14ac:dyDescent="0.25">
      <c r="A8219" t="s">
        <v>15354</v>
      </c>
      <c r="B8219" t="s">
        <v>15355</v>
      </c>
      <c r="C8219" s="1">
        <v>44083</v>
      </c>
      <c r="D8219" t="b">
        <v>1</v>
      </c>
      <c r="E8219" t="s">
        <v>10</v>
      </c>
      <c r="F8219">
        <v>10681</v>
      </c>
    </row>
    <row r="8220" spans="1:6" x14ac:dyDescent="0.25">
      <c r="A8220" t="s">
        <v>15356</v>
      </c>
      <c r="B8220" t="s">
        <v>15357</v>
      </c>
      <c r="C8220" s="1">
        <v>44083</v>
      </c>
      <c r="D8220" t="b">
        <v>1</v>
      </c>
      <c r="E8220" t="s">
        <v>10</v>
      </c>
      <c r="F8220">
        <v>16708</v>
      </c>
    </row>
    <row r="8221" spans="1:6" x14ac:dyDescent="0.25">
      <c r="A8221" t="s">
        <v>15358</v>
      </c>
      <c r="B8221" t="s">
        <v>15359</v>
      </c>
      <c r="C8221" s="1">
        <v>44083</v>
      </c>
      <c r="D8221" t="b">
        <v>1</v>
      </c>
      <c r="E8221" t="s">
        <v>10</v>
      </c>
      <c r="F8221">
        <v>7048</v>
      </c>
    </row>
    <row r="8222" spans="1:6" x14ac:dyDescent="0.25">
      <c r="A8222" t="s">
        <v>15360</v>
      </c>
      <c r="B8222" t="s">
        <v>15361</v>
      </c>
      <c r="C8222" s="1">
        <v>44083</v>
      </c>
      <c r="D8222" t="b">
        <v>1</v>
      </c>
      <c r="E8222" t="s">
        <v>10</v>
      </c>
      <c r="F8222">
        <v>14706</v>
      </c>
    </row>
    <row r="8223" spans="1:6" x14ac:dyDescent="0.25">
      <c r="A8223" t="s">
        <v>15362</v>
      </c>
      <c r="B8223" t="s">
        <v>15363</v>
      </c>
      <c r="C8223" s="1">
        <v>44083</v>
      </c>
      <c r="D8223" t="b">
        <v>1</v>
      </c>
      <c r="E8223" t="s">
        <v>10</v>
      </c>
      <c r="F8223">
        <v>7050</v>
      </c>
    </row>
    <row r="8224" spans="1:6" x14ac:dyDescent="0.25">
      <c r="A8224" t="s">
        <v>15364</v>
      </c>
      <c r="B8224" t="s">
        <v>15365</v>
      </c>
      <c r="C8224" s="1">
        <v>44083</v>
      </c>
      <c r="D8224" t="b">
        <v>1</v>
      </c>
      <c r="E8224" t="s">
        <v>10</v>
      </c>
      <c r="F8224">
        <v>16338</v>
      </c>
    </row>
    <row r="8225" spans="1:6" x14ac:dyDescent="0.25">
      <c r="A8225" t="s">
        <v>15366</v>
      </c>
      <c r="B8225" t="s">
        <v>15367</v>
      </c>
      <c r="C8225" s="1">
        <v>44083</v>
      </c>
      <c r="D8225" t="b">
        <v>1</v>
      </c>
      <c r="E8225" t="s">
        <v>10</v>
      </c>
      <c r="F8225">
        <v>7051</v>
      </c>
    </row>
    <row r="8226" spans="1:6" x14ac:dyDescent="0.25">
      <c r="A8226" t="s">
        <v>15368</v>
      </c>
      <c r="B8226" t="s">
        <v>15369</v>
      </c>
      <c r="C8226" s="1">
        <v>44083</v>
      </c>
      <c r="D8226" t="b">
        <v>1</v>
      </c>
      <c r="E8226" t="s">
        <v>10</v>
      </c>
      <c r="F8226">
        <v>7053</v>
      </c>
    </row>
    <row r="8227" spans="1:6" x14ac:dyDescent="0.25">
      <c r="A8227" t="s">
        <v>15370</v>
      </c>
      <c r="B8227" t="s">
        <v>15371</v>
      </c>
      <c r="C8227" s="1">
        <v>44083</v>
      </c>
      <c r="D8227" t="b">
        <v>1</v>
      </c>
      <c r="E8227" t="s">
        <v>10</v>
      </c>
      <c r="F8227">
        <v>7054</v>
      </c>
    </row>
    <row r="8228" spans="1:6" x14ac:dyDescent="0.25">
      <c r="A8228" t="s">
        <v>15372</v>
      </c>
      <c r="B8228" t="s">
        <v>15373</v>
      </c>
      <c r="C8228" s="1">
        <v>44083</v>
      </c>
      <c r="D8228" t="b">
        <v>1</v>
      </c>
      <c r="E8228" t="s">
        <v>10</v>
      </c>
      <c r="F8228">
        <v>9619</v>
      </c>
    </row>
    <row r="8229" spans="1:6" x14ac:dyDescent="0.25">
      <c r="A8229" t="s">
        <v>15374</v>
      </c>
      <c r="B8229" t="s">
        <v>15375</v>
      </c>
      <c r="C8229" s="1">
        <v>44083</v>
      </c>
      <c r="D8229" t="b">
        <v>1</v>
      </c>
      <c r="E8229" t="s">
        <v>10</v>
      </c>
      <c r="F8229">
        <v>7055</v>
      </c>
    </row>
    <row r="8230" spans="1:6" x14ac:dyDescent="0.25">
      <c r="A8230" t="s">
        <v>15376</v>
      </c>
      <c r="B8230" t="s">
        <v>15377</v>
      </c>
      <c r="C8230" s="1">
        <v>44083</v>
      </c>
      <c r="D8230" t="b">
        <v>1</v>
      </c>
      <c r="E8230" t="s">
        <v>10</v>
      </c>
      <c r="F8230">
        <v>7056</v>
      </c>
    </row>
    <row r="8231" spans="1:6" x14ac:dyDescent="0.25">
      <c r="A8231" t="s">
        <v>15378</v>
      </c>
      <c r="B8231" t="s">
        <v>15379</v>
      </c>
      <c r="C8231" s="1">
        <v>44083</v>
      </c>
      <c r="D8231" t="b">
        <v>1</v>
      </c>
      <c r="E8231" t="s">
        <v>10</v>
      </c>
      <c r="F8231">
        <v>7057</v>
      </c>
    </row>
    <row r="8232" spans="1:6" x14ac:dyDescent="0.25">
      <c r="A8232" t="s">
        <v>15380</v>
      </c>
      <c r="B8232" t="s">
        <v>3651</v>
      </c>
      <c r="C8232" s="1">
        <v>44083</v>
      </c>
      <c r="D8232" t="b">
        <v>1</v>
      </c>
      <c r="E8232" t="s">
        <v>10</v>
      </c>
      <c r="F8232">
        <v>13905</v>
      </c>
    </row>
    <row r="8233" spans="1:6" x14ac:dyDescent="0.25">
      <c r="A8233" t="s">
        <v>15381</v>
      </c>
      <c r="B8233" t="s">
        <v>15382</v>
      </c>
      <c r="C8233" s="1">
        <v>44083</v>
      </c>
      <c r="D8233" t="b">
        <v>1</v>
      </c>
      <c r="E8233" t="s">
        <v>10</v>
      </c>
      <c r="F8233">
        <v>13652</v>
      </c>
    </row>
    <row r="8234" spans="1:6" x14ac:dyDescent="0.25">
      <c r="A8234" t="s">
        <v>15383</v>
      </c>
      <c r="B8234" t="s">
        <v>15384</v>
      </c>
      <c r="C8234" s="1">
        <v>44083</v>
      </c>
      <c r="D8234" t="b">
        <v>1</v>
      </c>
      <c r="E8234" t="s">
        <v>10</v>
      </c>
      <c r="F8234">
        <v>9520</v>
      </c>
    </row>
    <row r="8235" spans="1:6" x14ac:dyDescent="0.25">
      <c r="A8235" t="s">
        <v>15385</v>
      </c>
      <c r="B8235" t="s">
        <v>15386</v>
      </c>
      <c r="C8235" s="1">
        <v>44083</v>
      </c>
      <c r="D8235" t="b">
        <v>1</v>
      </c>
      <c r="E8235" t="s">
        <v>10</v>
      </c>
      <c r="F8235">
        <v>7058</v>
      </c>
    </row>
    <row r="8236" spans="1:6" x14ac:dyDescent="0.25">
      <c r="A8236" t="s">
        <v>15387</v>
      </c>
      <c r="B8236" t="s">
        <v>15388</v>
      </c>
      <c r="C8236" s="1">
        <v>44083</v>
      </c>
      <c r="D8236" t="b">
        <v>1</v>
      </c>
      <c r="E8236" t="s">
        <v>10</v>
      </c>
      <c r="F8236">
        <v>16498</v>
      </c>
    </row>
    <row r="8237" spans="1:6" x14ac:dyDescent="0.25">
      <c r="A8237" t="s">
        <v>15389</v>
      </c>
      <c r="B8237" t="s">
        <v>15390</v>
      </c>
      <c r="C8237" s="1">
        <v>44083</v>
      </c>
      <c r="D8237" t="b">
        <v>1</v>
      </c>
      <c r="E8237" t="s">
        <v>10</v>
      </c>
      <c r="F8237">
        <v>7059</v>
      </c>
    </row>
    <row r="8238" spans="1:6" x14ac:dyDescent="0.25">
      <c r="A8238" t="s">
        <v>15391</v>
      </c>
      <c r="B8238" t="s">
        <v>15392</v>
      </c>
      <c r="C8238" s="1">
        <v>44083</v>
      </c>
      <c r="D8238" t="b">
        <v>1</v>
      </c>
      <c r="E8238" t="s">
        <v>10</v>
      </c>
      <c r="F8238">
        <v>15604</v>
      </c>
    </row>
    <row r="8239" spans="1:6" x14ac:dyDescent="0.25">
      <c r="A8239" t="s">
        <v>15393</v>
      </c>
      <c r="B8239" t="s">
        <v>15394</v>
      </c>
      <c r="C8239" s="1">
        <v>44083</v>
      </c>
      <c r="D8239" t="b">
        <v>1</v>
      </c>
      <c r="E8239" t="s">
        <v>10</v>
      </c>
      <c r="F8239">
        <v>7060</v>
      </c>
    </row>
    <row r="8240" spans="1:6" x14ac:dyDescent="0.25">
      <c r="A8240" t="s">
        <v>15395</v>
      </c>
      <c r="B8240" t="s">
        <v>15396</v>
      </c>
      <c r="C8240" s="1">
        <v>44083</v>
      </c>
      <c r="D8240" t="b">
        <v>1</v>
      </c>
      <c r="E8240" t="s">
        <v>10</v>
      </c>
      <c r="F8240">
        <v>7061</v>
      </c>
    </row>
    <row r="8241" spans="1:6" x14ac:dyDescent="0.25">
      <c r="A8241" t="s">
        <v>15397</v>
      </c>
      <c r="B8241" t="s">
        <v>15398</v>
      </c>
      <c r="C8241" s="1">
        <v>44083</v>
      </c>
      <c r="D8241" t="b">
        <v>1</v>
      </c>
      <c r="E8241" t="s">
        <v>10</v>
      </c>
      <c r="F8241">
        <v>7062</v>
      </c>
    </row>
    <row r="8242" spans="1:6" x14ac:dyDescent="0.25">
      <c r="A8242" t="s">
        <v>15399</v>
      </c>
      <c r="B8242" t="s">
        <v>15400</v>
      </c>
      <c r="C8242" s="1">
        <v>44083</v>
      </c>
      <c r="D8242" t="b">
        <v>1</v>
      </c>
      <c r="E8242" t="s">
        <v>10</v>
      </c>
      <c r="F8242">
        <v>7063</v>
      </c>
    </row>
    <row r="8243" spans="1:6" x14ac:dyDescent="0.25">
      <c r="A8243" t="s">
        <v>15401</v>
      </c>
      <c r="B8243" t="s">
        <v>15402</v>
      </c>
      <c r="C8243" s="1">
        <v>44083</v>
      </c>
      <c r="D8243" t="b">
        <v>1</v>
      </c>
      <c r="E8243" t="s">
        <v>10</v>
      </c>
      <c r="F8243">
        <v>7064</v>
      </c>
    </row>
    <row r="8244" spans="1:6" x14ac:dyDescent="0.25">
      <c r="A8244" t="s">
        <v>15403</v>
      </c>
      <c r="B8244" t="s">
        <v>3651</v>
      </c>
      <c r="C8244" s="1">
        <v>44083</v>
      </c>
      <c r="D8244" t="b">
        <v>1</v>
      </c>
      <c r="E8244" t="s">
        <v>10</v>
      </c>
      <c r="F8244">
        <v>13906</v>
      </c>
    </row>
    <row r="8245" spans="1:6" x14ac:dyDescent="0.25">
      <c r="A8245" t="s">
        <v>15404</v>
      </c>
      <c r="B8245" t="s">
        <v>15405</v>
      </c>
      <c r="C8245" s="1">
        <v>44083</v>
      </c>
      <c r="D8245" t="b">
        <v>1</v>
      </c>
      <c r="E8245" t="s">
        <v>10</v>
      </c>
      <c r="F8245">
        <v>7066</v>
      </c>
    </row>
    <row r="8246" spans="1:6" x14ac:dyDescent="0.25">
      <c r="A8246" t="s">
        <v>15406</v>
      </c>
      <c r="B8246" t="s">
        <v>15407</v>
      </c>
      <c r="C8246" s="1">
        <v>44083</v>
      </c>
      <c r="D8246" t="b">
        <v>1</v>
      </c>
      <c r="E8246" t="s">
        <v>10</v>
      </c>
      <c r="F8246">
        <v>7068</v>
      </c>
    </row>
    <row r="8247" spans="1:6" x14ac:dyDescent="0.25">
      <c r="A8247" t="s">
        <v>15408</v>
      </c>
      <c r="B8247" t="s">
        <v>15409</v>
      </c>
      <c r="C8247" s="1">
        <v>44083</v>
      </c>
      <c r="D8247" t="b">
        <v>1</v>
      </c>
      <c r="E8247" t="s">
        <v>10</v>
      </c>
      <c r="F8247">
        <v>7069</v>
      </c>
    </row>
    <row r="8248" spans="1:6" x14ac:dyDescent="0.25">
      <c r="A8248" t="s">
        <v>15410</v>
      </c>
      <c r="B8248" t="s">
        <v>15411</v>
      </c>
      <c r="C8248" s="1">
        <v>44083</v>
      </c>
      <c r="D8248" t="b">
        <v>1</v>
      </c>
      <c r="E8248" t="s">
        <v>10</v>
      </c>
      <c r="F8248">
        <v>7071</v>
      </c>
    </row>
    <row r="8249" spans="1:6" x14ac:dyDescent="0.25">
      <c r="A8249" t="s">
        <v>15412</v>
      </c>
      <c r="B8249" t="s">
        <v>15413</v>
      </c>
      <c r="C8249" s="1">
        <v>44083</v>
      </c>
      <c r="D8249" t="b">
        <v>1</v>
      </c>
      <c r="E8249" t="s">
        <v>10</v>
      </c>
      <c r="F8249">
        <v>7072</v>
      </c>
    </row>
    <row r="8250" spans="1:6" x14ac:dyDescent="0.25">
      <c r="A8250" t="s">
        <v>15414</v>
      </c>
      <c r="B8250" t="s">
        <v>15415</v>
      </c>
      <c r="C8250" s="1">
        <v>44083</v>
      </c>
      <c r="D8250" t="b">
        <v>1</v>
      </c>
      <c r="E8250" t="s">
        <v>10</v>
      </c>
      <c r="F8250">
        <v>7074</v>
      </c>
    </row>
    <row r="8251" spans="1:6" x14ac:dyDescent="0.25">
      <c r="A8251" t="s">
        <v>15416</v>
      </c>
      <c r="B8251" t="s">
        <v>15417</v>
      </c>
      <c r="C8251" s="1">
        <v>44083</v>
      </c>
      <c r="D8251" t="b">
        <v>1</v>
      </c>
      <c r="E8251" t="s">
        <v>10</v>
      </c>
      <c r="F8251">
        <v>7075</v>
      </c>
    </row>
    <row r="8252" spans="1:6" x14ac:dyDescent="0.25">
      <c r="A8252" t="s">
        <v>15418</v>
      </c>
      <c r="B8252" t="s">
        <v>15419</v>
      </c>
      <c r="C8252" s="1">
        <v>44083</v>
      </c>
      <c r="D8252" t="b">
        <v>1</v>
      </c>
      <c r="E8252" t="s">
        <v>10</v>
      </c>
      <c r="F8252">
        <v>7030</v>
      </c>
    </row>
    <row r="8253" spans="1:6" x14ac:dyDescent="0.25">
      <c r="A8253" t="s">
        <v>15420</v>
      </c>
      <c r="B8253" t="s">
        <v>15421</v>
      </c>
      <c r="C8253" s="1">
        <v>44083</v>
      </c>
      <c r="D8253" t="b">
        <v>1</v>
      </c>
      <c r="E8253" t="s">
        <v>10</v>
      </c>
      <c r="F8253">
        <v>7076</v>
      </c>
    </row>
    <row r="8254" spans="1:6" x14ac:dyDescent="0.25">
      <c r="A8254" t="s">
        <v>15422</v>
      </c>
      <c r="B8254" t="s">
        <v>15423</v>
      </c>
      <c r="C8254" s="1">
        <v>44083</v>
      </c>
      <c r="D8254" t="b">
        <v>1</v>
      </c>
      <c r="E8254" t="s">
        <v>10</v>
      </c>
      <c r="F8254">
        <v>7079</v>
      </c>
    </row>
    <row r="8255" spans="1:6" x14ac:dyDescent="0.25">
      <c r="A8255" t="s">
        <v>15424</v>
      </c>
      <c r="B8255" t="s">
        <v>15425</v>
      </c>
      <c r="C8255" s="1">
        <v>44083</v>
      </c>
      <c r="D8255" t="b">
        <v>1</v>
      </c>
      <c r="E8255" t="s">
        <v>10</v>
      </c>
      <c r="F8255">
        <v>13653</v>
      </c>
    </row>
    <row r="8256" spans="1:6" x14ac:dyDescent="0.25">
      <c r="A8256" t="s">
        <v>15426</v>
      </c>
      <c r="B8256" t="s">
        <v>15427</v>
      </c>
      <c r="C8256" s="1">
        <v>44083</v>
      </c>
      <c r="D8256" t="b">
        <v>1</v>
      </c>
      <c r="E8256" t="s">
        <v>10</v>
      </c>
      <c r="F8256">
        <v>13654</v>
      </c>
    </row>
    <row r="8257" spans="1:6" x14ac:dyDescent="0.25">
      <c r="A8257" t="s">
        <v>15428</v>
      </c>
      <c r="B8257" t="s">
        <v>15429</v>
      </c>
      <c r="C8257" s="1">
        <v>44083</v>
      </c>
      <c r="D8257" t="b">
        <v>1</v>
      </c>
      <c r="E8257" t="s">
        <v>10</v>
      </c>
      <c r="F8257">
        <v>15347</v>
      </c>
    </row>
    <row r="8258" spans="1:6" x14ac:dyDescent="0.25">
      <c r="A8258" t="s">
        <v>15430</v>
      </c>
      <c r="B8258" t="s">
        <v>15431</v>
      </c>
      <c r="C8258" s="1">
        <v>44083</v>
      </c>
      <c r="D8258" t="b">
        <v>1</v>
      </c>
      <c r="E8258" t="s">
        <v>10</v>
      </c>
      <c r="F8258">
        <v>7081</v>
      </c>
    </row>
    <row r="8259" spans="1:6" x14ac:dyDescent="0.25">
      <c r="A8259" t="s">
        <v>15432</v>
      </c>
      <c r="B8259" t="s">
        <v>3651</v>
      </c>
      <c r="C8259" s="1">
        <v>44083</v>
      </c>
      <c r="D8259" t="b">
        <v>1</v>
      </c>
      <c r="E8259" t="s">
        <v>10</v>
      </c>
      <c r="F8259">
        <v>13907</v>
      </c>
    </row>
    <row r="8260" spans="1:6" x14ac:dyDescent="0.25">
      <c r="A8260" t="s">
        <v>15433</v>
      </c>
      <c r="B8260" t="s">
        <v>15434</v>
      </c>
      <c r="C8260" s="1">
        <v>44083</v>
      </c>
      <c r="D8260" t="b">
        <v>1</v>
      </c>
      <c r="E8260" t="s">
        <v>10</v>
      </c>
      <c r="F8260">
        <v>14904</v>
      </c>
    </row>
    <row r="8261" spans="1:6" x14ac:dyDescent="0.25">
      <c r="A8261" t="s">
        <v>15435</v>
      </c>
      <c r="B8261" t="s">
        <v>15436</v>
      </c>
      <c r="C8261" s="1">
        <v>44083</v>
      </c>
      <c r="D8261" t="b">
        <v>1</v>
      </c>
      <c r="E8261" t="s">
        <v>10</v>
      </c>
      <c r="F8261">
        <v>15799</v>
      </c>
    </row>
    <row r="8262" spans="1:6" x14ac:dyDescent="0.25">
      <c r="A8262" t="s">
        <v>15437</v>
      </c>
      <c r="B8262" t="s">
        <v>15438</v>
      </c>
      <c r="C8262" s="1">
        <v>44083</v>
      </c>
      <c r="D8262" t="b">
        <v>1</v>
      </c>
      <c r="E8262" t="s">
        <v>10</v>
      </c>
      <c r="F8262">
        <v>7085</v>
      </c>
    </row>
    <row r="8263" spans="1:6" x14ac:dyDescent="0.25">
      <c r="A8263" t="s">
        <v>15439</v>
      </c>
      <c r="B8263" t="s">
        <v>15440</v>
      </c>
      <c r="C8263" s="1">
        <v>44083</v>
      </c>
      <c r="D8263" t="b">
        <v>1</v>
      </c>
      <c r="E8263" t="s">
        <v>10</v>
      </c>
      <c r="F8263">
        <v>7086</v>
      </c>
    </row>
    <row r="8264" spans="1:6" x14ac:dyDescent="0.25">
      <c r="A8264" t="s">
        <v>15441</v>
      </c>
      <c r="B8264" t="s">
        <v>15442</v>
      </c>
      <c r="C8264" s="1">
        <v>44083</v>
      </c>
      <c r="D8264" t="b">
        <v>1</v>
      </c>
      <c r="E8264" t="s">
        <v>10</v>
      </c>
      <c r="F8264">
        <v>7087</v>
      </c>
    </row>
    <row r="8265" spans="1:6" x14ac:dyDescent="0.25">
      <c r="A8265" t="s">
        <v>15443</v>
      </c>
      <c r="B8265" t="s">
        <v>15444</v>
      </c>
      <c r="C8265" s="1">
        <v>44083</v>
      </c>
      <c r="D8265" t="b">
        <v>1</v>
      </c>
      <c r="E8265" t="s">
        <v>10</v>
      </c>
      <c r="F8265">
        <v>7015</v>
      </c>
    </row>
    <row r="8266" spans="1:6" x14ac:dyDescent="0.25">
      <c r="A8266" t="s">
        <v>15445</v>
      </c>
      <c r="B8266" t="s">
        <v>15446</v>
      </c>
      <c r="C8266" s="1">
        <v>44083</v>
      </c>
      <c r="D8266" t="b">
        <v>1</v>
      </c>
      <c r="E8266" t="s">
        <v>10</v>
      </c>
      <c r="F8266">
        <v>8008</v>
      </c>
    </row>
    <row r="8267" spans="1:6" x14ac:dyDescent="0.25">
      <c r="A8267" t="s">
        <v>15447</v>
      </c>
      <c r="B8267" t="s">
        <v>15448</v>
      </c>
      <c r="C8267" s="1">
        <v>44083</v>
      </c>
      <c r="D8267" t="b">
        <v>1</v>
      </c>
      <c r="E8267" t="s">
        <v>10</v>
      </c>
      <c r="F8267">
        <v>12351</v>
      </c>
    </row>
    <row r="8268" spans="1:6" x14ac:dyDescent="0.25">
      <c r="A8268" t="s">
        <v>15449</v>
      </c>
      <c r="B8268" t="s">
        <v>15450</v>
      </c>
      <c r="C8268" s="1">
        <v>44083</v>
      </c>
      <c r="D8268" t="b">
        <v>1</v>
      </c>
      <c r="E8268" t="s">
        <v>10</v>
      </c>
      <c r="F8268">
        <v>15959</v>
      </c>
    </row>
    <row r="8269" spans="1:6" x14ac:dyDescent="0.25">
      <c r="A8269" t="s">
        <v>15451</v>
      </c>
      <c r="B8269" t="s">
        <v>15452</v>
      </c>
      <c r="C8269" s="1">
        <v>44083</v>
      </c>
      <c r="D8269" t="b">
        <v>1</v>
      </c>
      <c r="E8269" t="s">
        <v>10</v>
      </c>
      <c r="F8269">
        <v>13655</v>
      </c>
    </row>
    <row r="8270" spans="1:6" x14ac:dyDescent="0.25">
      <c r="A8270" t="s">
        <v>15453</v>
      </c>
      <c r="B8270" t="s">
        <v>15434</v>
      </c>
      <c r="C8270" s="1">
        <v>44083</v>
      </c>
      <c r="D8270" t="b">
        <v>1</v>
      </c>
      <c r="E8270" t="s">
        <v>10</v>
      </c>
      <c r="F8270">
        <v>16571</v>
      </c>
    </row>
    <row r="8271" spans="1:6" x14ac:dyDescent="0.25">
      <c r="A8271" t="s">
        <v>15454</v>
      </c>
      <c r="B8271" t="s">
        <v>15455</v>
      </c>
      <c r="C8271" s="1">
        <v>44083</v>
      </c>
      <c r="D8271" t="b">
        <v>1</v>
      </c>
      <c r="E8271" t="s">
        <v>10</v>
      </c>
      <c r="F8271">
        <v>16701</v>
      </c>
    </row>
    <row r="8272" spans="1:6" x14ac:dyDescent="0.25">
      <c r="A8272" t="s">
        <v>15456</v>
      </c>
      <c r="B8272" t="s">
        <v>15457</v>
      </c>
      <c r="C8272" s="1">
        <v>44083</v>
      </c>
      <c r="D8272" t="b">
        <v>1</v>
      </c>
      <c r="E8272" t="s">
        <v>10</v>
      </c>
      <c r="F8272">
        <v>7091</v>
      </c>
    </row>
    <row r="8273" spans="1:6" x14ac:dyDescent="0.25">
      <c r="A8273" t="s">
        <v>15458</v>
      </c>
      <c r="B8273" t="s">
        <v>15459</v>
      </c>
      <c r="C8273" s="1">
        <v>44083</v>
      </c>
      <c r="D8273" t="b">
        <v>1</v>
      </c>
      <c r="E8273" t="s">
        <v>10</v>
      </c>
      <c r="F8273">
        <v>7092</v>
      </c>
    </row>
    <row r="8274" spans="1:6" x14ac:dyDescent="0.25">
      <c r="A8274" t="s">
        <v>15460</v>
      </c>
      <c r="B8274" t="s">
        <v>15461</v>
      </c>
      <c r="C8274" s="1">
        <v>44083</v>
      </c>
      <c r="D8274" t="b">
        <v>1</v>
      </c>
      <c r="E8274" t="s">
        <v>10</v>
      </c>
      <c r="F8274">
        <v>7093</v>
      </c>
    </row>
    <row r="8275" spans="1:6" x14ac:dyDescent="0.25">
      <c r="A8275" t="s">
        <v>15462</v>
      </c>
      <c r="B8275" t="s">
        <v>15463</v>
      </c>
      <c r="C8275" s="1">
        <v>44083</v>
      </c>
      <c r="D8275" t="b">
        <v>1</v>
      </c>
      <c r="E8275" t="s">
        <v>10</v>
      </c>
      <c r="F8275">
        <v>7094</v>
      </c>
    </row>
    <row r="8276" spans="1:6" x14ac:dyDescent="0.25">
      <c r="A8276" t="s">
        <v>15464</v>
      </c>
      <c r="C8276" s="1">
        <v>44083</v>
      </c>
      <c r="D8276" t="b">
        <v>1</v>
      </c>
      <c r="E8276" t="s">
        <v>10</v>
      </c>
      <c r="F8276">
        <v>10746</v>
      </c>
    </row>
    <row r="8277" spans="1:6" x14ac:dyDescent="0.25">
      <c r="A8277" t="s">
        <v>15465</v>
      </c>
      <c r="C8277" s="1">
        <v>44083</v>
      </c>
      <c r="D8277" t="b">
        <v>1</v>
      </c>
      <c r="E8277" t="s">
        <v>10</v>
      </c>
      <c r="F8277">
        <v>13188</v>
      </c>
    </row>
    <row r="8278" spans="1:6" x14ac:dyDescent="0.25">
      <c r="A8278" t="s">
        <v>15466</v>
      </c>
      <c r="C8278" s="1">
        <v>44083</v>
      </c>
      <c r="D8278" t="b">
        <v>1</v>
      </c>
      <c r="E8278" t="s">
        <v>10</v>
      </c>
      <c r="F8278">
        <v>14085</v>
      </c>
    </row>
    <row r="8279" spans="1:6" x14ac:dyDescent="0.25">
      <c r="A8279" t="s">
        <v>15467</v>
      </c>
      <c r="B8279" t="s">
        <v>15468</v>
      </c>
      <c r="C8279" s="1">
        <v>44083</v>
      </c>
      <c r="D8279" t="b">
        <v>1</v>
      </c>
      <c r="E8279" t="s">
        <v>10</v>
      </c>
      <c r="F8279">
        <v>7096</v>
      </c>
    </row>
    <row r="8280" spans="1:6" x14ac:dyDescent="0.25">
      <c r="A8280" t="s">
        <v>15469</v>
      </c>
      <c r="B8280" t="s">
        <v>15470</v>
      </c>
      <c r="C8280" s="1">
        <v>44083</v>
      </c>
      <c r="D8280" t="b">
        <v>1</v>
      </c>
      <c r="E8280" t="s">
        <v>10</v>
      </c>
      <c r="F8280">
        <v>14224</v>
      </c>
    </row>
    <row r="8281" spans="1:6" x14ac:dyDescent="0.25">
      <c r="A8281" t="s">
        <v>15471</v>
      </c>
      <c r="B8281" t="s">
        <v>15472</v>
      </c>
      <c r="C8281" s="1">
        <v>44083</v>
      </c>
      <c r="D8281" t="b">
        <v>1</v>
      </c>
      <c r="E8281" t="s">
        <v>10</v>
      </c>
      <c r="F8281">
        <v>7098</v>
      </c>
    </row>
    <row r="8282" spans="1:6" x14ac:dyDescent="0.25">
      <c r="A8282" t="s">
        <v>15473</v>
      </c>
      <c r="B8282" t="s">
        <v>15474</v>
      </c>
      <c r="C8282" s="1">
        <v>44083</v>
      </c>
      <c r="D8282" t="b">
        <v>1</v>
      </c>
      <c r="E8282" t="s">
        <v>10</v>
      </c>
      <c r="F8282">
        <v>7099</v>
      </c>
    </row>
    <row r="8283" spans="1:6" x14ac:dyDescent="0.25">
      <c r="A8283" t="s">
        <v>15475</v>
      </c>
      <c r="B8283" t="s">
        <v>15476</v>
      </c>
      <c r="C8283" s="1">
        <v>44083</v>
      </c>
      <c r="D8283" t="b">
        <v>1</v>
      </c>
      <c r="E8283" t="s">
        <v>10</v>
      </c>
      <c r="F8283">
        <v>7100</v>
      </c>
    </row>
    <row r="8284" spans="1:6" x14ac:dyDescent="0.25">
      <c r="A8284" t="s">
        <v>15477</v>
      </c>
      <c r="B8284" t="s">
        <v>15478</v>
      </c>
      <c r="C8284" s="1">
        <v>44083</v>
      </c>
      <c r="D8284" t="b">
        <v>1</v>
      </c>
      <c r="E8284" t="s">
        <v>10</v>
      </c>
      <c r="F8284">
        <v>7101</v>
      </c>
    </row>
    <row r="8285" spans="1:6" x14ac:dyDescent="0.25">
      <c r="A8285" t="s">
        <v>15479</v>
      </c>
      <c r="B8285" t="s">
        <v>15480</v>
      </c>
      <c r="C8285" s="1">
        <v>44083</v>
      </c>
      <c r="D8285" t="b">
        <v>1</v>
      </c>
      <c r="E8285" t="s">
        <v>10</v>
      </c>
      <c r="F8285">
        <v>7102</v>
      </c>
    </row>
    <row r="8286" spans="1:6" x14ac:dyDescent="0.25">
      <c r="A8286" t="s">
        <v>15481</v>
      </c>
      <c r="B8286" t="s">
        <v>15482</v>
      </c>
      <c r="C8286" s="1">
        <v>44083</v>
      </c>
      <c r="D8286" t="b">
        <v>1</v>
      </c>
      <c r="E8286" t="s">
        <v>10</v>
      </c>
      <c r="F8286">
        <v>7103</v>
      </c>
    </row>
    <row r="8287" spans="1:6" x14ac:dyDescent="0.25">
      <c r="A8287" t="s">
        <v>15483</v>
      </c>
      <c r="B8287" t="s">
        <v>15484</v>
      </c>
      <c r="C8287" s="1">
        <v>44083</v>
      </c>
      <c r="D8287" t="b">
        <v>1</v>
      </c>
      <c r="E8287" t="s">
        <v>10</v>
      </c>
      <c r="F8287">
        <v>7104</v>
      </c>
    </row>
    <row r="8288" spans="1:6" x14ac:dyDescent="0.25">
      <c r="A8288" t="s">
        <v>15485</v>
      </c>
      <c r="B8288" t="s">
        <v>15486</v>
      </c>
      <c r="C8288" s="1">
        <v>44083</v>
      </c>
      <c r="D8288" t="b">
        <v>1</v>
      </c>
      <c r="E8288" t="s">
        <v>10</v>
      </c>
      <c r="F8288">
        <v>9928</v>
      </c>
    </row>
    <row r="8289" spans="1:6" x14ac:dyDescent="0.25">
      <c r="A8289" t="s">
        <v>15487</v>
      </c>
      <c r="B8289" t="s">
        <v>15488</v>
      </c>
      <c r="C8289" s="1">
        <v>44083</v>
      </c>
      <c r="D8289" t="b">
        <v>1</v>
      </c>
      <c r="E8289" t="s">
        <v>10</v>
      </c>
      <c r="F8289">
        <v>7106</v>
      </c>
    </row>
    <row r="8290" spans="1:6" x14ac:dyDescent="0.25">
      <c r="A8290" t="s">
        <v>15489</v>
      </c>
      <c r="B8290" t="s">
        <v>15490</v>
      </c>
      <c r="C8290" s="1">
        <v>44083</v>
      </c>
      <c r="D8290" t="b">
        <v>1</v>
      </c>
      <c r="E8290" t="s">
        <v>10</v>
      </c>
      <c r="F8290">
        <v>7107</v>
      </c>
    </row>
    <row r="8291" spans="1:6" x14ac:dyDescent="0.25">
      <c r="A8291" t="s">
        <v>15491</v>
      </c>
      <c r="C8291" s="1">
        <v>44083</v>
      </c>
      <c r="D8291" t="b">
        <v>1</v>
      </c>
      <c r="E8291" t="s">
        <v>10</v>
      </c>
      <c r="F8291">
        <v>14755</v>
      </c>
    </row>
    <row r="8292" spans="1:6" x14ac:dyDescent="0.25">
      <c r="A8292" t="s">
        <v>15492</v>
      </c>
      <c r="B8292" t="s">
        <v>15493</v>
      </c>
      <c r="C8292" s="1">
        <v>44083</v>
      </c>
      <c r="D8292" t="b">
        <v>1</v>
      </c>
      <c r="E8292" t="s">
        <v>10</v>
      </c>
      <c r="F8292">
        <v>16251</v>
      </c>
    </row>
    <row r="8293" spans="1:6" x14ac:dyDescent="0.25">
      <c r="A8293" t="s">
        <v>15494</v>
      </c>
      <c r="B8293" t="s">
        <v>15495</v>
      </c>
      <c r="C8293" s="1">
        <v>44083</v>
      </c>
      <c r="D8293" t="b">
        <v>1</v>
      </c>
      <c r="E8293" t="s">
        <v>10</v>
      </c>
      <c r="F8293">
        <v>7108</v>
      </c>
    </row>
    <row r="8294" spans="1:6" x14ac:dyDescent="0.25">
      <c r="A8294" t="s">
        <v>15496</v>
      </c>
      <c r="B8294" t="s">
        <v>15497</v>
      </c>
      <c r="C8294" s="1">
        <v>44083</v>
      </c>
      <c r="D8294" t="b">
        <v>1</v>
      </c>
      <c r="E8294" t="s">
        <v>10</v>
      </c>
      <c r="F8294">
        <v>7113</v>
      </c>
    </row>
    <row r="8295" spans="1:6" x14ac:dyDescent="0.25">
      <c r="A8295" t="s">
        <v>15498</v>
      </c>
      <c r="B8295" t="s">
        <v>15499</v>
      </c>
      <c r="C8295" s="1">
        <v>44083</v>
      </c>
      <c r="D8295" t="b">
        <v>1</v>
      </c>
      <c r="E8295" t="s">
        <v>10</v>
      </c>
      <c r="F8295">
        <v>9175</v>
      </c>
    </row>
    <row r="8296" spans="1:6" x14ac:dyDescent="0.25">
      <c r="A8296" t="s">
        <v>15500</v>
      </c>
      <c r="B8296" t="s">
        <v>15501</v>
      </c>
      <c r="C8296" s="1">
        <v>44083</v>
      </c>
      <c r="D8296" t="b">
        <v>1</v>
      </c>
      <c r="E8296" t="s">
        <v>10</v>
      </c>
      <c r="F8296">
        <v>15094</v>
      </c>
    </row>
    <row r="8297" spans="1:6" x14ac:dyDescent="0.25">
      <c r="A8297" t="s">
        <v>15502</v>
      </c>
      <c r="B8297" t="s">
        <v>15503</v>
      </c>
      <c r="C8297" s="1">
        <v>44083</v>
      </c>
      <c r="D8297" t="b">
        <v>1</v>
      </c>
      <c r="E8297" t="s">
        <v>10</v>
      </c>
      <c r="F8297">
        <v>5953</v>
      </c>
    </row>
    <row r="8298" spans="1:6" x14ac:dyDescent="0.25">
      <c r="A8298" t="s">
        <v>15504</v>
      </c>
      <c r="B8298" t="s">
        <v>15503</v>
      </c>
      <c r="C8298" s="1">
        <v>44083</v>
      </c>
      <c r="D8298" t="b">
        <v>1</v>
      </c>
      <c r="E8298" t="s">
        <v>10</v>
      </c>
      <c r="F8298">
        <v>5954</v>
      </c>
    </row>
    <row r="8299" spans="1:6" x14ac:dyDescent="0.25">
      <c r="A8299" t="s">
        <v>15505</v>
      </c>
      <c r="B8299" t="s">
        <v>15506</v>
      </c>
      <c r="C8299" s="1">
        <v>44083</v>
      </c>
      <c r="D8299" t="b">
        <v>1</v>
      </c>
      <c r="E8299" t="s">
        <v>10</v>
      </c>
      <c r="F8299">
        <v>9232</v>
      </c>
    </row>
    <row r="8300" spans="1:6" x14ac:dyDescent="0.25">
      <c r="A8300" t="s">
        <v>15507</v>
      </c>
      <c r="B8300" t="s">
        <v>15508</v>
      </c>
      <c r="C8300" s="1">
        <v>44083</v>
      </c>
      <c r="D8300" t="b">
        <v>1</v>
      </c>
      <c r="E8300" t="s">
        <v>10</v>
      </c>
      <c r="F8300">
        <v>7120</v>
      </c>
    </row>
    <row r="8301" spans="1:6" x14ac:dyDescent="0.25">
      <c r="A8301" t="s">
        <v>15509</v>
      </c>
      <c r="B8301" t="s">
        <v>15510</v>
      </c>
      <c r="C8301" s="1">
        <v>44083</v>
      </c>
      <c r="D8301" t="b">
        <v>1</v>
      </c>
      <c r="E8301" t="s">
        <v>10</v>
      </c>
      <c r="F8301">
        <v>7121</v>
      </c>
    </row>
    <row r="8302" spans="1:6" x14ac:dyDescent="0.25">
      <c r="A8302" t="s">
        <v>15511</v>
      </c>
      <c r="B8302" t="s">
        <v>15512</v>
      </c>
      <c r="C8302" s="1">
        <v>44083</v>
      </c>
      <c r="D8302" t="b">
        <v>1</v>
      </c>
      <c r="E8302" t="s">
        <v>10</v>
      </c>
      <c r="F8302">
        <v>7122</v>
      </c>
    </row>
    <row r="8303" spans="1:6" x14ac:dyDescent="0.25">
      <c r="A8303" t="s">
        <v>15513</v>
      </c>
      <c r="B8303" t="s">
        <v>15514</v>
      </c>
      <c r="C8303" s="1">
        <v>44083</v>
      </c>
      <c r="D8303" t="b">
        <v>1</v>
      </c>
      <c r="E8303" t="s">
        <v>10</v>
      </c>
      <c r="F8303">
        <v>7123</v>
      </c>
    </row>
    <row r="8304" spans="1:6" x14ac:dyDescent="0.25">
      <c r="A8304" t="s">
        <v>15515</v>
      </c>
      <c r="B8304" t="s">
        <v>15516</v>
      </c>
      <c r="C8304" s="1">
        <v>44083</v>
      </c>
      <c r="D8304" t="b">
        <v>1</v>
      </c>
      <c r="E8304" t="s">
        <v>10</v>
      </c>
      <c r="F8304">
        <v>14994</v>
      </c>
    </row>
    <row r="8305" spans="1:6" x14ac:dyDescent="0.25">
      <c r="A8305" t="s">
        <v>15517</v>
      </c>
      <c r="B8305" t="s">
        <v>15518</v>
      </c>
      <c r="C8305" s="1">
        <v>44083</v>
      </c>
      <c r="D8305" t="b">
        <v>1</v>
      </c>
      <c r="E8305" t="s">
        <v>10</v>
      </c>
      <c r="F8305">
        <v>7125</v>
      </c>
    </row>
    <row r="8306" spans="1:6" x14ac:dyDescent="0.25">
      <c r="A8306" t="s">
        <v>15519</v>
      </c>
      <c r="B8306" t="s">
        <v>15520</v>
      </c>
      <c r="C8306" s="1">
        <v>44083</v>
      </c>
      <c r="D8306" t="b">
        <v>1</v>
      </c>
      <c r="E8306" t="s">
        <v>10</v>
      </c>
      <c r="F8306">
        <v>7126</v>
      </c>
    </row>
    <row r="8307" spans="1:6" x14ac:dyDescent="0.25">
      <c r="A8307" t="s">
        <v>15521</v>
      </c>
      <c r="B8307" t="s">
        <v>15522</v>
      </c>
      <c r="C8307" s="1">
        <v>44083</v>
      </c>
      <c r="D8307" t="b">
        <v>1</v>
      </c>
      <c r="E8307" t="s">
        <v>10</v>
      </c>
      <c r="F8307">
        <v>7127</v>
      </c>
    </row>
    <row r="8308" spans="1:6" x14ac:dyDescent="0.25">
      <c r="A8308" t="s">
        <v>15523</v>
      </c>
      <c r="B8308" t="s">
        <v>15524</v>
      </c>
      <c r="C8308" s="1">
        <v>44083</v>
      </c>
      <c r="D8308" t="b">
        <v>1</v>
      </c>
      <c r="E8308" t="s">
        <v>10</v>
      </c>
      <c r="F8308">
        <v>7128</v>
      </c>
    </row>
    <row r="8309" spans="1:6" x14ac:dyDescent="0.25">
      <c r="A8309" t="s">
        <v>15525</v>
      </c>
      <c r="B8309" t="s">
        <v>15526</v>
      </c>
      <c r="C8309" s="1">
        <v>44083</v>
      </c>
      <c r="D8309" t="b">
        <v>1</v>
      </c>
      <c r="E8309" t="s">
        <v>10</v>
      </c>
      <c r="F8309">
        <v>12772</v>
      </c>
    </row>
    <row r="8310" spans="1:6" x14ac:dyDescent="0.25">
      <c r="A8310" t="s">
        <v>15527</v>
      </c>
      <c r="B8310" t="s">
        <v>15528</v>
      </c>
      <c r="C8310" s="1">
        <v>44083</v>
      </c>
      <c r="D8310" t="b">
        <v>1</v>
      </c>
      <c r="E8310" t="s">
        <v>10</v>
      </c>
      <c r="F8310">
        <v>7129</v>
      </c>
    </row>
    <row r="8311" spans="1:6" x14ac:dyDescent="0.25">
      <c r="A8311" t="s">
        <v>15529</v>
      </c>
      <c r="B8311" t="s">
        <v>15530</v>
      </c>
      <c r="C8311" s="1">
        <v>44083</v>
      </c>
      <c r="D8311" t="b">
        <v>1</v>
      </c>
      <c r="E8311" t="s">
        <v>10</v>
      </c>
      <c r="F8311">
        <v>16349</v>
      </c>
    </row>
    <row r="8312" spans="1:6" x14ac:dyDescent="0.25">
      <c r="A8312" t="s">
        <v>15531</v>
      </c>
      <c r="B8312" t="s">
        <v>15532</v>
      </c>
      <c r="C8312" s="1">
        <v>44083</v>
      </c>
      <c r="D8312" t="b">
        <v>1</v>
      </c>
      <c r="E8312" t="s">
        <v>10</v>
      </c>
      <c r="F8312">
        <v>14831</v>
      </c>
    </row>
    <row r="8313" spans="1:6" x14ac:dyDescent="0.25">
      <c r="A8313" t="s">
        <v>15533</v>
      </c>
      <c r="B8313" t="s">
        <v>15534</v>
      </c>
      <c r="C8313" s="1">
        <v>44083</v>
      </c>
      <c r="D8313" t="b">
        <v>1</v>
      </c>
      <c r="E8313" t="s">
        <v>10</v>
      </c>
      <c r="F8313">
        <v>7133</v>
      </c>
    </row>
    <row r="8314" spans="1:6" x14ac:dyDescent="0.25">
      <c r="A8314" t="s">
        <v>15535</v>
      </c>
      <c r="B8314" t="s">
        <v>15536</v>
      </c>
      <c r="C8314" s="1">
        <v>44083</v>
      </c>
      <c r="D8314" t="b">
        <v>1</v>
      </c>
      <c r="E8314" t="s">
        <v>10</v>
      </c>
      <c r="F8314">
        <v>7134</v>
      </c>
    </row>
    <row r="8315" spans="1:6" x14ac:dyDescent="0.25">
      <c r="A8315" t="s">
        <v>15537</v>
      </c>
      <c r="B8315" t="s">
        <v>15538</v>
      </c>
      <c r="C8315" s="1">
        <v>44083</v>
      </c>
      <c r="D8315" t="b">
        <v>1</v>
      </c>
      <c r="E8315" t="s">
        <v>10</v>
      </c>
      <c r="F8315">
        <v>7136</v>
      </c>
    </row>
    <row r="8316" spans="1:6" x14ac:dyDescent="0.25">
      <c r="A8316" t="s">
        <v>15539</v>
      </c>
      <c r="B8316" t="s">
        <v>15540</v>
      </c>
      <c r="C8316" s="1">
        <v>44083</v>
      </c>
      <c r="D8316" t="b">
        <v>1</v>
      </c>
      <c r="E8316" t="s">
        <v>10</v>
      </c>
      <c r="F8316">
        <v>7137</v>
      </c>
    </row>
    <row r="8317" spans="1:6" x14ac:dyDescent="0.25">
      <c r="A8317" t="s">
        <v>15541</v>
      </c>
      <c r="B8317" t="s">
        <v>15542</v>
      </c>
      <c r="C8317" s="1">
        <v>44083</v>
      </c>
      <c r="D8317" t="b">
        <v>1</v>
      </c>
      <c r="E8317" t="s">
        <v>10</v>
      </c>
      <c r="F8317">
        <v>13908</v>
      </c>
    </row>
    <row r="8318" spans="1:6" x14ac:dyDescent="0.25">
      <c r="A8318" t="s">
        <v>15543</v>
      </c>
      <c r="B8318" t="s">
        <v>15544</v>
      </c>
      <c r="C8318" s="1">
        <v>44083</v>
      </c>
      <c r="D8318" t="b">
        <v>1</v>
      </c>
      <c r="E8318" t="s">
        <v>10</v>
      </c>
      <c r="F8318">
        <v>7139</v>
      </c>
    </row>
    <row r="8319" spans="1:6" x14ac:dyDescent="0.25">
      <c r="A8319" t="s">
        <v>15545</v>
      </c>
      <c r="B8319" t="s">
        <v>15546</v>
      </c>
      <c r="C8319" s="1">
        <v>44083</v>
      </c>
      <c r="D8319" t="b">
        <v>1</v>
      </c>
      <c r="E8319" t="s">
        <v>10</v>
      </c>
      <c r="F8319">
        <v>7140</v>
      </c>
    </row>
    <row r="8320" spans="1:6" x14ac:dyDescent="0.25">
      <c r="A8320" t="s">
        <v>15547</v>
      </c>
      <c r="B8320" t="s">
        <v>15548</v>
      </c>
      <c r="C8320" s="1">
        <v>44083</v>
      </c>
      <c r="D8320" t="b">
        <v>1</v>
      </c>
      <c r="E8320" t="s">
        <v>10</v>
      </c>
      <c r="F8320">
        <v>12315</v>
      </c>
    </row>
    <row r="8321" spans="1:6" x14ac:dyDescent="0.25">
      <c r="A8321" t="s">
        <v>15549</v>
      </c>
      <c r="B8321" t="s">
        <v>15550</v>
      </c>
      <c r="C8321" s="1">
        <v>44083</v>
      </c>
      <c r="D8321" t="b">
        <v>1</v>
      </c>
      <c r="E8321" t="s">
        <v>10</v>
      </c>
      <c r="F8321">
        <v>1869</v>
      </c>
    </row>
    <row r="8322" spans="1:6" x14ac:dyDescent="0.25">
      <c r="A8322" t="s">
        <v>15551</v>
      </c>
      <c r="B8322" t="s">
        <v>15552</v>
      </c>
      <c r="C8322" s="1">
        <v>44083</v>
      </c>
      <c r="D8322" t="b">
        <v>1</v>
      </c>
      <c r="E8322" t="s">
        <v>10</v>
      </c>
      <c r="F8322">
        <v>7143</v>
      </c>
    </row>
    <row r="8323" spans="1:6" x14ac:dyDescent="0.25">
      <c r="A8323" t="s">
        <v>15553</v>
      </c>
      <c r="C8323" s="1">
        <v>44083</v>
      </c>
      <c r="D8323" t="b">
        <v>1</v>
      </c>
      <c r="E8323" t="s">
        <v>10</v>
      </c>
      <c r="F8323">
        <v>7144</v>
      </c>
    </row>
    <row r="8324" spans="1:6" x14ac:dyDescent="0.25">
      <c r="A8324" t="s">
        <v>15554</v>
      </c>
      <c r="C8324" s="1">
        <v>44083</v>
      </c>
      <c r="D8324" t="b">
        <v>1</v>
      </c>
      <c r="E8324" t="s">
        <v>10</v>
      </c>
      <c r="F8324">
        <v>7145</v>
      </c>
    </row>
    <row r="8325" spans="1:6" x14ac:dyDescent="0.25">
      <c r="A8325" t="s">
        <v>15555</v>
      </c>
      <c r="C8325" s="1">
        <v>44083</v>
      </c>
      <c r="D8325" t="b">
        <v>1</v>
      </c>
      <c r="E8325" t="s">
        <v>10</v>
      </c>
      <c r="F8325">
        <v>7146</v>
      </c>
    </row>
    <row r="8326" spans="1:6" x14ac:dyDescent="0.25">
      <c r="A8326" t="s">
        <v>15556</v>
      </c>
      <c r="C8326" s="1">
        <v>44083</v>
      </c>
      <c r="D8326" t="b">
        <v>1</v>
      </c>
      <c r="E8326" t="s">
        <v>10</v>
      </c>
      <c r="F8326">
        <v>7148</v>
      </c>
    </row>
    <row r="8327" spans="1:6" x14ac:dyDescent="0.25">
      <c r="A8327" t="s">
        <v>15557</v>
      </c>
      <c r="C8327" s="1">
        <v>44083</v>
      </c>
      <c r="D8327" t="b">
        <v>1</v>
      </c>
      <c r="E8327" t="s">
        <v>10</v>
      </c>
      <c r="F8327">
        <v>14936</v>
      </c>
    </row>
    <row r="8328" spans="1:6" x14ac:dyDescent="0.25">
      <c r="A8328" t="s">
        <v>15558</v>
      </c>
      <c r="B8328" t="s">
        <v>15559</v>
      </c>
      <c r="C8328" s="1">
        <v>44083</v>
      </c>
      <c r="D8328" t="b">
        <v>1</v>
      </c>
      <c r="E8328" t="s">
        <v>10</v>
      </c>
      <c r="F8328">
        <v>7150</v>
      </c>
    </row>
    <row r="8329" spans="1:6" x14ac:dyDescent="0.25">
      <c r="A8329" t="s">
        <v>15560</v>
      </c>
      <c r="B8329" t="s">
        <v>15561</v>
      </c>
      <c r="C8329" s="1">
        <v>44083</v>
      </c>
      <c r="D8329" t="b">
        <v>1</v>
      </c>
      <c r="E8329" t="s">
        <v>10</v>
      </c>
      <c r="F8329">
        <v>7151</v>
      </c>
    </row>
    <row r="8330" spans="1:6" x14ac:dyDescent="0.25">
      <c r="A8330" t="s">
        <v>15562</v>
      </c>
      <c r="B8330" t="s">
        <v>15563</v>
      </c>
      <c r="C8330" s="1">
        <v>44083</v>
      </c>
      <c r="D8330" t="b">
        <v>1</v>
      </c>
      <c r="E8330" t="s">
        <v>10</v>
      </c>
      <c r="F8330">
        <v>7152</v>
      </c>
    </row>
    <row r="8331" spans="1:6" x14ac:dyDescent="0.25">
      <c r="A8331" t="s">
        <v>15564</v>
      </c>
      <c r="B8331" t="s">
        <v>15565</v>
      </c>
      <c r="C8331" s="1">
        <v>44083</v>
      </c>
      <c r="D8331" t="b">
        <v>1</v>
      </c>
      <c r="E8331" t="s">
        <v>10</v>
      </c>
      <c r="F8331">
        <v>9212</v>
      </c>
    </row>
    <row r="8332" spans="1:6" x14ac:dyDescent="0.25">
      <c r="A8332" t="s">
        <v>15566</v>
      </c>
      <c r="B8332" t="s">
        <v>15567</v>
      </c>
      <c r="C8332" s="1">
        <v>44083</v>
      </c>
      <c r="D8332" t="b">
        <v>1</v>
      </c>
      <c r="E8332" t="s">
        <v>10</v>
      </c>
      <c r="F8332">
        <v>8176</v>
      </c>
    </row>
    <row r="8333" spans="1:6" x14ac:dyDescent="0.25">
      <c r="A8333" t="s">
        <v>15568</v>
      </c>
      <c r="B8333" t="s">
        <v>15569</v>
      </c>
      <c r="C8333" s="1">
        <v>44083</v>
      </c>
      <c r="D8333" t="b">
        <v>1</v>
      </c>
      <c r="E8333" t="s">
        <v>10</v>
      </c>
      <c r="F8333">
        <v>15435</v>
      </c>
    </row>
    <row r="8334" spans="1:6" x14ac:dyDescent="0.25">
      <c r="A8334" t="s">
        <v>15570</v>
      </c>
      <c r="B8334" t="s">
        <v>15571</v>
      </c>
      <c r="C8334" s="1">
        <v>44083</v>
      </c>
      <c r="D8334" t="b">
        <v>1</v>
      </c>
      <c r="E8334" t="s">
        <v>10</v>
      </c>
      <c r="F8334">
        <v>7153</v>
      </c>
    </row>
    <row r="8335" spans="1:6" x14ac:dyDescent="0.25">
      <c r="A8335" t="s">
        <v>15572</v>
      </c>
      <c r="B8335" t="s">
        <v>15573</v>
      </c>
      <c r="C8335" s="1">
        <v>44083</v>
      </c>
      <c r="D8335" t="b">
        <v>1</v>
      </c>
      <c r="E8335" t="s">
        <v>10</v>
      </c>
      <c r="F8335">
        <v>16034</v>
      </c>
    </row>
    <row r="8336" spans="1:6" x14ac:dyDescent="0.25">
      <c r="A8336" t="s">
        <v>15574</v>
      </c>
      <c r="B8336" t="s">
        <v>15575</v>
      </c>
      <c r="C8336" s="1">
        <v>44083</v>
      </c>
      <c r="D8336" t="b">
        <v>1</v>
      </c>
      <c r="E8336" t="s">
        <v>10</v>
      </c>
      <c r="F8336">
        <v>13126</v>
      </c>
    </row>
    <row r="8337" spans="1:6" x14ac:dyDescent="0.25">
      <c r="A8337" t="s">
        <v>15576</v>
      </c>
      <c r="B8337" t="s">
        <v>15577</v>
      </c>
      <c r="C8337" s="1">
        <v>44083</v>
      </c>
      <c r="D8337" t="b">
        <v>1</v>
      </c>
      <c r="E8337" t="s">
        <v>10</v>
      </c>
      <c r="F8337">
        <v>11066</v>
      </c>
    </row>
    <row r="8338" spans="1:6" x14ac:dyDescent="0.25">
      <c r="A8338" t="s">
        <v>15578</v>
      </c>
      <c r="B8338" t="s">
        <v>15579</v>
      </c>
      <c r="C8338" s="1">
        <v>44083</v>
      </c>
      <c r="D8338" t="b">
        <v>1</v>
      </c>
      <c r="E8338" t="s">
        <v>10</v>
      </c>
      <c r="F8338">
        <v>8269</v>
      </c>
    </row>
    <row r="8339" spans="1:6" x14ac:dyDescent="0.25">
      <c r="A8339" t="s">
        <v>15580</v>
      </c>
      <c r="B8339" t="s">
        <v>15581</v>
      </c>
      <c r="C8339" s="1">
        <v>44083</v>
      </c>
      <c r="D8339" t="b">
        <v>1</v>
      </c>
      <c r="E8339" t="s">
        <v>10</v>
      </c>
      <c r="F8339">
        <v>15753</v>
      </c>
    </row>
    <row r="8340" spans="1:6" x14ac:dyDescent="0.25">
      <c r="A8340" t="s">
        <v>15582</v>
      </c>
      <c r="B8340" t="s">
        <v>15583</v>
      </c>
      <c r="C8340" s="1">
        <v>44083</v>
      </c>
      <c r="D8340" t="b">
        <v>1</v>
      </c>
      <c r="E8340" t="s">
        <v>10</v>
      </c>
      <c r="F8340">
        <v>13645</v>
      </c>
    </row>
    <row r="8341" spans="1:6" x14ac:dyDescent="0.25">
      <c r="A8341" t="s">
        <v>15584</v>
      </c>
      <c r="B8341" t="s">
        <v>15585</v>
      </c>
      <c r="C8341" s="1">
        <v>44083</v>
      </c>
      <c r="D8341" t="b">
        <v>1</v>
      </c>
      <c r="E8341" t="s">
        <v>10</v>
      </c>
      <c r="F8341">
        <v>15663</v>
      </c>
    </row>
    <row r="8342" spans="1:6" x14ac:dyDescent="0.25">
      <c r="A8342" t="s">
        <v>15586</v>
      </c>
      <c r="B8342" t="s">
        <v>15587</v>
      </c>
      <c r="C8342" s="1">
        <v>44083</v>
      </c>
      <c r="D8342" t="b">
        <v>1</v>
      </c>
      <c r="E8342" t="s">
        <v>10</v>
      </c>
      <c r="F8342">
        <v>1181</v>
      </c>
    </row>
    <row r="8343" spans="1:6" x14ac:dyDescent="0.25">
      <c r="A8343" t="s">
        <v>15588</v>
      </c>
      <c r="B8343" t="s">
        <v>15589</v>
      </c>
      <c r="C8343" s="1">
        <v>44083</v>
      </c>
      <c r="D8343" t="b">
        <v>1</v>
      </c>
      <c r="E8343" t="s">
        <v>10</v>
      </c>
      <c r="F8343">
        <v>10392</v>
      </c>
    </row>
    <row r="8344" spans="1:6" x14ac:dyDescent="0.25">
      <c r="A8344" t="s">
        <v>15590</v>
      </c>
      <c r="B8344" t="s">
        <v>15591</v>
      </c>
      <c r="C8344" s="1">
        <v>44083</v>
      </c>
      <c r="D8344" t="b">
        <v>1</v>
      </c>
      <c r="E8344" t="s">
        <v>10</v>
      </c>
      <c r="F8344">
        <v>7155</v>
      </c>
    </row>
    <row r="8345" spans="1:6" x14ac:dyDescent="0.25">
      <c r="A8345" t="s">
        <v>15592</v>
      </c>
      <c r="B8345" t="s">
        <v>15593</v>
      </c>
      <c r="C8345" s="1">
        <v>44083</v>
      </c>
      <c r="D8345" t="b">
        <v>1</v>
      </c>
      <c r="E8345" t="s">
        <v>10</v>
      </c>
      <c r="F8345">
        <v>10811</v>
      </c>
    </row>
    <row r="8346" spans="1:6" x14ac:dyDescent="0.25">
      <c r="A8346" t="s">
        <v>15594</v>
      </c>
      <c r="B8346" t="s">
        <v>15595</v>
      </c>
      <c r="C8346" s="1">
        <v>44083</v>
      </c>
      <c r="D8346" t="b">
        <v>1</v>
      </c>
      <c r="E8346" t="s">
        <v>10</v>
      </c>
      <c r="F8346">
        <v>7156</v>
      </c>
    </row>
    <row r="8347" spans="1:6" x14ac:dyDescent="0.25">
      <c r="A8347" t="s">
        <v>15596</v>
      </c>
      <c r="B8347" t="s">
        <v>15597</v>
      </c>
      <c r="C8347" s="1">
        <v>44083</v>
      </c>
      <c r="D8347" t="b">
        <v>1</v>
      </c>
      <c r="E8347" t="s">
        <v>10</v>
      </c>
      <c r="F8347">
        <v>7158</v>
      </c>
    </row>
    <row r="8348" spans="1:6" x14ac:dyDescent="0.25">
      <c r="A8348" t="s">
        <v>15598</v>
      </c>
      <c r="B8348" t="s">
        <v>15599</v>
      </c>
      <c r="C8348" s="1">
        <v>44083</v>
      </c>
      <c r="D8348" t="b">
        <v>1</v>
      </c>
      <c r="E8348" t="s">
        <v>10</v>
      </c>
      <c r="F8348">
        <v>13540</v>
      </c>
    </row>
    <row r="8349" spans="1:6" x14ac:dyDescent="0.25">
      <c r="A8349" t="s">
        <v>15600</v>
      </c>
      <c r="B8349" t="s">
        <v>15601</v>
      </c>
      <c r="C8349" s="1">
        <v>44083</v>
      </c>
      <c r="D8349" t="b">
        <v>1</v>
      </c>
      <c r="E8349" t="s">
        <v>10</v>
      </c>
      <c r="F8349">
        <v>13079</v>
      </c>
    </row>
    <row r="8350" spans="1:6" x14ac:dyDescent="0.25">
      <c r="A8350" t="s">
        <v>15602</v>
      </c>
      <c r="B8350" t="s">
        <v>15603</v>
      </c>
      <c r="C8350" s="1">
        <v>44083</v>
      </c>
      <c r="D8350" t="b">
        <v>1</v>
      </c>
      <c r="E8350" t="s">
        <v>10</v>
      </c>
      <c r="F8350">
        <v>7162</v>
      </c>
    </row>
    <row r="8351" spans="1:6" x14ac:dyDescent="0.25">
      <c r="A8351" t="s">
        <v>15604</v>
      </c>
      <c r="B8351" t="s">
        <v>15605</v>
      </c>
      <c r="C8351" s="1">
        <v>44083</v>
      </c>
      <c r="D8351" t="b">
        <v>1</v>
      </c>
      <c r="E8351" t="s">
        <v>10</v>
      </c>
      <c r="F8351">
        <v>7163</v>
      </c>
    </row>
    <row r="8352" spans="1:6" x14ac:dyDescent="0.25">
      <c r="A8352" t="s">
        <v>15606</v>
      </c>
      <c r="B8352" t="s">
        <v>15607</v>
      </c>
      <c r="C8352" s="1">
        <v>44083</v>
      </c>
      <c r="D8352" t="b">
        <v>1</v>
      </c>
      <c r="E8352" t="s">
        <v>10</v>
      </c>
      <c r="F8352">
        <v>7164</v>
      </c>
    </row>
    <row r="8353" spans="1:6" x14ac:dyDescent="0.25">
      <c r="A8353" t="s">
        <v>15608</v>
      </c>
      <c r="B8353" t="s">
        <v>15609</v>
      </c>
      <c r="C8353" s="1">
        <v>44083</v>
      </c>
      <c r="D8353" t="b">
        <v>1</v>
      </c>
      <c r="E8353" t="s">
        <v>10</v>
      </c>
      <c r="F8353">
        <v>12809</v>
      </c>
    </row>
    <row r="8354" spans="1:6" x14ac:dyDescent="0.25">
      <c r="A8354" t="s">
        <v>15610</v>
      </c>
      <c r="B8354" t="s">
        <v>15611</v>
      </c>
      <c r="C8354" s="1">
        <v>44083</v>
      </c>
      <c r="D8354" t="b">
        <v>1</v>
      </c>
      <c r="E8354" t="s">
        <v>10</v>
      </c>
      <c r="F8354">
        <v>7165</v>
      </c>
    </row>
    <row r="8355" spans="1:6" x14ac:dyDescent="0.25">
      <c r="A8355" t="s">
        <v>15612</v>
      </c>
      <c r="B8355" t="s">
        <v>15613</v>
      </c>
      <c r="C8355" s="1">
        <v>44083</v>
      </c>
      <c r="D8355" t="b">
        <v>1</v>
      </c>
      <c r="E8355" t="s">
        <v>10</v>
      </c>
      <c r="F8355">
        <v>2683</v>
      </c>
    </row>
    <row r="8356" spans="1:6" x14ac:dyDescent="0.25">
      <c r="A8356" t="s">
        <v>15614</v>
      </c>
      <c r="B8356" t="s">
        <v>15615</v>
      </c>
      <c r="C8356" s="1">
        <v>44083</v>
      </c>
      <c r="D8356" t="b">
        <v>1</v>
      </c>
      <c r="E8356" t="s">
        <v>10</v>
      </c>
      <c r="F8356">
        <v>15494</v>
      </c>
    </row>
    <row r="8357" spans="1:6" x14ac:dyDescent="0.25">
      <c r="A8357" t="s">
        <v>15616</v>
      </c>
      <c r="B8357" t="s">
        <v>15617</v>
      </c>
      <c r="C8357" s="1">
        <v>44083</v>
      </c>
      <c r="D8357" t="b">
        <v>1</v>
      </c>
      <c r="E8357" t="s">
        <v>10</v>
      </c>
      <c r="F8357">
        <v>7166</v>
      </c>
    </row>
    <row r="8358" spans="1:6" x14ac:dyDescent="0.25">
      <c r="A8358" t="s">
        <v>15618</v>
      </c>
      <c r="B8358" t="s">
        <v>15619</v>
      </c>
      <c r="C8358" s="1">
        <v>44083</v>
      </c>
      <c r="D8358" t="b">
        <v>1</v>
      </c>
      <c r="E8358" t="s">
        <v>10</v>
      </c>
      <c r="F8358">
        <v>13656</v>
      </c>
    </row>
    <row r="8359" spans="1:6" x14ac:dyDescent="0.25">
      <c r="A8359" t="s">
        <v>15620</v>
      </c>
      <c r="B8359" t="s">
        <v>15621</v>
      </c>
      <c r="C8359" s="1">
        <v>44083</v>
      </c>
      <c r="D8359" t="b">
        <v>1</v>
      </c>
      <c r="E8359" t="s">
        <v>10</v>
      </c>
      <c r="F8359">
        <v>7169</v>
      </c>
    </row>
    <row r="8360" spans="1:6" x14ac:dyDescent="0.25">
      <c r="A8360" t="s">
        <v>15622</v>
      </c>
      <c r="B8360" t="s">
        <v>15452</v>
      </c>
      <c r="C8360" s="1">
        <v>44083</v>
      </c>
      <c r="D8360" t="b">
        <v>1</v>
      </c>
      <c r="E8360" t="s">
        <v>10</v>
      </c>
      <c r="F8360">
        <v>13657</v>
      </c>
    </row>
    <row r="8361" spans="1:6" x14ac:dyDescent="0.25">
      <c r="A8361" t="s">
        <v>15623</v>
      </c>
      <c r="B8361" t="s">
        <v>15624</v>
      </c>
      <c r="C8361" s="1">
        <v>44083</v>
      </c>
      <c r="D8361" t="b">
        <v>1</v>
      </c>
      <c r="E8361" t="s">
        <v>10</v>
      </c>
      <c r="F8361">
        <v>12824</v>
      </c>
    </row>
    <row r="8362" spans="1:6" x14ac:dyDescent="0.25">
      <c r="A8362" t="s">
        <v>15625</v>
      </c>
      <c r="C8362" s="1">
        <v>44083</v>
      </c>
      <c r="D8362" t="b">
        <v>1</v>
      </c>
      <c r="E8362" t="s">
        <v>10</v>
      </c>
      <c r="F8362">
        <v>12850</v>
      </c>
    </row>
    <row r="8363" spans="1:6" x14ac:dyDescent="0.25">
      <c r="A8363" t="s">
        <v>15626</v>
      </c>
      <c r="B8363" t="s">
        <v>15627</v>
      </c>
      <c r="C8363" s="1">
        <v>44083</v>
      </c>
      <c r="D8363" t="b">
        <v>1</v>
      </c>
      <c r="E8363" t="s">
        <v>10</v>
      </c>
      <c r="F8363">
        <v>14530</v>
      </c>
    </row>
    <row r="8364" spans="1:6" x14ac:dyDescent="0.25">
      <c r="A8364" t="s">
        <v>15628</v>
      </c>
      <c r="B8364" t="s">
        <v>15629</v>
      </c>
      <c r="C8364" s="1">
        <v>44083</v>
      </c>
      <c r="D8364" t="b">
        <v>1</v>
      </c>
      <c r="E8364" t="s">
        <v>10</v>
      </c>
      <c r="F8364">
        <v>16840</v>
      </c>
    </row>
    <row r="8365" spans="1:6" x14ac:dyDescent="0.25">
      <c r="A8365" t="s">
        <v>15630</v>
      </c>
      <c r="B8365" t="s">
        <v>15631</v>
      </c>
      <c r="C8365" s="1">
        <v>44083</v>
      </c>
      <c r="D8365" t="b">
        <v>1</v>
      </c>
      <c r="E8365" t="s">
        <v>10</v>
      </c>
      <c r="F8365">
        <v>10580</v>
      </c>
    </row>
    <row r="8366" spans="1:6" x14ac:dyDescent="0.25">
      <c r="A8366" t="s">
        <v>15632</v>
      </c>
      <c r="B8366" t="s">
        <v>15633</v>
      </c>
      <c r="C8366" s="1">
        <v>44083</v>
      </c>
      <c r="D8366" t="b">
        <v>1</v>
      </c>
      <c r="E8366" t="s">
        <v>10</v>
      </c>
      <c r="F8366">
        <v>7171</v>
      </c>
    </row>
    <row r="8367" spans="1:6" x14ac:dyDescent="0.25">
      <c r="A8367" t="s">
        <v>15634</v>
      </c>
      <c r="B8367" t="s">
        <v>15635</v>
      </c>
      <c r="C8367" s="1">
        <v>44083</v>
      </c>
      <c r="D8367" t="b">
        <v>1</v>
      </c>
      <c r="E8367" t="s">
        <v>10</v>
      </c>
      <c r="F8367">
        <v>7172</v>
      </c>
    </row>
    <row r="8368" spans="1:6" x14ac:dyDescent="0.25">
      <c r="A8368" t="s">
        <v>15636</v>
      </c>
      <c r="B8368" t="s">
        <v>15637</v>
      </c>
      <c r="C8368" s="1">
        <v>44083</v>
      </c>
      <c r="D8368" t="b">
        <v>1</v>
      </c>
      <c r="E8368" t="s">
        <v>10</v>
      </c>
      <c r="F8368">
        <v>7173</v>
      </c>
    </row>
    <row r="8369" spans="1:6" x14ac:dyDescent="0.25">
      <c r="A8369" t="s">
        <v>15638</v>
      </c>
      <c r="B8369" t="s">
        <v>15639</v>
      </c>
      <c r="C8369" s="1">
        <v>44083</v>
      </c>
      <c r="D8369" t="b">
        <v>1</v>
      </c>
      <c r="E8369" t="s">
        <v>10</v>
      </c>
      <c r="F8369">
        <v>7174</v>
      </c>
    </row>
    <row r="8370" spans="1:6" x14ac:dyDescent="0.25">
      <c r="A8370" t="s">
        <v>15640</v>
      </c>
      <c r="B8370" t="s">
        <v>15641</v>
      </c>
      <c r="C8370" s="1">
        <v>44083</v>
      </c>
      <c r="D8370" t="b">
        <v>1</v>
      </c>
      <c r="E8370" t="s">
        <v>10</v>
      </c>
      <c r="F8370">
        <v>7176</v>
      </c>
    </row>
    <row r="8371" spans="1:6" x14ac:dyDescent="0.25">
      <c r="A8371" t="s">
        <v>15642</v>
      </c>
      <c r="B8371" t="s">
        <v>15643</v>
      </c>
      <c r="C8371" s="1">
        <v>44083</v>
      </c>
      <c r="D8371" t="b">
        <v>1</v>
      </c>
      <c r="E8371" t="s">
        <v>10</v>
      </c>
      <c r="F8371">
        <v>7178</v>
      </c>
    </row>
    <row r="8372" spans="1:6" x14ac:dyDescent="0.25">
      <c r="A8372" t="s">
        <v>15644</v>
      </c>
      <c r="B8372" t="s">
        <v>15645</v>
      </c>
      <c r="C8372" s="1">
        <v>44083</v>
      </c>
      <c r="D8372" t="b">
        <v>1</v>
      </c>
      <c r="E8372" t="s">
        <v>10</v>
      </c>
      <c r="F8372">
        <v>15058</v>
      </c>
    </row>
    <row r="8373" spans="1:6" x14ac:dyDescent="0.25">
      <c r="A8373" t="s">
        <v>15646</v>
      </c>
      <c r="B8373" t="s">
        <v>15647</v>
      </c>
      <c r="C8373" s="1">
        <v>44083</v>
      </c>
      <c r="D8373" t="b">
        <v>1</v>
      </c>
      <c r="E8373" t="s">
        <v>10</v>
      </c>
      <c r="F8373">
        <v>7179</v>
      </c>
    </row>
    <row r="8374" spans="1:6" x14ac:dyDescent="0.25">
      <c r="A8374" t="s">
        <v>15648</v>
      </c>
      <c r="B8374" t="s">
        <v>15649</v>
      </c>
      <c r="C8374" s="1">
        <v>44083</v>
      </c>
      <c r="D8374" t="b">
        <v>1</v>
      </c>
      <c r="E8374" t="s">
        <v>10</v>
      </c>
      <c r="F8374">
        <v>12871</v>
      </c>
    </row>
    <row r="8375" spans="1:6" x14ac:dyDescent="0.25">
      <c r="A8375" t="s">
        <v>15650</v>
      </c>
      <c r="B8375" t="s">
        <v>15651</v>
      </c>
      <c r="C8375" s="1">
        <v>44083</v>
      </c>
      <c r="D8375" t="b">
        <v>1</v>
      </c>
      <c r="E8375" t="s">
        <v>10</v>
      </c>
      <c r="F8375">
        <v>15246</v>
      </c>
    </row>
    <row r="8376" spans="1:6" x14ac:dyDescent="0.25">
      <c r="A8376" t="s">
        <v>15652</v>
      </c>
      <c r="C8376" s="1">
        <v>44083</v>
      </c>
      <c r="D8376" t="b">
        <v>1</v>
      </c>
      <c r="E8376" t="s">
        <v>10</v>
      </c>
      <c r="F8376">
        <v>15256</v>
      </c>
    </row>
    <row r="8377" spans="1:6" x14ac:dyDescent="0.25">
      <c r="A8377" t="s">
        <v>15653</v>
      </c>
      <c r="B8377" t="s">
        <v>15367</v>
      </c>
      <c r="C8377" s="1">
        <v>44083</v>
      </c>
      <c r="D8377" t="b">
        <v>1</v>
      </c>
      <c r="E8377" t="s">
        <v>10</v>
      </c>
      <c r="F8377">
        <v>7182</v>
      </c>
    </row>
    <row r="8378" spans="1:6" x14ac:dyDescent="0.25">
      <c r="A8378" t="s">
        <v>15654</v>
      </c>
      <c r="B8378" t="s">
        <v>15655</v>
      </c>
      <c r="C8378" s="1">
        <v>44083</v>
      </c>
      <c r="D8378" t="b">
        <v>1</v>
      </c>
      <c r="E8378" t="s">
        <v>10</v>
      </c>
      <c r="F8378">
        <v>7184</v>
      </c>
    </row>
    <row r="8379" spans="1:6" x14ac:dyDescent="0.25">
      <c r="A8379" t="s">
        <v>15656</v>
      </c>
      <c r="B8379" t="s">
        <v>15657</v>
      </c>
      <c r="C8379" s="1">
        <v>44083</v>
      </c>
      <c r="D8379" t="b">
        <v>1</v>
      </c>
      <c r="E8379" t="s">
        <v>10</v>
      </c>
      <c r="F8379">
        <v>8145</v>
      </c>
    </row>
    <row r="8380" spans="1:6" x14ac:dyDescent="0.25">
      <c r="A8380" t="s">
        <v>15658</v>
      </c>
      <c r="C8380" s="1">
        <v>44083</v>
      </c>
      <c r="D8380" t="b">
        <v>1</v>
      </c>
      <c r="E8380" t="s">
        <v>10</v>
      </c>
      <c r="F8380">
        <v>12222</v>
      </c>
    </row>
    <row r="8381" spans="1:6" x14ac:dyDescent="0.25">
      <c r="A8381" t="s">
        <v>15659</v>
      </c>
      <c r="B8381" t="s">
        <v>15660</v>
      </c>
      <c r="C8381" s="1">
        <v>44083</v>
      </c>
      <c r="D8381" t="b">
        <v>1</v>
      </c>
      <c r="E8381" t="s">
        <v>10</v>
      </c>
      <c r="F8381">
        <v>7185</v>
      </c>
    </row>
    <row r="8382" spans="1:6" x14ac:dyDescent="0.25">
      <c r="A8382" t="s">
        <v>15661</v>
      </c>
      <c r="B8382" t="s">
        <v>15662</v>
      </c>
      <c r="C8382" s="1">
        <v>44083</v>
      </c>
      <c r="D8382" t="b">
        <v>1</v>
      </c>
      <c r="E8382" t="s">
        <v>10</v>
      </c>
      <c r="F8382">
        <v>7187</v>
      </c>
    </row>
    <row r="8383" spans="1:6" x14ac:dyDescent="0.25">
      <c r="A8383" t="s">
        <v>15663</v>
      </c>
      <c r="B8383" t="s">
        <v>15664</v>
      </c>
      <c r="C8383" s="1">
        <v>44083</v>
      </c>
      <c r="D8383" t="b">
        <v>1</v>
      </c>
      <c r="E8383" t="s">
        <v>10</v>
      </c>
      <c r="F8383">
        <v>7190</v>
      </c>
    </row>
    <row r="8384" spans="1:6" x14ac:dyDescent="0.25">
      <c r="A8384" t="s">
        <v>15665</v>
      </c>
      <c r="B8384" t="s">
        <v>15666</v>
      </c>
      <c r="C8384" s="1">
        <v>44083</v>
      </c>
      <c r="D8384" t="b">
        <v>1</v>
      </c>
      <c r="E8384" t="s">
        <v>10</v>
      </c>
      <c r="F8384">
        <v>7191</v>
      </c>
    </row>
    <row r="8385" spans="1:6" x14ac:dyDescent="0.25">
      <c r="A8385" t="s">
        <v>15667</v>
      </c>
      <c r="B8385" t="s">
        <v>15668</v>
      </c>
      <c r="C8385" s="1">
        <v>44083</v>
      </c>
      <c r="D8385" t="b">
        <v>1</v>
      </c>
      <c r="E8385" t="s">
        <v>10</v>
      </c>
      <c r="F8385">
        <v>7193</v>
      </c>
    </row>
    <row r="8386" spans="1:6" x14ac:dyDescent="0.25">
      <c r="A8386" t="s">
        <v>15669</v>
      </c>
      <c r="B8386" t="s">
        <v>15670</v>
      </c>
      <c r="C8386" s="1">
        <v>44083</v>
      </c>
      <c r="D8386" t="b">
        <v>1</v>
      </c>
      <c r="E8386" t="s">
        <v>10</v>
      </c>
      <c r="F8386">
        <v>7196</v>
      </c>
    </row>
    <row r="8387" spans="1:6" x14ac:dyDescent="0.25">
      <c r="A8387" t="s">
        <v>15671</v>
      </c>
      <c r="B8387" t="s">
        <v>15672</v>
      </c>
      <c r="C8387" s="1">
        <v>44083</v>
      </c>
      <c r="D8387" t="b">
        <v>1</v>
      </c>
      <c r="E8387" t="s">
        <v>10</v>
      </c>
      <c r="F8387">
        <v>14743</v>
      </c>
    </row>
    <row r="8388" spans="1:6" x14ac:dyDescent="0.25">
      <c r="A8388" t="s">
        <v>15673</v>
      </c>
      <c r="B8388" t="s">
        <v>15674</v>
      </c>
      <c r="C8388" s="1">
        <v>44083</v>
      </c>
      <c r="D8388" t="b">
        <v>1</v>
      </c>
      <c r="E8388" t="s">
        <v>10</v>
      </c>
      <c r="F8388">
        <v>7198</v>
      </c>
    </row>
    <row r="8389" spans="1:6" x14ac:dyDescent="0.25">
      <c r="A8389" t="s">
        <v>15675</v>
      </c>
      <c r="B8389" t="s">
        <v>15676</v>
      </c>
      <c r="C8389" s="1">
        <v>44083</v>
      </c>
      <c r="D8389" t="b">
        <v>1</v>
      </c>
      <c r="E8389" t="s">
        <v>10</v>
      </c>
      <c r="F8389">
        <v>7199</v>
      </c>
    </row>
    <row r="8390" spans="1:6" x14ac:dyDescent="0.25">
      <c r="A8390" t="s">
        <v>15677</v>
      </c>
      <c r="C8390" s="1">
        <v>44083</v>
      </c>
      <c r="D8390" t="b">
        <v>1</v>
      </c>
      <c r="E8390" t="s">
        <v>10</v>
      </c>
      <c r="F8390">
        <v>7200</v>
      </c>
    </row>
    <row r="8391" spans="1:6" x14ac:dyDescent="0.25">
      <c r="A8391" t="s">
        <v>15678</v>
      </c>
      <c r="C8391" s="1">
        <v>44083</v>
      </c>
      <c r="D8391" t="b">
        <v>1</v>
      </c>
      <c r="E8391" t="s">
        <v>10</v>
      </c>
      <c r="F8391">
        <v>9556</v>
      </c>
    </row>
    <row r="8392" spans="1:6" x14ac:dyDescent="0.25">
      <c r="A8392" t="s">
        <v>15679</v>
      </c>
      <c r="C8392" s="1">
        <v>44083</v>
      </c>
      <c r="D8392" t="b">
        <v>1</v>
      </c>
      <c r="E8392" t="s">
        <v>10</v>
      </c>
      <c r="F8392">
        <v>10859</v>
      </c>
    </row>
    <row r="8393" spans="1:6" x14ac:dyDescent="0.25">
      <c r="A8393" t="s">
        <v>15680</v>
      </c>
      <c r="C8393" s="1">
        <v>44083</v>
      </c>
      <c r="D8393" t="b">
        <v>1</v>
      </c>
      <c r="E8393" t="s">
        <v>10</v>
      </c>
      <c r="F8393">
        <v>17114</v>
      </c>
    </row>
    <row r="8394" spans="1:6" x14ac:dyDescent="0.25">
      <c r="A8394" t="s">
        <v>15681</v>
      </c>
      <c r="B8394" t="s">
        <v>15682</v>
      </c>
      <c r="C8394" s="1">
        <v>44083</v>
      </c>
      <c r="D8394" t="b">
        <v>1</v>
      </c>
      <c r="E8394" t="s">
        <v>10</v>
      </c>
      <c r="F8394">
        <v>7201</v>
      </c>
    </row>
    <row r="8395" spans="1:6" x14ac:dyDescent="0.25">
      <c r="A8395" t="s">
        <v>15683</v>
      </c>
      <c r="B8395" t="s">
        <v>15684</v>
      </c>
      <c r="C8395" s="1">
        <v>44083</v>
      </c>
      <c r="D8395" t="b">
        <v>1</v>
      </c>
      <c r="E8395" t="s">
        <v>10</v>
      </c>
      <c r="F8395">
        <v>7202</v>
      </c>
    </row>
    <row r="8396" spans="1:6" x14ac:dyDescent="0.25">
      <c r="A8396" t="s">
        <v>15685</v>
      </c>
      <c r="B8396" t="s">
        <v>15686</v>
      </c>
      <c r="C8396" s="1">
        <v>44083</v>
      </c>
      <c r="D8396" t="b">
        <v>1</v>
      </c>
      <c r="E8396" t="s">
        <v>10</v>
      </c>
      <c r="F8396">
        <v>7204</v>
      </c>
    </row>
    <row r="8397" spans="1:6" x14ac:dyDescent="0.25">
      <c r="A8397" t="s">
        <v>15687</v>
      </c>
      <c r="B8397" t="s">
        <v>15688</v>
      </c>
      <c r="C8397" s="1">
        <v>44083</v>
      </c>
      <c r="D8397" t="b">
        <v>1</v>
      </c>
      <c r="E8397" t="s">
        <v>10</v>
      </c>
      <c r="F8397">
        <v>14019</v>
      </c>
    </row>
    <row r="8398" spans="1:6" x14ac:dyDescent="0.25">
      <c r="A8398" t="s">
        <v>15689</v>
      </c>
      <c r="B8398" t="s">
        <v>15690</v>
      </c>
      <c r="C8398" s="1">
        <v>44083</v>
      </c>
      <c r="D8398" t="b">
        <v>1</v>
      </c>
      <c r="E8398" t="s">
        <v>10</v>
      </c>
      <c r="F8398">
        <v>16170</v>
      </c>
    </row>
    <row r="8399" spans="1:6" x14ac:dyDescent="0.25">
      <c r="A8399" t="s">
        <v>15691</v>
      </c>
      <c r="B8399" t="s">
        <v>15692</v>
      </c>
      <c r="C8399" s="1">
        <v>44083</v>
      </c>
      <c r="D8399" t="b">
        <v>1</v>
      </c>
      <c r="E8399" t="s">
        <v>10</v>
      </c>
      <c r="F8399">
        <v>7206</v>
      </c>
    </row>
    <row r="8400" spans="1:6" x14ac:dyDescent="0.25">
      <c r="A8400" t="s">
        <v>15693</v>
      </c>
      <c r="B8400" t="s">
        <v>15694</v>
      </c>
      <c r="C8400" s="1">
        <v>44083</v>
      </c>
      <c r="D8400" t="b">
        <v>1</v>
      </c>
      <c r="E8400" t="s">
        <v>10</v>
      </c>
      <c r="F8400">
        <v>10489</v>
      </c>
    </row>
    <row r="8401" spans="1:6" x14ac:dyDescent="0.25">
      <c r="A8401" t="s">
        <v>15695</v>
      </c>
      <c r="B8401" t="s">
        <v>15696</v>
      </c>
      <c r="C8401" s="1">
        <v>44083</v>
      </c>
      <c r="D8401" t="b">
        <v>1</v>
      </c>
      <c r="E8401" t="s">
        <v>10</v>
      </c>
      <c r="F8401">
        <v>15161</v>
      </c>
    </row>
    <row r="8402" spans="1:6" x14ac:dyDescent="0.25">
      <c r="A8402" t="s">
        <v>15697</v>
      </c>
      <c r="B8402" t="s">
        <v>15698</v>
      </c>
      <c r="C8402" s="1">
        <v>44083</v>
      </c>
      <c r="D8402" t="b">
        <v>1</v>
      </c>
      <c r="E8402" t="s">
        <v>10</v>
      </c>
      <c r="F8402">
        <v>7207</v>
      </c>
    </row>
    <row r="8403" spans="1:6" x14ac:dyDescent="0.25">
      <c r="A8403" t="s">
        <v>15699</v>
      </c>
      <c r="B8403" t="s">
        <v>15700</v>
      </c>
      <c r="C8403" s="1">
        <v>44083</v>
      </c>
      <c r="D8403" t="b">
        <v>1</v>
      </c>
      <c r="E8403" t="s">
        <v>10</v>
      </c>
      <c r="F8403">
        <v>7209</v>
      </c>
    </row>
    <row r="8404" spans="1:6" x14ac:dyDescent="0.25">
      <c r="A8404" t="s">
        <v>15701</v>
      </c>
      <c r="B8404" t="s">
        <v>15702</v>
      </c>
      <c r="C8404" s="1">
        <v>44083</v>
      </c>
      <c r="D8404" t="b">
        <v>1</v>
      </c>
      <c r="E8404" t="s">
        <v>10</v>
      </c>
      <c r="F8404">
        <v>7210</v>
      </c>
    </row>
    <row r="8405" spans="1:6" x14ac:dyDescent="0.25">
      <c r="A8405" t="s">
        <v>15703</v>
      </c>
      <c r="B8405" t="s">
        <v>15704</v>
      </c>
      <c r="C8405" s="1">
        <v>44083</v>
      </c>
      <c r="D8405" t="b">
        <v>1</v>
      </c>
      <c r="E8405" t="s">
        <v>10</v>
      </c>
      <c r="F8405">
        <v>7211</v>
      </c>
    </row>
    <row r="8406" spans="1:6" x14ac:dyDescent="0.25">
      <c r="A8406" t="s">
        <v>15705</v>
      </c>
      <c r="B8406" t="s">
        <v>15706</v>
      </c>
      <c r="C8406" s="1">
        <v>44083</v>
      </c>
      <c r="D8406" t="b">
        <v>1</v>
      </c>
      <c r="E8406" t="s">
        <v>10</v>
      </c>
      <c r="F8406">
        <v>7212</v>
      </c>
    </row>
    <row r="8407" spans="1:6" x14ac:dyDescent="0.25">
      <c r="A8407" t="s">
        <v>15707</v>
      </c>
      <c r="B8407" t="s">
        <v>15708</v>
      </c>
      <c r="C8407" s="1">
        <v>44083</v>
      </c>
      <c r="D8407" t="b">
        <v>1</v>
      </c>
      <c r="E8407" t="s">
        <v>10</v>
      </c>
      <c r="F8407">
        <v>11336</v>
      </c>
    </row>
    <row r="8408" spans="1:6" x14ac:dyDescent="0.25">
      <c r="A8408" t="s">
        <v>15709</v>
      </c>
      <c r="B8408" t="s">
        <v>15710</v>
      </c>
      <c r="C8408" s="1">
        <v>44083</v>
      </c>
      <c r="D8408" t="b">
        <v>1</v>
      </c>
      <c r="E8408" t="s">
        <v>10</v>
      </c>
      <c r="F8408">
        <v>7213</v>
      </c>
    </row>
    <row r="8409" spans="1:6" x14ac:dyDescent="0.25">
      <c r="A8409" t="s">
        <v>15711</v>
      </c>
      <c r="B8409" t="s">
        <v>15712</v>
      </c>
      <c r="C8409" s="1">
        <v>44083</v>
      </c>
      <c r="D8409" t="b">
        <v>1</v>
      </c>
      <c r="E8409" t="s">
        <v>10</v>
      </c>
      <c r="F8409">
        <v>9107</v>
      </c>
    </row>
    <row r="8410" spans="1:6" x14ac:dyDescent="0.25">
      <c r="A8410" t="s">
        <v>15713</v>
      </c>
      <c r="B8410" t="s">
        <v>15714</v>
      </c>
      <c r="C8410" s="1">
        <v>44083</v>
      </c>
      <c r="D8410" t="b">
        <v>1</v>
      </c>
      <c r="E8410" t="s">
        <v>10</v>
      </c>
      <c r="F8410">
        <v>9380</v>
      </c>
    </row>
    <row r="8411" spans="1:6" x14ac:dyDescent="0.25">
      <c r="A8411" t="s">
        <v>15715</v>
      </c>
      <c r="B8411" t="s">
        <v>15716</v>
      </c>
      <c r="C8411" s="1">
        <v>44083</v>
      </c>
      <c r="D8411" t="b">
        <v>1</v>
      </c>
      <c r="E8411" t="s">
        <v>10</v>
      </c>
      <c r="F8411">
        <v>7214</v>
      </c>
    </row>
    <row r="8412" spans="1:6" x14ac:dyDescent="0.25">
      <c r="A8412" t="s">
        <v>15717</v>
      </c>
      <c r="B8412" t="s">
        <v>15718</v>
      </c>
      <c r="C8412" s="1">
        <v>44083</v>
      </c>
      <c r="D8412" t="b">
        <v>1</v>
      </c>
      <c r="E8412" t="s">
        <v>10</v>
      </c>
      <c r="F8412">
        <v>9209</v>
      </c>
    </row>
    <row r="8413" spans="1:6" x14ac:dyDescent="0.25">
      <c r="A8413" t="s">
        <v>15719</v>
      </c>
      <c r="B8413" t="s">
        <v>15720</v>
      </c>
      <c r="C8413" s="1">
        <v>44083</v>
      </c>
      <c r="D8413" t="b">
        <v>1</v>
      </c>
      <c r="E8413" t="s">
        <v>10</v>
      </c>
      <c r="F8413">
        <v>7215</v>
      </c>
    </row>
    <row r="8414" spans="1:6" x14ac:dyDescent="0.25">
      <c r="A8414" t="s">
        <v>15721</v>
      </c>
      <c r="B8414" t="s">
        <v>15722</v>
      </c>
      <c r="C8414" s="1">
        <v>44083</v>
      </c>
      <c r="D8414" t="b">
        <v>1</v>
      </c>
      <c r="E8414" t="s">
        <v>10</v>
      </c>
      <c r="F8414">
        <v>467</v>
      </c>
    </row>
    <row r="8415" spans="1:6" x14ac:dyDescent="0.25">
      <c r="A8415" t="s">
        <v>15723</v>
      </c>
      <c r="B8415" t="s">
        <v>15724</v>
      </c>
      <c r="C8415" s="1">
        <v>44083</v>
      </c>
      <c r="D8415" t="b">
        <v>1</v>
      </c>
      <c r="E8415" t="s">
        <v>10</v>
      </c>
      <c r="F8415">
        <v>7217</v>
      </c>
    </row>
    <row r="8416" spans="1:6" x14ac:dyDescent="0.25">
      <c r="A8416" t="s">
        <v>15725</v>
      </c>
      <c r="B8416" t="s">
        <v>15726</v>
      </c>
      <c r="C8416" s="1">
        <v>44083</v>
      </c>
      <c r="D8416" t="b">
        <v>1</v>
      </c>
      <c r="E8416" t="s">
        <v>10</v>
      </c>
      <c r="F8416">
        <v>15787</v>
      </c>
    </row>
    <row r="8417" spans="1:6" x14ac:dyDescent="0.25">
      <c r="A8417" t="s">
        <v>15727</v>
      </c>
      <c r="B8417" t="s">
        <v>15728</v>
      </c>
      <c r="C8417" s="1">
        <v>44083</v>
      </c>
      <c r="D8417" t="b">
        <v>1</v>
      </c>
      <c r="E8417" t="s">
        <v>10</v>
      </c>
      <c r="F8417">
        <v>7219</v>
      </c>
    </row>
    <row r="8418" spans="1:6" x14ac:dyDescent="0.25">
      <c r="A8418" t="s">
        <v>15729</v>
      </c>
      <c r="B8418" t="s">
        <v>15730</v>
      </c>
      <c r="C8418" s="1">
        <v>44083</v>
      </c>
      <c r="D8418" t="b">
        <v>1</v>
      </c>
      <c r="E8418" t="s">
        <v>10</v>
      </c>
      <c r="F8418">
        <v>7221</v>
      </c>
    </row>
    <row r="8419" spans="1:6" x14ac:dyDescent="0.25">
      <c r="A8419" t="s">
        <v>15731</v>
      </c>
      <c r="B8419" t="s">
        <v>15732</v>
      </c>
      <c r="C8419" s="1">
        <v>44083</v>
      </c>
      <c r="D8419" t="b">
        <v>1</v>
      </c>
      <c r="E8419" t="s">
        <v>10</v>
      </c>
      <c r="F8419">
        <v>14817</v>
      </c>
    </row>
    <row r="8420" spans="1:6" x14ac:dyDescent="0.25">
      <c r="A8420" t="s">
        <v>15733</v>
      </c>
      <c r="B8420" t="s">
        <v>15734</v>
      </c>
      <c r="C8420" s="1">
        <v>44083</v>
      </c>
      <c r="D8420" t="b">
        <v>1</v>
      </c>
      <c r="E8420" t="s">
        <v>10</v>
      </c>
      <c r="F8420">
        <v>7223</v>
      </c>
    </row>
    <row r="8421" spans="1:6" x14ac:dyDescent="0.25">
      <c r="A8421" t="s">
        <v>15735</v>
      </c>
      <c r="B8421" t="s">
        <v>15736</v>
      </c>
      <c r="C8421" s="1">
        <v>44083</v>
      </c>
      <c r="D8421" t="b">
        <v>1</v>
      </c>
      <c r="E8421" t="s">
        <v>10</v>
      </c>
      <c r="F8421">
        <v>7224</v>
      </c>
    </row>
    <row r="8422" spans="1:6" x14ac:dyDescent="0.25">
      <c r="A8422" t="s">
        <v>15737</v>
      </c>
      <c r="B8422" t="s">
        <v>15738</v>
      </c>
      <c r="C8422" s="1">
        <v>44083</v>
      </c>
      <c r="D8422" t="b">
        <v>1</v>
      </c>
      <c r="E8422" t="s">
        <v>10</v>
      </c>
      <c r="F8422">
        <v>7225</v>
      </c>
    </row>
    <row r="8423" spans="1:6" x14ac:dyDescent="0.25">
      <c r="A8423" t="s">
        <v>15739</v>
      </c>
      <c r="B8423" t="s">
        <v>15740</v>
      </c>
      <c r="C8423" s="1">
        <v>44083</v>
      </c>
      <c r="D8423" t="b">
        <v>1</v>
      </c>
      <c r="E8423" t="s">
        <v>10</v>
      </c>
      <c r="F8423">
        <v>14094</v>
      </c>
    </row>
    <row r="8424" spans="1:6" x14ac:dyDescent="0.25">
      <c r="A8424" t="s">
        <v>15741</v>
      </c>
      <c r="B8424" t="s">
        <v>15742</v>
      </c>
      <c r="C8424" s="1">
        <v>44083</v>
      </c>
      <c r="D8424" t="b">
        <v>1</v>
      </c>
      <c r="E8424" t="s">
        <v>10</v>
      </c>
      <c r="F8424">
        <v>7226</v>
      </c>
    </row>
    <row r="8425" spans="1:6" x14ac:dyDescent="0.25">
      <c r="A8425" t="s">
        <v>15743</v>
      </c>
      <c r="B8425" t="s">
        <v>15744</v>
      </c>
      <c r="C8425" s="1">
        <v>44083</v>
      </c>
      <c r="D8425" t="b">
        <v>1</v>
      </c>
      <c r="E8425" t="s">
        <v>10</v>
      </c>
      <c r="F8425">
        <v>8057</v>
      </c>
    </row>
    <row r="8426" spans="1:6" x14ac:dyDescent="0.25">
      <c r="A8426" t="s">
        <v>15745</v>
      </c>
      <c r="B8426" t="s">
        <v>15746</v>
      </c>
      <c r="C8426" s="1">
        <v>44083</v>
      </c>
      <c r="D8426" t="b">
        <v>1</v>
      </c>
      <c r="E8426" t="s">
        <v>10</v>
      </c>
      <c r="F8426">
        <v>7227</v>
      </c>
    </row>
    <row r="8427" spans="1:6" x14ac:dyDescent="0.25">
      <c r="A8427" t="s">
        <v>15747</v>
      </c>
      <c r="B8427" t="s">
        <v>15748</v>
      </c>
      <c r="C8427" s="1">
        <v>44083</v>
      </c>
      <c r="D8427" t="b">
        <v>1</v>
      </c>
      <c r="E8427" t="s">
        <v>10</v>
      </c>
      <c r="F8427">
        <v>7228</v>
      </c>
    </row>
    <row r="8428" spans="1:6" x14ac:dyDescent="0.25">
      <c r="A8428" t="s">
        <v>15749</v>
      </c>
      <c r="B8428" t="s">
        <v>15750</v>
      </c>
      <c r="C8428" s="1">
        <v>44083</v>
      </c>
      <c r="D8428" t="b">
        <v>1</v>
      </c>
      <c r="E8428" t="s">
        <v>10</v>
      </c>
      <c r="F8428">
        <v>7231</v>
      </c>
    </row>
    <row r="8429" spans="1:6" x14ac:dyDescent="0.25">
      <c r="A8429" t="s">
        <v>15751</v>
      </c>
      <c r="B8429" t="s">
        <v>15752</v>
      </c>
      <c r="C8429" s="1">
        <v>44083</v>
      </c>
      <c r="D8429" t="b">
        <v>1</v>
      </c>
      <c r="E8429" t="s">
        <v>10</v>
      </c>
      <c r="F8429">
        <v>9244</v>
      </c>
    </row>
    <row r="8430" spans="1:6" x14ac:dyDescent="0.25">
      <c r="A8430" t="s">
        <v>15753</v>
      </c>
      <c r="B8430" t="s">
        <v>15754</v>
      </c>
      <c r="C8430" s="1">
        <v>44083</v>
      </c>
      <c r="D8430" t="b">
        <v>1</v>
      </c>
      <c r="E8430" t="s">
        <v>10</v>
      </c>
      <c r="F8430">
        <v>7232</v>
      </c>
    </row>
    <row r="8431" spans="1:6" x14ac:dyDescent="0.25">
      <c r="A8431" t="s">
        <v>15755</v>
      </c>
      <c r="B8431" t="s">
        <v>15756</v>
      </c>
      <c r="C8431" s="1">
        <v>44083</v>
      </c>
      <c r="D8431" t="b">
        <v>1</v>
      </c>
      <c r="E8431" t="s">
        <v>10</v>
      </c>
      <c r="F8431">
        <v>7757</v>
      </c>
    </row>
    <row r="8432" spans="1:6" x14ac:dyDescent="0.25">
      <c r="A8432" t="s">
        <v>15757</v>
      </c>
      <c r="B8432" t="s">
        <v>15758</v>
      </c>
      <c r="C8432" s="1">
        <v>44083</v>
      </c>
      <c r="D8432" t="b">
        <v>1</v>
      </c>
      <c r="E8432" t="s">
        <v>10</v>
      </c>
      <c r="F8432">
        <v>7878</v>
      </c>
    </row>
    <row r="8433" spans="1:6" x14ac:dyDescent="0.25">
      <c r="A8433" t="s">
        <v>15759</v>
      </c>
      <c r="B8433" t="s">
        <v>15760</v>
      </c>
      <c r="C8433" s="1">
        <v>44083</v>
      </c>
      <c r="D8433" t="b">
        <v>1</v>
      </c>
      <c r="E8433" t="s">
        <v>10</v>
      </c>
      <c r="F8433">
        <v>7233</v>
      </c>
    </row>
    <row r="8434" spans="1:6" x14ac:dyDescent="0.25">
      <c r="A8434" t="s">
        <v>15761</v>
      </c>
      <c r="B8434" t="s">
        <v>15762</v>
      </c>
      <c r="C8434" s="1">
        <v>44083</v>
      </c>
      <c r="D8434" t="b">
        <v>1</v>
      </c>
      <c r="E8434" t="s">
        <v>10</v>
      </c>
      <c r="F8434">
        <v>7234</v>
      </c>
    </row>
    <row r="8435" spans="1:6" x14ac:dyDescent="0.25">
      <c r="A8435" t="s">
        <v>15763</v>
      </c>
      <c r="B8435" t="s">
        <v>15764</v>
      </c>
      <c r="C8435" s="1">
        <v>44083</v>
      </c>
      <c r="D8435" t="b">
        <v>1</v>
      </c>
      <c r="E8435" t="s">
        <v>10</v>
      </c>
      <c r="F8435">
        <v>16058</v>
      </c>
    </row>
    <row r="8436" spans="1:6" x14ac:dyDescent="0.25">
      <c r="A8436" t="s">
        <v>15765</v>
      </c>
      <c r="B8436" t="s">
        <v>15766</v>
      </c>
      <c r="C8436" s="1">
        <v>44083</v>
      </c>
      <c r="D8436" t="b">
        <v>1</v>
      </c>
      <c r="E8436" t="s">
        <v>10</v>
      </c>
      <c r="F8436">
        <v>16212</v>
      </c>
    </row>
    <row r="8437" spans="1:6" x14ac:dyDescent="0.25">
      <c r="A8437" t="s">
        <v>15767</v>
      </c>
      <c r="B8437" t="s">
        <v>15768</v>
      </c>
      <c r="C8437" s="1">
        <v>44083</v>
      </c>
      <c r="D8437" t="b">
        <v>1</v>
      </c>
      <c r="E8437" t="s">
        <v>10</v>
      </c>
      <c r="F8437">
        <v>7272</v>
      </c>
    </row>
    <row r="8438" spans="1:6" x14ac:dyDescent="0.25">
      <c r="A8438" t="s">
        <v>15769</v>
      </c>
      <c r="B8438" t="s">
        <v>15770</v>
      </c>
      <c r="C8438" s="1">
        <v>44083</v>
      </c>
      <c r="D8438" t="b">
        <v>1</v>
      </c>
      <c r="E8438" t="s">
        <v>10</v>
      </c>
      <c r="F8438">
        <v>396</v>
      </c>
    </row>
    <row r="8439" spans="1:6" x14ac:dyDescent="0.25">
      <c r="A8439" t="s">
        <v>15771</v>
      </c>
      <c r="C8439" s="1">
        <v>44083</v>
      </c>
      <c r="D8439" t="b">
        <v>1</v>
      </c>
      <c r="E8439" t="s">
        <v>10</v>
      </c>
      <c r="F8439">
        <v>8188</v>
      </c>
    </row>
    <row r="8440" spans="1:6" x14ac:dyDescent="0.25">
      <c r="A8440" t="s">
        <v>15772</v>
      </c>
      <c r="B8440" t="s">
        <v>15773</v>
      </c>
      <c r="C8440" s="1">
        <v>44083</v>
      </c>
      <c r="D8440" t="b">
        <v>1</v>
      </c>
      <c r="E8440" t="s">
        <v>10</v>
      </c>
      <c r="F8440">
        <v>15597</v>
      </c>
    </row>
    <row r="8441" spans="1:6" x14ac:dyDescent="0.25">
      <c r="A8441" t="s">
        <v>15774</v>
      </c>
      <c r="C8441" s="1">
        <v>44083</v>
      </c>
      <c r="D8441" t="b">
        <v>1</v>
      </c>
      <c r="E8441" t="s">
        <v>10</v>
      </c>
      <c r="F8441">
        <v>15600</v>
      </c>
    </row>
    <row r="8442" spans="1:6" x14ac:dyDescent="0.25">
      <c r="A8442" t="s">
        <v>15775</v>
      </c>
      <c r="B8442" t="s">
        <v>15776</v>
      </c>
      <c r="C8442" s="1">
        <v>44083</v>
      </c>
      <c r="D8442" t="b">
        <v>1</v>
      </c>
      <c r="E8442" t="s">
        <v>10</v>
      </c>
      <c r="F8442">
        <v>12478</v>
      </c>
    </row>
    <row r="8443" spans="1:6" x14ac:dyDescent="0.25">
      <c r="A8443" t="s">
        <v>15777</v>
      </c>
      <c r="B8443" t="s">
        <v>15778</v>
      </c>
      <c r="C8443" s="1">
        <v>44083</v>
      </c>
      <c r="D8443" t="b">
        <v>1</v>
      </c>
      <c r="E8443" t="s">
        <v>10</v>
      </c>
      <c r="F8443">
        <v>13351</v>
      </c>
    </row>
    <row r="8444" spans="1:6" x14ac:dyDescent="0.25">
      <c r="A8444" t="s">
        <v>15779</v>
      </c>
      <c r="B8444" t="s">
        <v>15780</v>
      </c>
      <c r="C8444" s="1">
        <v>44083</v>
      </c>
      <c r="D8444" t="b">
        <v>1</v>
      </c>
      <c r="E8444" t="s">
        <v>10</v>
      </c>
      <c r="F8444">
        <v>14697</v>
      </c>
    </row>
    <row r="8445" spans="1:6" x14ac:dyDescent="0.25">
      <c r="A8445" t="s">
        <v>15781</v>
      </c>
      <c r="B8445" t="s">
        <v>15782</v>
      </c>
      <c r="C8445" s="1">
        <v>44083</v>
      </c>
      <c r="D8445" t="b">
        <v>1</v>
      </c>
      <c r="E8445" t="s">
        <v>10</v>
      </c>
      <c r="F8445">
        <v>2509</v>
      </c>
    </row>
    <row r="8446" spans="1:6" x14ac:dyDescent="0.25">
      <c r="A8446" t="s">
        <v>15783</v>
      </c>
      <c r="B8446" t="s">
        <v>15784</v>
      </c>
      <c r="C8446" s="1">
        <v>44083</v>
      </c>
      <c r="D8446" t="b">
        <v>1</v>
      </c>
      <c r="E8446" t="s">
        <v>10</v>
      </c>
      <c r="F8446">
        <v>16935</v>
      </c>
    </row>
    <row r="8447" spans="1:6" x14ac:dyDescent="0.25">
      <c r="A8447" t="s">
        <v>15785</v>
      </c>
      <c r="B8447" t="s">
        <v>15786</v>
      </c>
      <c r="C8447" s="1">
        <v>44083</v>
      </c>
      <c r="D8447" t="b">
        <v>1</v>
      </c>
      <c r="E8447" t="s">
        <v>10</v>
      </c>
      <c r="F8447">
        <v>15822</v>
      </c>
    </row>
    <row r="8448" spans="1:6" x14ac:dyDescent="0.25">
      <c r="A8448" t="s">
        <v>15787</v>
      </c>
      <c r="B8448" t="s">
        <v>15788</v>
      </c>
      <c r="C8448" s="1">
        <v>44083</v>
      </c>
      <c r="D8448" t="b">
        <v>1</v>
      </c>
      <c r="E8448" t="s">
        <v>10</v>
      </c>
      <c r="F8448">
        <v>7237</v>
      </c>
    </row>
    <row r="8449" spans="1:6" x14ac:dyDescent="0.25">
      <c r="A8449" t="s">
        <v>15789</v>
      </c>
      <c r="B8449" t="s">
        <v>15790</v>
      </c>
      <c r="C8449" s="1">
        <v>44083</v>
      </c>
      <c r="D8449" t="b">
        <v>1</v>
      </c>
      <c r="E8449" t="s">
        <v>10</v>
      </c>
      <c r="F8449">
        <v>14353</v>
      </c>
    </row>
    <row r="8450" spans="1:6" x14ac:dyDescent="0.25">
      <c r="A8450" t="s">
        <v>15791</v>
      </c>
      <c r="B8450" t="s">
        <v>15792</v>
      </c>
      <c r="C8450" s="1">
        <v>44083</v>
      </c>
      <c r="D8450" t="b">
        <v>1</v>
      </c>
      <c r="E8450" t="s">
        <v>10</v>
      </c>
      <c r="F8450">
        <v>7238</v>
      </c>
    </row>
    <row r="8451" spans="1:6" x14ac:dyDescent="0.25">
      <c r="A8451" t="s">
        <v>15793</v>
      </c>
      <c r="B8451" t="s">
        <v>15794</v>
      </c>
      <c r="C8451" s="1">
        <v>44083</v>
      </c>
      <c r="D8451" t="b">
        <v>1</v>
      </c>
      <c r="E8451" t="s">
        <v>10</v>
      </c>
      <c r="F8451">
        <v>7239</v>
      </c>
    </row>
    <row r="8452" spans="1:6" x14ac:dyDescent="0.25">
      <c r="A8452" t="s">
        <v>15795</v>
      </c>
      <c r="B8452" t="s">
        <v>15796</v>
      </c>
      <c r="C8452" s="1">
        <v>44083</v>
      </c>
      <c r="D8452" t="b">
        <v>1</v>
      </c>
      <c r="E8452" t="s">
        <v>10</v>
      </c>
      <c r="F8452">
        <v>15456</v>
      </c>
    </row>
    <row r="8453" spans="1:6" x14ac:dyDescent="0.25">
      <c r="A8453" t="s">
        <v>15797</v>
      </c>
      <c r="B8453" t="s">
        <v>15798</v>
      </c>
      <c r="C8453" s="1">
        <v>44083</v>
      </c>
      <c r="D8453" t="b">
        <v>1</v>
      </c>
      <c r="E8453" t="s">
        <v>10</v>
      </c>
      <c r="F8453">
        <v>7240</v>
      </c>
    </row>
    <row r="8454" spans="1:6" x14ac:dyDescent="0.25">
      <c r="A8454" t="s">
        <v>15799</v>
      </c>
      <c r="B8454" t="s">
        <v>15800</v>
      </c>
      <c r="C8454" s="1">
        <v>44083</v>
      </c>
      <c r="D8454" t="b">
        <v>1</v>
      </c>
      <c r="E8454" t="s">
        <v>10</v>
      </c>
      <c r="F8454">
        <v>7241</v>
      </c>
    </row>
    <row r="8455" spans="1:6" x14ac:dyDescent="0.25">
      <c r="A8455" t="s">
        <v>15801</v>
      </c>
      <c r="B8455" t="s">
        <v>15802</v>
      </c>
      <c r="C8455" s="1">
        <v>44083</v>
      </c>
      <c r="D8455" t="b">
        <v>1</v>
      </c>
      <c r="E8455" t="s">
        <v>10</v>
      </c>
      <c r="F8455">
        <v>14145</v>
      </c>
    </row>
    <row r="8456" spans="1:6" x14ac:dyDescent="0.25">
      <c r="A8456" t="s">
        <v>15803</v>
      </c>
      <c r="B8456" t="s">
        <v>15804</v>
      </c>
      <c r="C8456" s="1">
        <v>44083</v>
      </c>
      <c r="D8456" t="b">
        <v>1</v>
      </c>
      <c r="E8456" t="s">
        <v>10</v>
      </c>
      <c r="F8456">
        <v>14146</v>
      </c>
    </row>
    <row r="8457" spans="1:6" x14ac:dyDescent="0.25">
      <c r="A8457" t="s">
        <v>15805</v>
      </c>
      <c r="B8457" t="s">
        <v>15806</v>
      </c>
      <c r="C8457" s="1">
        <v>44083</v>
      </c>
      <c r="D8457" t="b">
        <v>1</v>
      </c>
      <c r="E8457" t="s">
        <v>10</v>
      </c>
      <c r="F8457">
        <v>14147</v>
      </c>
    </row>
    <row r="8458" spans="1:6" x14ac:dyDescent="0.25">
      <c r="A8458" t="s">
        <v>15807</v>
      </c>
      <c r="B8458" t="s">
        <v>15808</v>
      </c>
      <c r="C8458" s="1">
        <v>44083</v>
      </c>
      <c r="D8458" t="b">
        <v>1</v>
      </c>
      <c r="E8458" t="s">
        <v>10</v>
      </c>
      <c r="F8458">
        <v>14148</v>
      </c>
    </row>
    <row r="8459" spans="1:6" x14ac:dyDescent="0.25">
      <c r="A8459" t="s">
        <v>15809</v>
      </c>
      <c r="B8459" t="s">
        <v>15810</v>
      </c>
      <c r="C8459" s="1">
        <v>44083</v>
      </c>
      <c r="D8459" t="b">
        <v>1</v>
      </c>
      <c r="E8459" t="s">
        <v>10</v>
      </c>
      <c r="F8459">
        <v>14149</v>
      </c>
    </row>
    <row r="8460" spans="1:6" x14ac:dyDescent="0.25">
      <c r="A8460" t="s">
        <v>15811</v>
      </c>
      <c r="B8460" t="s">
        <v>15812</v>
      </c>
      <c r="C8460" s="1">
        <v>44083</v>
      </c>
      <c r="D8460" t="b">
        <v>1</v>
      </c>
      <c r="E8460" t="s">
        <v>10</v>
      </c>
      <c r="F8460">
        <v>14150</v>
      </c>
    </row>
    <row r="8461" spans="1:6" x14ac:dyDescent="0.25">
      <c r="A8461" t="s">
        <v>15813</v>
      </c>
      <c r="B8461" t="s">
        <v>15814</v>
      </c>
      <c r="C8461" s="1">
        <v>44083</v>
      </c>
      <c r="D8461" t="b">
        <v>1</v>
      </c>
      <c r="E8461" t="s">
        <v>10</v>
      </c>
      <c r="F8461">
        <v>7242</v>
      </c>
    </row>
    <row r="8462" spans="1:6" x14ac:dyDescent="0.25">
      <c r="A8462" t="s">
        <v>15815</v>
      </c>
      <c r="B8462" t="s">
        <v>15816</v>
      </c>
      <c r="C8462" s="1">
        <v>44083</v>
      </c>
      <c r="D8462" t="b">
        <v>1</v>
      </c>
      <c r="E8462" t="s">
        <v>10</v>
      </c>
      <c r="F8462">
        <v>7244</v>
      </c>
    </row>
    <row r="8463" spans="1:6" x14ac:dyDescent="0.25">
      <c r="A8463" t="s">
        <v>15817</v>
      </c>
      <c r="B8463" t="s">
        <v>15818</v>
      </c>
      <c r="C8463" s="1">
        <v>44083</v>
      </c>
      <c r="D8463" t="b">
        <v>1</v>
      </c>
      <c r="E8463" t="s">
        <v>10</v>
      </c>
      <c r="F8463">
        <v>7245</v>
      </c>
    </row>
    <row r="8464" spans="1:6" x14ac:dyDescent="0.25">
      <c r="A8464" t="s">
        <v>15819</v>
      </c>
      <c r="B8464" t="s">
        <v>15820</v>
      </c>
      <c r="C8464" s="1">
        <v>44083</v>
      </c>
      <c r="D8464" t="b">
        <v>1</v>
      </c>
      <c r="E8464" t="s">
        <v>10</v>
      </c>
      <c r="F8464">
        <v>7246</v>
      </c>
    </row>
    <row r="8465" spans="1:6" x14ac:dyDescent="0.25">
      <c r="A8465" t="s">
        <v>15821</v>
      </c>
      <c r="B8465" t="s">
        <v>15822</v>
      </c>
      <c r="C8465" s="1">
        <v>44083</v>
      </c>
      <c r="D8465" t="b">
        <v>1</v>
      </c>
      <c r="E8465" t="s">
        <v>10</v>
      </c>
      <c r="F8465">
        <v>7247</v>
      </c>
    </row>
    <row r="8466" spans="1:6" x14ac:dyDescent="0.25">
      <c r="A8466" t="s">
        <v>15823</v>
      </c>
      <c r="B8466" t="s">
        <v>15824</v>
      </c>
      <c r="C8466" s="1">
        <v>44083</v>
      </c>
      <c r="D8466" t="b">
        <v>1</v>
      </c>
      <c r="E8466" t="s">
        <v>10</v>
      </c>
      <c r="F8466">
        <v>7248</v>
      </c>
    </row>
    <row r="8467" spans="1:6" x14ac:dyDescent="0.25">
      <c r="A8467" t="s">
        <v>15825</v>
      </c>
      <c r="B8467" t="s">
        <v>15826</v>
      </c>
      <c r="C8467" s="1">
        <v>44083</v>
      </c>
      <c r="D8467" t="b">
        <v>1</v>
      </c>
      <c r="E8467" t="s">
        <v>10</v>
      </c>
      <c r="F8467">
        <v>7249</v>
      </c>
    </row>
    <row r="8468" spans="1:6" x14ac:dyDescent="0.25">
      <c r="A8468" t="s">
        <v>15827</v>
      </c>
      <c r="B8468" t="s">
        <v>15828</v>
      </c>
      <c r="C8468" s="1">
        <v>44083</v>
      </c>
      <c r="D8468" t="b">
        <v>1</v>
      </c>
      <c r="E8468" t="s">
        <v>10</v>
      </c>
      <c r="F8468">
        <v>7250</v>
      </c>
    </row>
    <row r="8469" spans="1:6" x14ac:dyDescent="0.25">
      <c r="A8469" t="s">
        <v>15829</v>
      </c>
      <c r="B8469" t="s">
        <v>15830</v>
      </c>
      <c r="C8469" s="1">
        <v>44083</v>
      </c>
      <c r="D8469" t="b">
        <v>1</v>
      </c>
      <c r="E8469" t="s">
        <v>10</v>
      </c>
      <c r="F8469">
        <v>7251</v>
      </c>
    </row>
    <row r="8470" spans="1:6" x14ac:dyDescent="0.25">
      <c r="A8470" t="s">
        <v>15831</v>
      </c>
      <c r="B8470" t="s">
        <v>15832</v>
      </c>
      <c r="C8470" s="1">
        <v>44083</v>
      </c>
      <c r="D8470" t="b">
        <v>1</v>
      </c>
      <c r="E8470" t="s">
        <v>10</v>
      </c>
      <c r="F8470">
        <v>7252</v>
      </c>
    </row>
    <row r="8471" spans="1:6" x14ac:dyDescent="0.25">
      <c r="A8471" t="s">
        <v>15833</v>
      </c>
      <c r="B8471" t="s">
        <v>15834</v>
      </c>
      <c r="C8471" s="1">
        <v>44083</v>
      </c>
      <c r="D8471" t="b">
        <v>1</v>
      </c>
      <c r="E8471" t="s">
        <v>10</v>
      </c>
      <c r="F8471">
        <v>7253</v>
      </c>
    </row>
    <row r="8472" spans="1:6" x14ac:dyDescent="0.25">
      <c r="A8472" t="s">
        <v>15835</v>
      </c>
      <c r="B8472" t="s">
        <v>15836</v>
      </c>
      <c r="C8472" s="1">
        <v>44083</v>
      </c>
      <c r="D8472" t="b">
        <v>1</v>
      </c>
      <c r="E8472" t="s">
        <v>10</v>
      </c>
      <c r="F8472">
        <v>7254</v>
      </c>
    </row>
    <row r="8473" spans="1:6" x14ac:dyDescent="0.25">
      <c r="A8473" t="s">
        <v>15837</v>
      </c>
      <c r="B8473" t="s">
        <v>15838</v>
      </c>
      <c r="C8473" s="1">
        <v>44083</v>
      </c>
      <c r="D8473" t="b">
        <v>1</v>
      </c>
      <c r="E8473" t="s">
        <v>10</v>
      </c>
      <c r="F8473">
        <v>7256</v>
      </c>
    </row>
    <row r="8474" spans="1:6" x14ac:dyDescent="0.25">
      <c r="A8474" t="s">
        <v>15839</v>
      </c>
      <c r="B8474" t="s">
        <v>15840</v>
      </c>
      <c r="C8474" s="1">
        <v>44083</v>
      </c>
      <c r="D8474" t="b">
        <v>1</v>
      </c>
      <c r="E8474" t="s">
        <v>10</v>
      </c>
      <c r="F8474">
        <v>1092</v>
      </c>
    </row>
    <row r="8475" spans="1:6" x14ac:dyDescent="0.25">
      <c r="A8475" t="s">
        <v>15841</v>
      </c>
      <c r="B8475" t="s">
        <v>15842</v>
      </c>
      <c r="C8475" s="1">
        <v>44083</v>
      </c>
      <c r="D8475" t="b">
        <v>1</v>
      </c>
      <c r="E8475" t="s">
        <v>10</v>
      </c>
      <c r="F8475">
        <v>1093</v>
      </c>
    </row>
    <row r="8476" spans="1:6" x14ac:dyDescent="0.25">
      <c r="A8476" t="s">
        <v>15843</v>
      </c>
      <c r="B8476" t="s">
        <v>15844</v>
      </c>
      <c r="C8476" s="1">
        <v>44083</v>
      </c>
      <c r="D8476" t="b">
        <v>1</v>
      </c>
      <c r="E8476" t="s">
        <v>10</v>
      </c>
      <c r="F8476">
        <v>3751</v>
      </c>
    </row>
    <row r="8477" spans="1:6" x14ac:dyDescent="0.25">
      <c r="A8477" t="s">
        <v>15845</v>
      </c>
      <c r="B8477" t="s">
        <v>15846</v>
      </c>
      <c r="C8477" s="1">
        <v>44083</v>
      </c>
      <c r="D8477" t="b">
        <v>1</v>
      </c>
      <c r="E8477" t="s">
        <v>10</v>
      </c>
      <c r="F8477">
        <v>14113</v>
      </c>
    </row>
    <row r="8478" spans="1:6" x14ac:dyDescent="0.25">
      <c r="A8478" t="s">
        <v>15847</v>
      </c>
      <c r="B8478" t="s">
        <v>15848</v>
      </c>
      <c r="C8478" s="1">
        <v>44083</v>
      </c>
      <c r="D8478" t="b">
        <v>1</v>
      </c>
      <c r="E8478" t="s">
        <v>10</v>
      </c>
      <c r="F8478">
        <v>7261</v>
      </c>
    </row>
    <row r="8479" spans="1:6" x14ac:dyDescent="0.25">
      <c r="A8479" t="s">
        <v>15849</v>
      </c>
      <c r="B8479" t="s">
        <v>15850</v>
      </c>
      <c r="C8479" s="1">
        <v>44083</v>
      </c>
      <c r="D8479" t="b">
        <v>1</v>
      </c>
      <c r="E8479" t="s">
        <v>10</v>
      </c>
      <c r="F8479">
        <v>8063</v>
      </c>
    </row>
    <row r="8480" spans="1:6" x14ac:dyDescent="0.25">
      <c r="A8480" t="s">
        <v>15851</v>
      </c>
      <c r="B8480" t="s">
        <v>15852</v>
      </c>
      <c r="C8480" s="1">
        <v>44083</v>
      </c>
      <c r="D8480" t="b">
        <v>1</v>
      </c>
      <c r="E8480" t="s">
        <v>10</v>
      </c>
      <c r="F8480">
        <v>16037</v>
      </c>
    </row>
    <row r="8481" spans="1:6" x14ac:dyDescent="0.25">
      <c r="A8481" t="s">
        <v>15853</v>
      </c>
      <c r="B8481" t="s">
        <v>15854</v>
      </c>
      <c r="C8481" s="1">
        <v>44083</v>
      </c>
      <c r="D8481" t="b">
        <v>1</v>
      </c>
      <c r="E8481" t="s">
        <v>10</v>
      </c>
      <c r="F8481">
        <v>7264</v>
      </c>
    </row>
    <row r="8482" spans="1:6" x14ac:dyDescent="0.25">
      <c r="A8482" t="s">
        <v>15855</v>
      </c>
      <c r="B8482" t="s">
        <v>15856</v>
      </c>
      <c r="C8482" s="1">
        <v>44083</v>
      </c>
      <c r="D8482" t="b">
        <v>1</v>
      </c>
      <c r="E8482" t="s">
        <v>10</v>
      </c>
      <c r="F8482">
        <v>11109</v>
      </c>
    </row>
    <row r="8483" spans="1:6" x14ac:dyDescent="0.25">
      <c r="A8483" t="s">
        <v>15857</v>
      </c>
      <c r="B8483" t="s">
        <v>15858</v>
      </c>
      <c r="C8483" s="1">
        <v>44083</v>
      </c>
      <c r="D8483" t="b">
        <v>1</v>
      </c>
      <c r="E8483" t="s">
        <v>10</v>
      </c>
      <c r="F8483">
        <v>7269</v>
      </c>
    </row>
    <row r="8484" spans="1:6" x14ac:dyDescent="0.25">
      <c r="A8484" t="s">
        <v>15859</v>
      </c>
      <c r="B8484" t="s">
        <v>15860</v>
      </c>
      <c r="C8484" s="1">
        <v>44083</v>
      </c>
      <c r="D8484" t="b">
        <v>1</v>
      </c>
      <c r="E8484" t="s">
        <v>10</v>
      </c>
      <c r="F8484">
        <v>7270</v>
      </c>
    </row>
    <row r="8485" spans="1:6" x14ac:dyDescent="0.25">
      <c r="A8485" t="s">
        <v>15861</v>
      </c>
      <c r="B8485" t="s">
        <v>15862</v>
      </c>
      <c r="C8485" s="1">
        <v>44083</v>
      </c>
      <c r="D8485" t="b">
        <v>1</v>
      </c>
      <c r="E8485" t="s">
        <v>10</v>
      </c>
      <c r="F8485">
        <v>15068</v>
      </c>
    </row>
    <row r="8486" spans="1:6" x14ac:dyDescent="0.25">
      <c r="A8486" t="s">
        <v>15863</v>
      </c>
      <c r="B8486" t="s">
        <v>15864</v>
      </c>
      <c r="C8486" s="1">
        <v>44083</v>
      </c>
      <c r="D8486" t="b">
        <v>1</v>
      </c>
      <c r="E8486" t="s">
        <v>10</v>
      </c>
      <c r="F8486">
        <v>7271</v>
      </c>
    </row>
    <row r="8487" spans="1:6" x14ac:dyDescent="0.25">
      <c r="A8487" t="s">
        <v>15865</v>
      </c>
      <c r="B8487" t="s">
        <v>15866</v>
      </c>
      <c r="C8487" s="1">
        <v>44083</v>
      </c>
      <c r="D8487" t="b">
        <v>1</v>
      </c>
      <c r="E8487" t="s">
        <v>10</v>
      </c>
      <c r="F8487">
        <v>7273</v>
      </c>
    </row>
    <row r="8488" spans="1:6" x14ac:dyDescent="0.25">
      <c r="A8488" t="s">
        <v>15867</v>
      </c>
      <c r="B8488" t="s">
        <v>15868</v>
      </c>
      <c r="C8488" s="1">
        <v>44083</v>
      </c>
      <c r="D8488" t="b">
        <v>1</v>
      </c>
      <c r="E8488" t="s">
        <v>10</v>
      </c>
      <c r="F8488">
        <v>16042</v>
      </c>
    </row>
    <row r="8489" spans="1:6" x14ac:dyDescent="0.25">
      <c r="A8489" t="s">
        <v>15869</v>
      </c>
      <c r="B8489" t="s">
        <v>15870</v>
      </c>
      <c r="C8489" s="1">
        <v>44083</v>
      </c>
      <c r="D8489" t="b">
        <v>1</v>
      </c>
      <c r="E8489" t="s">
        <v>10</v>
      </c>
      <c r="F8489">
        <v>7274</v>
      </c>
    </row>
    <row r="8490" spans="1:6" x14ac:dyDescent="0.25">
      <c r="A8490" t="s">
        <v>15871</v>
      </c>
      <c r="B8490" t="s">
        <v>15872</v>
      </c>
      <c r="C8490" s="1">
        <v>44083</v>
      </c>
      <c r="D8490" t="b">
        <v>1</v>
      </c>
      <c r="E8490" t="s">
        <v>10</v>
      </c>
      <c r="F8490">
        <v>16885</v>
      </c>
    </row>
    <row r="8491" spans="1:6" x14ac:dyDescent="0.25">
      <c r="A8491" t="s">
        <v>15873</v>
      </c>
      <c r="B8491" t="s">
        <v>15874</v>
      </c>
      <c r="C8491" s="1">
        <v>44083</v>
      </c>
      <c r="D8491" t="b">
        <v>1</v>
      </c>
      <c r="E8491" t="s">
        <v>10</v>
      </c>
      <c r="F8491">
        <v>9919</v>
      </c>
    </row>
    <row r="8492" spans="1:6" x14ac:dyDescent="0.25">
      <c r="A8492" t="s">
        <v>15875</v>
      </c>
      <c r="B8492" t="s">
        <v>15876</v>
      </c>
      <c r="C8492" s="1">
        <v>44083</v>
      </c>
      <c r="D8492" t="b">
        <v>1</v>
      </c>
      <c r="E8492" t="s">
        <v>10</v>
      </c>
      <c r="F8492">
        <v>7275</v>
      </c>
    </row>
    <row r="8493" spans="1:6" x14ac:dyDescent="0.25">
      <c r="A8493" t="s">
        <v>15877</v>
      </c>
      <c r="B8493" t="s">
        <v>15878</v>
      </c>
      <c r="C8493" s="1">
        <v>44083</v>
      </c>
      <c r="D8493" t="b">
        <v>1</v>
      </c>
      <c r="E8493" t="s">
        <v>10</v>
      </c>
      <c r="F8493">
        <v>7582</v>
      </c>
    </row>
    <row r="8494" spans="1:6" x14ac:dyDescent="0.25">
      <c r="A8494" t="s">
        <v>15879</v>
      </c>
      <c r="B8494" t="s">
        <v>15880</v>
      </c>
      <c r="C8494" s="1">
        <v>44083</v>
      </c>
      <c r="D8494" t="b">
        <v>1</v>
      </c>
      <c r="E8494" t="s">
        <v>10</v>
      </c>
      <c r="F8494">
        <v>15901</v>
      </c>
    </row>
    <row r="8495" spans="1:6" x14ac:dyDescent="0.25">
      <c r="A8495" t="s">
        <v>15881</v>
      </c>
      <c r="B8495" t="s">
        <v>15882</v>
      </c>
      <c r="C8495" s="1">
        <v>44083</v>
      </c>
      <c r="D8495" t="b">
        <v>1</v>
      </c>
      <c r="E8495" t="s">
        <v>10</v>
      </c>
      <c r="F8495">
        <v>16954</v>
      </c>
    </row>
    <row r="8496" spans="1:6" x14ac:dyDescent="0.25">
      <c r="A8496" t="s">
        <v>15883</v>
      </c>
      <c r="B8496" t="s">
        <v>15884</v>
      </c>
      <c r="C8496" s="1">
        <v>44083</v>
      </c>
      <c r="D8496" t="b">
        <v>1</v>
      </c>
      <c r="E8496" t="s">
        <v>10</v>
      </c>
      <c r="F8496">
        <v>7278</v>
      </c>
    </row>
    <row r="8497" spans="1:6" x14ac:dyDescent="0.25">
      <c r="A8497" t="s">
        <v>15885</v>
      </c>
      <c r="B8497" t="s">
        <v>15886</v>
      </c>
      <c r="C8497" s="1">
        <v>44083</v>
      </c>
      <c r="D8497" t="b">
        <v>1</v>
      </c>
      <c r="E8497" t="s">
        <v>10</v>
      </c>
      <c r="F8497">
        <v>11489</v>
      </c>
    </row>
    <row r="8498" spans="1:6" x14ac:dyDescent="0.25">
      <c r="A8498" t="s">
        <v>15887</v>
      </c>
      <c r="B8498" t="s">
        <v>15888</v>
      </c>
      <c r="C8498" s="1">
        <v>44083</v>
      </c>
      <c r="D8498" t="b">
        <v>1</v>
      </c>
      <c r="E8498" t="s">
        <v>10</v>
      </c>
      <c r="F8498">
        <v>7279</v>
      </c>
    </row>
    <row r="8499" spans="1:6" x14ac:dyDescent="0.25">
      <c r="A8499" t="s">
        <v>15889</v>
      </c>
      <c r="B8499" t="s">
        <v>15890</v>
      </c>
      <c r="C8499" s="1">
        <v>44083</v>
      </c>
      <c r="D8499" t="b">
        <v>1</v>
      </c>
      <c r="E8499" t="s">
        <v>10</v>
      </c>
      <c r="F8499">
        <v>7281</v>
      </c>
    </row>
    <row r="8500" spans="1:6" x14ac:dyDescent="0.25">
      <c r="A8500" t="s">
        <v>15891</v>
      </c>
      <c r="B8500" t="s">
        <v>15892</v>
      </c>
      <c r="C8500" s="1">
        <v>44083</v>
      </c>
      <c r="D8500" t="b">
        <v>1</v>
      </c>
      <c r="E8500" t="s">
        <v>10</v>
      </c>
      <c r="F8500">
        <v>7282</v>
      </c>
    </row>
    <row r="8501" spans="1:6" x14ac:dyDescent="0.25">
      <c r="A8501" t="s">
        <v>15893</v>
      </c>
      <c r="B8501" t="s">
        <v>15894</v>
      </c>
      <c r="C8501" s="1">
        <v>44083</v>
      </c>
      <c r="D8501" t="b">
        <v>1</v>
      </c>
      <c r="E8501" t="s">
        <v>10</v>
      </c>
      <c r="F8501">
        <v>7879</v>
      </c>
    </row>
    <row r="8502" spans="1:6" x14ac:dyDescent="0.25">
      <c r="A8502" t="s">
        <v>15895</v>
      </c>
      <c r="B8502" t="s">
        <v>15896</v>
      </c>
      <c r="C8502" s="1">
        <v>44083</v>
      </c>
      <c r="D8502" t="b">
        <v>1</v>
      </c>
      <c r="E8502" t="s">
        <v>10</v>
      </c>
      <c r="F8502">
        <v>7283</v>
      </c>
    </row>
    <row r="8503" spans="1:6" x14ac:dyDescent="0.25">
      <c r="A8503" t="s">
        <v>15897</v>
      </c>
      <c r="B8503" t="s">
        <v>15898</v>
      </c>
      <c r="C8503" s="1">
        <v>44083</v>
      </c>
      <c r="D8503" t="b">
        <v>1</v>
      </c>
      <c r="E8503" t="s">
        <v>10</v>
      </c>
      <c r="F8503">
        <v>7284</v>
      </c>
    </row>
    <row r="8504" spans="1:6" x14ac:dyDescent="0.25">
      <c r="A8504" t="s">
        <v>15899</v>
      </c>
      <c r="B8504" t="s">
        <v>15900</v>
      </c>
      <c r="C8504" s="1">
        <v>44083</v>
      </c>
      <c r="D8504" t="b">
        <v>1</v>
      </c>
      <c r="E8504" t="s">
        <v>10</v>
      </c>
      <c r="F8504">
        <v>9221</v>
      </c>
    </row>
    <row r="8505" spans="1:6" x14ac:dyDescent="0.25">
      <c r="A8505" t="s">
        <v>15901</v>
      </c>
      <c r="C8505" s="1">
        <v>44083</v>
      </c>
      <c r="D8505" t="b">
        <v>1</v>
      </c>
      <c r="E8505" t="s">
        <v>10</v>
      </c>
      <c r="F8505">
        <v>11223</v>
      </c>
    </row>
    <row r="8506" spans="1:6" x14ac:dyDescent="0.25">
      <c r="A8506" t="s">
        <v>15902</v>
      </c>
      <c r="B8506" t="s">
        <v>15903</v>
      </c>
      <c r="C8506" s="1">
        <v>44083</v>
      </c>
      <c r="D8506" t="b">
        <v>1</v>
      </c>
      <c r="E8506" t="s">
        <v>10</v>
      </c>
      <c r="F8506">
        <v>7286</v>
      </c>
    </row>
    <row r="8507" spans="1:6" x14ac:dyDescent="0.25">
      <c r="A8507" t="s">
        <v>15904</v>
      </c>
      <c r="B8507" t="s">
        <v>15905</v>
      </c>
      <c r="C8507" s="1">
        <v>44083</v>
      </c>
      <c r="D8507" t="b">
        <v>1</v>
      </c>
      <c r="E8507" t="s">
        <v>10</v>
      </c>
      <c r="F8507">
        <v>7287</v>
      </c>
    </row>
    <row r="8508" spans="1:6" x14ac:dyDescent="0.25">
      <c r="A8508" t="s">
        <v>15906</v>
      </c>
      <c r="B8508" t="s">
        <v>15907</v>
      </c>
      <c r="C8508" s="1">
        <v>44083</v>
      </c>
      <c r="D8508" t="b">
        <v>1</v>
      </c>
      <c r="E8508" t="s">
        <v>10</v>
      </c>
      <c r="F8508">
        <v>7780</v>
      </c>
    </row>
    <row r="8509" spans="1:6" x14ac:dyDescent="0.25">
      <c r="A8509" t="s">
        <v>15908</v>
      </c>
      <c r="B8509" t="s">
        <v>15909</v>
      </c>
      <c r="C8509" s="1">
        <v>44083</v>
      </c>
      <c r="D8509" t="b">
        <v>1</v>
      </c>
      <c r="E8509" t="s">
        <v>10</v>
      </c>
      <c r="F8509">
        <v>7288</v>
      </c>
    </row>
    <row r="8510" spans="1:6" x14ac:dyDescent="0.25">
      <c r="A8510" t="s">
        <v>15910</v>
      </c>
      <c r="B8510" t="s">
        <v>15911</v>
      </c>
      <c r="C8510" s="1">
        <v>44083</v>
      </c>
      <c r="D8510" t="b">
        <v>1</v>
      </c>
      <c r="E8510" t="s">
        <v>10</v>
      </c>
      <c r="F8510">
        <v>7291</v>
      </c>
    </row>
    <row r="8511" spans="1:6" x14ac:dyDescent="0.25">
      <c r="A8511" t="s">
        <v>15912</v>
      </c>
      <c r="B8511" t="s">
        <v>15913</v>
      </c>
      <c r="C8511" s="1">
        <v>44083</v>
      </c>
      <c r="D8511" t="b">
        <v>1</v>
      </c>
      <c r="E8511" t="s">
        <v>10</v>
      </c>
      <c r="F8511">
        <v>7292</v>
      </c>
    </row>
    <row r="8512" spans="1:6" x14ac:dyDescent="0.25">
      <c r="A8512" t="s">
        <v>15914</v>
      </c>
      <c r="B8512" t="s">
        <v>15915</v>
      </c>
      <c r="C8512" s="1">
        <v>44083</v>
      </c>
      <c r="D8512" t="b">
        <v>1</v>
      </c>
      <c r="E8512" t="s">
        <v>10</v>
      </c>
      <c r="F8512">
        <v>7293</v>
      </c>
    </row>
    <row r="8513" spans="1:6" x14ac:dyDescent="0.25">
      <c r="A8513" t="s">
        <v>15916</v>
      </c>
      <c r="C8513" s="1">
        <v>44083</v>
      </c>
      <c r="D8513" t="b">
        <v>1</v>
      </c>
      <c r="E8513" t="s">
        <v>10</v>
      </c>
      <c r="F8513">
        <v>13262</v>
      </c>
    </row>
    <row r="8514" spans="1:6" x14ac:dyDescent="0.25">
      <c r="A8514" t="s">
        <v>15917</v>
      </c>
      <c r="C8514" s="1">
        <v>44083</v>
      </c>
      <c r="D8514" t="b">
        <v>1</v>
      </c>
      <c r="E8514" t="s">
        <v>10</v>
      </c>
      <c r="F8514">
        <v>10273</v>
      </c>
    </row>
    <row r="8515" spans="1:6" x14ac:dyDescent="0.25">
      <c r="A8515" t="s">
        <v>15918</v>
      </c>
      <c r="B8515" t="s">
        <v>15919</v>
      </c>
      <c r="C8515" s="1">
        <v>44083</v>
      </c>
      <c r="D8515" t="b">
        <v>1</v>
      </c>
      <c r="E8515" t="s">
        <v>10</v>
      </c>
      <c r="F8515">
        <v>17115</v>
      </c>
    </row>
    <row r="8516" spans="1:6" x14ac:dyDescent="0.25">
      <c r="A8516" t="s">
        <v>15920</v>
      </c>
      <c r="B8516" t="s">
        <v>15921</v>
      </c>
      <c r="C8516" s="1">
        <v>44083</v>
      </c>
      <c r="D8516" t="b">
        <v>1</v>
      </c>
      <c r="E8516" t="s">
        <v>10</v>
      </c>
      <c r="F8516">
        <v>16971</v>
      </c>
    </row>
    <row r="8517" spans="1:6" x14ac:dyDescent="0.25">
      <c r="A8517" t="s">
        <v>15922</v>
      </c>
      <c r="C8517" s="1">
        <v>44083</v>
      </c>
      <c r="D8517" t="b">
        <v>1</v>
      </c>
      <c r="E8517" t="s">
        <v>10</v>
      </c>
      <c r="F8517">
        <v>17121</v>
      </c>
    </row>
    <row r="8518" spans="1:6" x14ac:dyDescent="0.25">
      <c r="A8518" t="s">
        <v>15923</v>
      </c>
      <c r="B8518" t="s">
        <v>15924</v>
      </c>
      <c r="C8518" s="1">
        <v>44083</v>
      </c>
      <c r="D8518" t="b">
        <v>1</v>
      </c>
      <c r="E8518" t="s">
        <v>10</v>
      </c>
      <c r="F8518">
        <v>7295</v>
      </c>
    </row>
    <row r="8519" spans="1:6" x14ac:dyDescent="0.25">
      <c r="A8519" t="s">
        <v>15925</v>
      </c>
      <c r="B8519" t="s">
        <v>15926</v>
      </c>
      <c r="C8519" s="1">
        <v>44083</v>
      </c>
      <c r="D8519" t="b">
        <v>1</v>
      </c>
      <c r="E8519" t="s">
        <v>10</v>
      </c>
      <c r="F8519">
        <v>7296</v>
      </c>
    </row>
    <row r="8520" spans="1:6" x14ac:dyDescent="0.25">
      <c r="A8520" t="s">
        <v>15927</v>
      </c>
      <c r="B8520" t="s">
        <v>15928</v>
      </c>
      <c r="C8520" s="1">
        <v>44083</v>
      </c>
      <c r="D8520" t="b">
        <v>1</v>
      </c>
      <c r="E8520" t="s">
        <v>10</v>
      </c>
      <c r="F8520">
        <v>15997</v>
      </c>
    </row>
    <row r="8521" spans="1:6" x14ac:dyDescent="0.25">
      <c r="A8521" t="s">
        <v>15929</v>
      </c>
      <c r="B8521" t="s">
        <v>15930</v>
      </c>
      <c r="C8521" s="1">
        <v>44083</v>
      </c>
      <c r="D8521" t="b">
        <v>1</v>
      </c>
      <c r="E8521" t="s">
        <v>10</v>
      </c>
      <c r="F8521">
        <v>7297</v>
      </c>
    </row>
    <row r="8522" spans="1:6" x14ac:dyDescent="0.25">
      <c r="A8522" t="s">
        <v>15931</v>
      </c>
      <c r="B8522" t="s">
        <v>15932</v>
      </c>
      <c r="C8522" s="1">
        <v>44083</v>
      </c>
      <c r="D8522" t="b">
        <v>1</v>
      </c>
      <c r="E8522" t="s">
        <v>10</v>
      </c>
      <c r="F8522">
        <v>7298</v>
      </c>
    </row>
    <row r="8523" spans="1:6" x14ac:dyDescent="0.25">
      <c r="A8523" t="s">
        <v>15933</v>
      </c>
      <c r="B8523" t="s">
        <v>15934</v>
      </c>
      <c r="C8523" s="1">
        <v>44083</v>
      </c>
      <c r="D8523" t="b">
        <v>1</v>
      </c>
      <c r="E8523" t="s">
        <v>10</v>
      </c>
      <c r="F8523">
        <v>7299</v>
      </c>
    </row>
    <row r="8524" spans="1:6" x14ac:dyDescent="0.25">
      <c r="A8524" t="s">
        <v>15935</v>
      </c>
      <c r="B8524" t="s">
        <v>15936</v>
      </c>
      <c r="C8524" s="1">
        <v>44083</v>
      </c>
      <c r="D8524" t="b">
        <v>1</v>
      </c>
      <c r="E8524" t="s">
        <v>10</v>
      </c>
      <c r="F8524">
        <v>12860</v>
      </c>
    </row>
    <row r="8525" spans="1:6" x14ac:dyDescent="0.25">
      <c r="A8525" t="s">
        <v>15937</v>
      </c>
      <c r="B8525" t="s">
        <v>15938</v>
      </c>
      <c r="C8525" s="1">
        <v>44083</v>
      </c>
      <c r="D8525" t="b">
        <v>1</v>
      </c>
      <c r="E8525" t="s">
        <v>10</v>
      </c>
      <c r="F8525">
        <v>7300</v>
      </c>
    </row>
    <row r="8526" spans="1:6" x14ac:dyDescent="0.25">
      <c r="A8526" t="s">
        <v>15939</v>
      </c>
      <c r="B8526" t="s">
        <v>15940</v>
      </c>
      <c r="C8526" s="1">
        <v>44083</v>
      </c>
      <c r="D8526" t="b">
        <v>1</v>
      </c>
      <c r="E8526" t="s">
        <v>10</v>
      </c>
      <c r="F8526">
        <v>7881</v>
      </c>
    </row>
    <row r="8527" spans="1:6" x14ac:dyDescent="0.25">
      <c r="A8527" t="s">
        <v>15941</v>
      </c>
      <c r="B8527" t="s">
        <v>15942</v>
      </c>
      <c r="C8527" s="1">
        <v>44083</v>
      </c>
      <c r="D8527" t="b">
        <v>1</v>
      </c>
      <c r="E8527" t="s">
        <v>10</v>
      </c>
      <c r="F8527">
        <v>7301</v>
      </c>
    </row>
    <row r="8528" spans="1:6" x14ac:dyDescent="0.25">
      <c r="A8528" t="s">
        <v>15943</v>
      </c>
      <c r="B8528" t="s">
        <v>15944</v>
      </c>
      <c r="C8528" s="1">
        <v>44083</v>
      </c>
      <c r="D8528" t="b">
        <v>1</v>
      </c>
      <c r="E8528" t="s">
        <v>10</v>
      </c>
      <c r="F8528">
        <v>14725</v>
      </c>
    </row>
    <row r="8529" spans="1:6" x14ac:dyDescent="0.25">
      <c r="A8529" t="s">
        <v>15945</v>
      </c>
      <c r="B8529" t="s">
        <v>15946</v>
      </c>
      <c r="C8529" s="1">
        <v>44083</v>
      </c>
      <c r="D8529" t="b">
        <v>1</v>
      </c>
      <c r="E8529" t="s">
        <v>10</v>
      </c>
      <c r="F8529">
        <v>7302</v>
      </c>
    </row>
    <row r="8530" spans="1:6" x14ac:dyDescent="0.25">
      <c r="A8530" t="s">
        <v>15947</v>
      </c>
      <c r="B8530" t="s">
        <v>15948</v>
      </c>
      <c r="C8530" s="1">
        <v>44083</v>
      </c>
      <c r="D8530" t="b">
        <v>1</v>
      </c>
      <c r="E8530" t="s">
        <v>10</v>
      </c>
      <c r="F8530">
        <v>12101</v>
      </c>
    </row>
    <row r="8531" spans="1:6" x14ac:dyDescent="0.25">
      <c r="A8531" t="s">
        <v>15949</v>
      </c>
      <c r="B8531" t="s">
        <v>15950</v>
      </c>
      <c r="C8531" s="1">
        <v>44083</v>
      </c>
      <c r="D8531" t="b">
        <v>1</v>
      </c>
      <c r="E8531" t="s">
        <v>10</v>
      </c>
      <c r="F8531">
        <v>7303</v>
      </c>
    </row>
    <row r="8532" spans="1:6" x14ac:dyDescent="0.25">
      <c r="A8532" t="s">
        <v>15951</v>
      </c>
      <c r="B8532" t="s">
        <v>15952</v>
      </c>
      <c r="C8532" s="1">
        <v>44083</v>
      </c>
      <c r="D8532" t="b">
        <v>1</v>
      </c>
      <c r="E8532" t="s">
        <v>10</v>
      </c>
      <c r="F8532">
        <v>7304</v>
      </c>
    </row>
    <row r="8533" spans="1:6" x14ac:dyDescent="0.25">
      <c r="A8533" t="s">
        <v>15953</v>
      </c>
      <c r="C8533" s="1">
        <v>44083</v>
      </c>
      <c r="D8533" t="b">
        <v>1</v>
      </c>
      <c r="E8533" t="s">
        <v>10</v>
      </c>
      <c r="F8533">
        <v>7308</v>
      </c>
    </row>
    <row r="8534" spans="1:6" x14ac:dyDescent="0.25">
      <c r="A8534" t="s">
        <v>15954</v>
      </c>
      <c r="C8534" s="1">
        <v>44083</v>
      </c>
      <c r="D8534" t="b">
        <v>1</v>
      </c>
      <c r="E8534" t="s">
        <v>10</v>
      </c>
      <c r="F8534">
        <v>7309</v>
      </c>
    </row>
    <row r="8535" spans="1:6" x14ac:dyDescent="0.25">
      <c r="A8535" t="s">
        <v>15955</v>
      </c>
      <c r="C8535" s="1">
        <v>44083</v>
      </c>
      <c r="D8535" t="b">
        <v>1</v>
      </c>
      <c r="E8535" t="s">
        <v>10</v>
      </c>
      <c r="F8535">
        <v>13925</v>
      </c>
    </row>
    <row r="8536" spans="1:6" x14ac:dyDescent="0.25">
      <c r="A8536" t="s">
        <v>15956</v>
      </c>
      <c r="B8536" t="s">
        <v>15957</v>
      </c>
      <c r="C8536" s="1">
        <v>44083</v>
      </c>
      <c r="D8536" t="b">
        <v>1</v>
      </c>
      <c r="E8536" t="s">
        <v>10</v>
      </c>
      <c r="F8536">
        <v>8621</v>
      </c>
    </row>
    <row r="8537" spans="1:6" x14ac:dyDescent="0.25">
      <c r="A8537" t="s">
        <v>15958</v>
      </c>
      <c r="B8537" t="s">
        <v>15959</v>
      </c>
      <c r="C8537" s="1">
        <v>44083</v>
      </c>
      <c r="D8537" t="b">
        <v>1</v>
      </c>
      <c r="E8537" t="s">
        <v>10</v>
      </c>
      <c r="F8537">
        <v>7311</v>
      </c>
    </row>
    <row r="8538" spans="1:6" x14ac:dyDescent="0.25">
      <c r="A8538" t="s">
        <v>15960</v>
      </c>
      <c r="B8538" t="s">
        <v>15961</v>
      </c>
      <c r="C8538" s="1">
        <v>44083</v>
      </c>
      <c r="D8538" t="b">
        <v>1</v>
      </c>
      <c r="E8538" t="s">
        <v>10</v>
      </c>
      <c r="F8538">
        <v>7312</v>
      </c>
    </row>
    <row r="8539" spans="1:6" x14ac:dyDescent="0.25">
      <c r="A8539" t="s">
        <v>15962</v>
      </c>
      <c r="B8539" t="s">
        <v>15963</v>
      </c>
      <c r="C8539" s="1">
        <v>44083</v>
      </c>
      <c r="D8539" t="b">
        <v>1</v>
      </c>
      <c r="E8539" t="s">
        <v>10</v>
      </c>
      <c r="F8539">
        <v>9730</v>
      </c>
    </row>
    <row r="8540" spans="1:6" x14ac:dyDescent="0.25">
      <c r="A8540" t="s">
        <v>15964</v>
      </c>
      <c r="B8540" t="s">
        <v>15965</v>
      </c>
      <c r="C8540" s="1">
        <v>44083</v>
      </c>
      <c r="D8540" t="b">
        <v>1</v>
      </c>
      <c r="E8540" t="s">
        <v>10</v>
      </c>
      <c r="F8540">
        <v>12893</v>
      </c>
    </row>
    <row r="8541" spans="1:6" x14ac:dyDescent="0.25">
      <c r="A8541" t="s">
        <v>15966</v>
      </c>
      <c r="B8541" t="s">
        <v>15967</v>
      </c>
      <c r="C8541" s="1">
        <v>44083</v>
      </c>
      <c r="D8541" t="b">
        <v>1</v>
      </c>
      <c r="E8541" t="s">
        <v>10</v>
      </c>
      <c r="F8541">
        <v>7316</v>
      </c>
    </row>
    <row r="8542" spans="1:6" x14ac:dyDescent="0.25">
      <c r="A8542" t="s">
        <v>15968</v>
      </c>
      <c r="B8542" t="s">
        <v>15969</v>
      </c>
      <c r="C8542" s="1">
        <v>44083</v>
      </c>
      <c r="D8542" t="b">
        <v>1</v>
      </c>
      <c r="E8542" t="s">
        <v>10</v>
      </c>
      <c r="F8542">
        <v>7317</v>
      </c>
    </row>
    <row r="8543" spans="1:6" x14ac:dyDescent="0.25">
      <c r="A8543" t="s">
        <v>15970</v>
      </c>
      <c r="B8543" t="s">
        <v>15971</v>
      </c>
      <c r="C8543" s="1">
        <v>44083</v>
      </c>
      <c r="D8543" t="b">
        <v>1</v>
      </c>
      <c r="E8543" t="s">
        <v>10</v>
      </c>
      <c r="F8543">
        <v>7319</v>
      </c>
    </row>
    <row r="8544" spans="1:6" x14ac:dyDescent="0.25">
      <c r="A8544" t="s">
        <v>15972</v>
      </c>
      <c r="B8544" t="s">
        <v>15973</v>
      </c>
      <c r="C8544" s="1">
        <v>44083</v>
      </c>
      <c r="D8544" t="b">
        <v>1</v>
      </c>
      <c r="E8544" t="s">
        <v>10</v>
      </c>
      <c r="F8544">
        <v>7320</v>
      </c>
    </row>
    <row r="8545" spans="1:6" x14ac:dyDescent="0.25">
      <c r="A8545" t="s">
        <v>15974</v>
      </c>
      <c r="B8545" t="s">
        <v>15975</v>
      </c>
      <c r="C8545" s="1">
        <v>44083</v>
      </c>
      <c r="D8545" t="b">
        <v>1</v>
      </c>
      <c r="E8545" t="s">
        <v>10</v>
      </c>
      <c r="F8545">
        <v>9202</v>
      </c>
    </row>
    <row r="8546" spans="1:6" x14ac:dyDescent="0.25">
      <c r="A8546" t="s">
        <v>15976</v>
      </c>
      <c r="B8546" t="s">
        <v>15977</v>
      </c>
      <c r="C8546" s="1">
        <v>44083</v>
      </c>
      <c r="D8546" t="b">
        <v>1</v>
      </c>
      <c r="E8546" t="s">
        <v>10</v>
      </c>
      <c r="F8546">
        <v>7322</v>
      </c>
    </row>
    <row r="8547" spans="1:6" x14ac:dyDescent="0.25">
      <c r="A8547" t="s">
        <v>15978</v>
      </c>
      <c r="B8547" t="s">
        <v>15979</v>
      </c>
      <c r="C8547" s="1">
        <v>44083</v>
      </c>
      <c r="D8547" t="b">
        <v>1</v>
      </c>
      <c r="E8547" t="s">
        <v>10</v>
      </c>
      <c r="F8547">
        <v>7323</v>
      </c>
    </row>
    <row r="8548" spans="1:6" x14ac:dyDescent="0.25">
      <c r="A8548" t="s">
        <v>15980</v>
      </c>
      <c r="B8548" t="s">
        <v>15981</v>
      </c>
      <c r="C8548" s="1">
        <v>44083</v>
      </c>
      <c r="D8548" t="b">
        <v>1</v>
      </c>
      <c r="E8548" t="s">
        <v>10</v>
      </c>
      <c r="F8548">
        <v>7324</v>
      </c>
    </row>
    <row r="8549" spans="1:6" x14ac:dyDescent="0.25">
      <c r="A8549" t="s">
        <v>15982</v>
      </c>
      <c r="B8549" t="s">
        <v>15983</v>
      </c>
      <c r="C8549" s="1">
        <v>44083</v>
      </c>
      <c r="D8549" t="b">
        <v>1</v>
      </c>
      <c r="E8549" t="s">
        <v>10</v>
      </c>
      <c r="F8549">
        <v>7325</v>
      </c>
    </row>
    <row r="8550" spans="1:6" x14ac:dyDescent="0.25">
      <c r="A8550" t="s">
        <v>15984</v>
      </c>
      <c r="B8550" t="s">
        <v>15985</v>
      </c>
      <c r="C8550" s="1">
        <v>44083</v>
      </c>
      <c r="D8550" t="b">
        <v>1</v>
      </c>
      <c r="E8550" t="s">
        <v>10</v>
      </c>
      <c r="F8550">
        <v>7326</v>
      </c>
    </row>
    <row r="8551" spans="1:6" x14ac:dyDescent="0.25">
      <c r="A8551" t="s">
        <v>15986</v>
      </c>
      <c r="B8551" t="s">
        <v>15987</v>
      </c>
      <c r="C8551" s="1">
        <v>44083</v>
      </c>
      <c r="D8551" t="b">
        <v>1</v>
      </c>
      <c r="E8551" t="s">
        <v>10</v>
      </c>
      <c r="F8551">
        <v>7327</v>
      </c>
    </row>
    <row r="8552" spans="1:6" x14ac:dyDescent="0.25">
      <c r="A8552" t="s">
        <v>15988</v>
      </c>
      <c r="B8552" t="s">
        <v>15989</v>
      </c>
      <c r="C8552" s="1">
        <v>44083</v>
      </c>
      <c r="D8552" t="b">
        <v>1</v>
      </c>
      <c r="E8552" t="s">
        <v>10</v>
      </c>
      <c r="F8552">
        <v>7328</v>
      </c>
    </row>
    <row r="8553" spans="1:6" x14ac:dyDescent="0.25">
      <c r="A8553" t="s">
        <v>15990</v>
      </c>
      <c r="B8553" t="s">
        <v>15991</v>
      </c>
      <c r="C8553" s="1">
        <v>44083</v>
      </c>
      <c r="D8553" t="b">
        <v>1</v>
      </c>
      <c r="E8553" t="s">
        <v>10</v>
      </c>
      <c r="F8553">
        <v>7329</v>
      </c>
    </row>
    <row r="8554" spans="1:6" x14ac:dyDescent="0.25">
      <c r="A8554" t="s">
        <v>15992</v>
      </c>
      <c r="B8554" t="s">
        <v>15993</v>
      </c>
      <c r="C8554" s="1">
        <v>44083</v>
      </c>
      <c r="D8554" t="b">
        <v>1</v>
      </c>
      <c r="E8554" t="s">
        <v>10</v>
      </c>
      <c r="F8554">
        <v>7330</v>
      </c>
    </row>
    <row r="8555" spans="1:6" x14ac:dyDescent="0.25">
      <c r="A8555" t="s">
        <v>15994</v>
      </c>
      <c r="B8555" t="s">
        <v>15995</v>
      </c>
      <c r="C8555" s="1">
        <v>44083</v>
      </c>
      <c r="D8555" t="b">
        <v>1</v>
      </c>
      <c r="E8555" t="s">
        <v>10</v>
      </c>
      <c r="F8555">
        <v>7331</v>
      </c>
    </row>
    <row r="8556" spans="1:6" x14ac:dyDescent="0.25">
      <c r="A8556" t="s">
        <v>15996</v>
      </c>
      <c r="C8556" s="1">
        <v>44083</v>
      </c>
      <c r="D8556" t="b">
        <v>1</v>
      </c>
      <c r="E8556" t="s">
        <v>10</v>
      </c>
      <c r="F8556">
        <v>15858</v>
      </c>
    </row>
    <row r="8557" spans="1:6" x14ac:dyDescent="0.25">
      <c r="A8557" t="s">
        <v>15997</v>
      </c>
      <c r="B8557" t="s">
        <v>15998</v>
      </c>
      <c r="C8557" s="1">
        <v>44083</v>
      </c>
      <c r="D8557" t="b">
        <v>1</v>
      </c>
      <c r="E8557" t="s">
        <v>10</v>
      </c>
      <c r="F8557">
        <v>15420</v>
      </c>
    </row>
    <row r="8558" spans="1:6" x14ac:dyDescent="0.25">
      <c r="A8558" t="s">
        <v>15999</v>
      </c>
      <c r="B8558" t="s">
        <v>16000</v>
      </c>
      <c r="C8558" s="1">
        <v>44083</v>
      </c>
      <c r="D8558" t="b">
        <v>1</v>
      </c>
      <c r="E8558" t="s">
        <v>10</v>
      </c>
      <c r="F8558">
        <v>7333</v>
      </c>
    </row>
    <row r="8559" spans="1:6" x14ac:dyDescent="0.25">
      <c r="A8559" t="s">
        <v>16001</v>
      </c>
      <c r="B8559" t="s">
        <v>16002</v>
      </c>
      <c r="C8559" s="1">
        <v>44083</v>
      </c>
      <c r="D8559" t="b">
        <v>1</v>
      </c>
      <c r="E8559" t="s">
        <v>10</v>
      </c>
      <c r="F8559">
        <v>7335</v>
      </c>
    </row>
    <row r="8560" spans="1:6" x14ac:dyDescent="0.25">
      <c r="A8560" t="s">
        <v>16003</v>
      </c>
      <c r="B8560" t="s">
        <v>16004</v>
      </c>
      <c r="C8560" s="1">
        <v>44083</v>
      </c>
      <c r="D8560" t="b">
        <v>1</v>
      </c>
      <c r="E8560" t="s">
        <v>10</v>
      </c>
      <c r="F8560">
        <v>7337</v>
      </c>
    </row>
    <row r="8561" spans="1:6" x14ac:dyDescent="0.25">
      <c r="A8561" t="s">
        <v>16005</v>
      </c>
      <c r="B8561" t="s">
        <v>16006</v>
      </c>
      <c r="C8561" s="1">
        <v>44083</v>
      </c>
      <c r="D8561" t="b">
        <v>1</v>
      </c>
      <c r="E8561" t="s">
        <v>10</v>
      </c>
      <c r="F8561">
        <v>7338</v>
      </c>
    </row>
    <row r="8562" spans="1:6" x14ac:dyDescent="0.25">
      <c r="A8562" t="s">
        <v>16007</v>
      </c>
      <c r="B8562" t="s">
        <v>16008</v>
      </c>
      <c r="C8562" s="1">
        <v>44083</v>
      </c>
      <c r="D8562" t="b">
        <v>1</v>
      </c>
      <c r="E8562" t="s">
        <v>10</v>
      </c>
      <c r="F8562">
        <v>7341</v>
      </c>
    </row>
    <row r="8563" spans="1:6" x14ac:dyDescent="0.25">
      <c r="A8563" t="s">
        <v>16009</v>
      </c>
      <c r="B8563" t="s">
        <v>16010</v>
      </c>
      <c r="C8563" s="1">
        <v>44083</v>
      </c>
      <c r="D8563" t="b">
        <v>1</v>
      </c>
      <c r="E8563" t="s">
        <v>10</v>
      </c>
      <c r="F8563">
        <v>15421</v>
      </c>
    </row>
    <row r="8564" spans="1:6" x14ac:dyDescent="0.25">
      <c r="A8564" t="s">
        <v>16011</v>
      </c>
      <c r="B8564" t="s">
        <v>16012</v>
      </c>
      <c r="C8564" s="1">
        <v>44083</v>
      </c>
      <c r="D8564" t="b">
        <v>1</v>
      </c>
      <c r="E8564" t="s">
        <v>10</v>
      </c>
      <c r="F8564">
        <v>11203</v>
      </c>
    </row>
    <row r="8565" spans="1:6" x14ac:dyDescent="0.25">
      <c r="A8565" t="s">
        <v>16013</v>
      </c>
      <c r="B8565" t="s">
        <v>16014</v>
      </c>
      <c r="C8565" s="1">
        <v>44083</v>
      </c>
      <c r="D8565" t="b">
        <v>1</v>
      </c>
      <c r="E8565" t="s">
        <v>10</v>
      </c>
      <c r="F8565">
        <v>14666</v>
      </c>
    </row>
    <row r="8566" spans="1:6" x14ac:dyDescent="0.25">
      <c r="A8566" t="s">
        <v>16015</v>
      </c>
      <c r="B8566" t="s">
        <v>16016</v>
      </c>
      <c r="C8566" s="1">
        <v>44083</v>
      </c>
      <c r="D8566" t="b">
        <v>1</v>
      </c>
      <c r="E8566" t="s">
        <v>10</v>
      </c>
      <c r="F8566">
        <v>12303</v>
      </c>
    </row>
    <row r="8567" spans="1:6" x14ac:dyDescent="0.25">
      <c r="A8567" t="s">
        <v>16017</v>
      </c>
      <c r="B8567" t="s">
        <v>16018</v>
      </c>
      <c r="C8567" s="1">
        <v>44083</v>
      </c>
      <c r="D8567" t="b">
        <v>1</v>
      </c>
      <c r="E8567" t="s">
        <v>10</v>
      </c>
      <c r="F8567">
        <v>11869</v>
      </c>
    </row>
    <row r="8568" spans="1:6" x14ac:dyDescent="0.25">
      <c r="A8568" t="s">
        <v>16019</v>
      </c>
      <c r="B8568" t="s">
        <v>16020</v>
      </c>
      <c r="C8568" s="1">
        <v>44083</v>
      </c>
      <c r="D8568" t="b">
        <v>1</v>
      </c>
      <c r="E8568" t="s">
        <v>10</v>
      </c>
      <c r="F8568">
        <v>16745</v>
      </c>
    </row>
    <row r="8569" spans="1:6" x14ac:dyDescent="0.25">
      <c r="A8569" t="s">
        <v>16021</v>
      </c>
      <c r="B8569" t="s">
        <v>16022</v>
      </c>
      <c r="C8569" s="1">
        <v>44083</v>
      </c>
      <c r="D8569" t="b">
        <v>1</v>
      </c>
      <c r="E8569" t="s">
        <v>10</v>
      </c>
      <c r="F8569">
        <v>16852</v>
      </c>
    </row>
    <row r="8570" spans="1:6" x14ac:dyDescent="0.25">
      <c r="A8570" t="s">
        <v>16023</v>
      </c>
      <c r="C8570" s="1">
        <v>44083</v>
      </c>
      <c r="D8570" t="b">
        <v>1</v>
      </c>
      <c r="E8570" t="s">
        <v>10</v>
      </c>
      <c r="F8570">
        <v>16853</v>
      </c>
    </row>
    <row r="8571" spans="1:6" x14ac:dyDescent="0.25">
      <c r="A8571" t="s">
        <v>16024</v>
      </c>
      <c r="B8571" t="s">
        <v>16025</v>
      </c>
      <c r="C8571" s="1">
        <v>44083</v>
      </c>
      <c r="D8571" t="b">
        <v>1</v>
      </c>
      <c r="E8571" t="s">
        <v>10</v>
      </c>
      <c r="F8571">
        <v>12805</v>
      </c>
    </row>
    <row r="8572" spans="1:6" x14ac:dyDescent="0.25">
      <c r="A8572" t="s">
        <v>16026</v>
      </c>
      <c r="B8572" t="s">
        <v>16027</v>
      </c>
      <c r="C8572" s="1">
        <v>44083</v>
      </c>
      <c r="D8572" t="b">
        <v>1</v>
      </c>
      <c r="E8572" t="s">
        <v>10</v>
      </c>
      <c r="F8572">
        <v>8308</v>
      </c>
    </row>
    <row r="8573" spans="1:6" x14ac:dyDescent="0.25">
      <c r="A8573" t="s">
        <v>16028</v>
      </c>
      <c r="B8573" t="s">
        <v>16029</v>
      </c>
      <c r="C8573" s="1">
        <v>44083</v>
      </c>
      <c r="D8573" t="b">
        <v>1</v>
      </c>
      <c r="E8573" t="s">
        <v>10</v>
      </c>
      <c r="F8573">
        <v>7346</v>
      </c>
    </row>
    <row r="8574" spans="1:6" x14ac:dyDescent="0.25">
      <c r="A8574" t="s">
        <v>16030</v>
      </c>
      <c r="B8574" t="s">
        <v>16031</v>
      </c>
      <c r="C8574" s="1">
        <v>44083</v>
      </c>
      <c r="D8574" t="b">
        <v>1</v>
      </c>
      <c r="E8574" t="s">
        <v>10</v>
      </c>
      <c r="F8574">
        <v>8583</v>
      </c>
    </row>
    <row r="8575" spans="1:6" x14ac:dyDescent="0.25">
      <c r="A8575" t="s">
        <v>16032</v>
      </c>
      <c r="B8575" t="s">
        <v>16033</v>
      </c>
      <c r="C8575" s="1">
        <v>44083</v>
      </c>
      <c r="D8575" t="b">
        <v>1</v>
      </c>
      <c r="E8575" t="s">
        <v>10</v>
      </c>
      <c r="F8575">
        <v>12429</v>
      </c>
    </row>
    <row r="8576" spans="1:6" x14ac:dyDescent="0.25">
      <c r="A8576" t="s">
        <v>16034</v>
      </c>
      <c r="B8576" t="s">
        <v>16035</v>
      </c>
      <c r="C8576" s="1">
        <v>44083</v>
      </c>
      <c r="D8576" t="b">
        <v>1</v>
      </c>
      <c r="E8576" t="s">
        <v>10</v>
      </c>
      <c r="F8576">
        <v>11625</v>
      </c>
    </row>
    <row r="8577" spans="1:6" x14ac:dyDescent="0.25">
      <c r="A8577" t="s">
        <v>16036</v>
      </c>
      <c r="B8577" t="s">
        <v>16037</v>
      </c>
      <c r="C8577" s="1">
        <v>44083</v>
      </c>
      <c r="D8577" t="b">
        <v>1</v>
      </c>
      <c r="E8577" t="s">
        <v>10</v>
      </c>
      <c r="F8577">
        <v>7348</v>
      </c>
    </row>
    <row r="8578" spans="1:6" x14ac:dyDescent="0.25">
      <c r="A8578" t="s">
        <v>16038</v>
      </c>
      <c r="B8578" t="s">
        <v>16039</v>
      </c>
      <c r="C8578" s="1">
        <v>44083</v>
      </c>
      <c r="D8578" t="b">
        <v>1</v>
      </c>
      <c r="E8578" t="s">
        <v>10</v>
      </c>
      <c r="F8578">
        <v>7349</v>
      </c>
    </row>
    <row r="8579" spans="1:6" x14ac:dyDescent="0.25">
      <c r="A8579" t="s">
        <v>16040</v>
      </c>
      <c r="B8579" t="s">
        <v>16041</v>
      </c>
      <c r="C8579" s="1">
        <v>44083</v>
      </c>
      <c r="D8579" t="b">
        <v>1</v>
      </c>
      <c r="E8579" t="s">
        <v>10</v>
      </c>
      <c r="F8579">
        <v>14696</v>
      </c>
    </row>
    <row r="8580" spans="1:6" x14ac:dyDescent="0.25">
      <c r="A8580" t="s">
        <v>16042</v>
      </c>
      <c r="C8580" s="1">
        <v>44083</v>
      </c>
      <c r="D8580" t="b">
        <v>1</v>
      </c>
      <c r="E8580" t="s">
        <v>10</v>
      </c>
      <c r="F8580">
        <v>14877</v>
      </c>
    </row>
    <row r="8581" spans="1:6" x14ac:dyDescent="0.25">
      <c r="A8581" t="s">
        <v>16043</v>
      </c>
      <c r="B8581" t="s">
        <v>16044</v>
      </c>
      <c r="C8581" s="1">
        <v>44083</v>
      </c>
      <c r="D8581" t="b">
        <v>1</v>
      </c>
      <c r="E8581" t="s">
        <v>10</v>
      </c>
      <c r="F8581">
        <v>7352</v>
      </c>
    </row>
    <row r="8582" spans="1:6" x14ac:dyDescent="0.25">
      <c r="A8582" t="s">
        <v>16045</v>
      </c>
      <c r="B8582" t="s">
        <v>16046</v>
      </c>
      <c r="C8582" s="1">
        <v>44083</v>
      </c>
      <c r="D8582" t="b">
        <v>1</v>
      </c>
      <c r="E8582" t="s">
        <v>10</v>
      </c>
      <c r="F8582">
        <v>7353</v>
      </c>
    </row>
    <row r="8583" spans="1:6" x14ac:dyDescent="0.25">
      <c r="A8583" t="s">
        <v>16047</v>
      </c>
      <c r="B8583" t="s">
        <v>16048</v>
      </c>
      <c r="C8583" s="1">
        <v>44083</v>
      </c>
      <c r="D8583" t="b">
        <v>1</v>
      </c>
      <c r="E8583" t="s">
        <v>10</v>
      </c>
      <c r="F8583">
        <v>8699</v>
      </c>
    </row>
    <row r="8584" spans="1:6" x14ac:dyDescent="0.25">
      <c r="A8584" t="s">
        <v>16049</v>
      </c>
      <c r="B8584" t="s">
        <v>16050</v>
      </c>
      <c r="C8584" s="1">
        <v>44083</v>
      </c>
      <c r="D8584" t="b">
        <v>1</v>
      </c>
      <c r="E8584" t="s">
        <v>10</v>
      </c>
      <c r="F8584">
        <v>7354</v>
      </c>
    </row>
    <row r="8585" spans="1:6" x14ac:dyDescent="0.25">
      <c r="A8585" t="s">
        <v>16051</v>
      </c>
      <c r="B8585" t="s">
        <v>16052</v>
      </c>
      <c r="C8585" s="1">
        <v>44083</v>
      </c>
      <c r="D8585" t="b">
        <v>1</v>
      </c>
      <c r="E8585" t="s">
        <v>10</v>
      </c>
      <c r="F8585">
        <v>7356</v>
      </c>
    </row>
    <row r="8586" spans="1:6" x14ac:dyDescent="0.25">
      <c r="A8586" t="s">
        <v>16053</v>
      </c>
      <c r="B8586" t="s">
        <v>16054</v>
      </c>
      <c r="C8586" s="1">
        <v>44083</v>
      </c>
      <c r="D8586" t="b">
        <v>1</v>
      </c>
      <c r="E8586" t="s">
        <v>10</v>
      </c>
      <c r="F8586">
        <v>12791</v>
      </c>
    </row>
    <row r="8587" spans="1:6" x14ac:dyDescent="0.25">
      <c r="A8587" t="s">
        <v>16055</v>
      </c>
      <c r="B8587" t="s">
        <v>16056</v>
      </c>
      <c r="C8587" s="1">
        <v>44083</v>
      </c>
      <c r="D8587" t="b">
        <v>1</v>
      </c>
      <c r="E8587" t="s">
        <v>10</v>
      </c>
      <c r="F8587">
        <v>7361</v>
      </c>
    </row>
    <row r="8588" spans="1:6" x14ac:dyDescent="0.25">
      <c r="A8588" t="s">
        <v>16057</v>
      </c>
      <c r="B8588" t="s">
        <v>16058</v>
      </c>
      <c r="C8588" s="1">
        <v>44083</v>
      </c>
      <c r="D8588" t="b">
        <v>1</v>
      </c>
      <c r="E8588" t="s">
        <v>10</v>
      </c>
      <c r="F8588">
        <v>15045</v>
      </c>
    </row>
    <row r="8589" spans="1:6" x14ac:dyDescent="0.25">
      <c r="A8589" t="s">
        <v>16059</v>
      </c>
      <c r="B8589" t="s">
        <v>16060</v>
      </c>
      <c r="C8589" s="1">
        <v>44083</v>
      </c>
      <c r="D8589" t="b">
        <v>1</v>
      </c>
      <c r="E8589" t="s">
        <v>10</v>
      </c>
      <c r="F8589">
        <v>7362</v>
      </c>
    </row>
    <row r="8590" spans="1:6" x14ac:dyDescent="0.25">
      <c r="A8590" t="s">
        <v>16061</v>
      </c>
      <c r="B8590" t="s">
        <v>16062</v>
      </c>
      <c r="C8590" s="1">
        <v>44083</v>
      </c>
      <c r="D8590" t="b">
        <v>1</v>
      </c>
      <c r="E8590" t="s">
        <v>10</v>
      </c>
      <c r="F8590">
        <v>14182</v>
      </c>
    </row>
    <row r="8591" spans="1:6" x14ac:dyDescent="0.25">
      <c r="A8591" t="s">
        <v>16063</v>
      </c>
      <c r="B8591" t="s">
        <v>16064</v>
      </c>
      <c r="C8591" s="1">
        <v>44083</v>
      </c>
      <c r="D8591" t="b">
        <v>1</v>
      </c>
      <c r="E8591" t="s">
        <v>10</v>
      </c>
      <c r="F8591">
        <v>9203</v>
      </c>
    </row>
    <row r="8592" spans="1:6" x14ac:dyDescent="0.25">
      <c r="A8592" t="s">
        <v>16065</v>
      </c>
      <c r="B8592" t="s">
        <v>16066</v>
      </c>
      <c r="C8592" s="1">
        <v>44083</v>
      </c>
      <c r="D8592" t="b">
        <v>1</v>
      </c>
      <c r="E8592" t="s">
        <v>10</v>
      </c>
      <c r="F8592">
        <v>13047</v>
      </c>
    </row>
    <row r="8593" spans="1:6" x14ac:dyDescent="0.25">
      <c r="A8593" t="s">
        <v>16067</v>
      </c>
      <c r="B8593" t="s">
        <v>16068</v>
      </c>
      <c r="C8593" s="1">
        <v>44083</v>
      </c>
      <c r="D8593" t="b">
        <v>1</v>
      </c>
      <c r="E8593" t="s">
        <v>10</v>
      </c>
      <c r="F8593">
        <v>7366</v>
      </c>
    </row>
    <row r="8594" spans="1:6" x14ac:dyDescent="0.25">
      <c r="A8594" t="s">
        <v>16069</v>
      </c>
      <c r="B8594" t="s">
        <v>16070</v>
      </c>
      <c r="C8594" s="1">
        <v>44083</v>
      </c>
      <c r="D8594" t="b">
        <v>1</v>
      </c>
      <c r="E8594" t="s">
        <v>10</v>
      </c>
      <c r="F8594">
        <v>12905</v>
      </c>
    </row>
    <row r="8595" spans="1:6" x14ac:dyDescent="0.25">
      <c r="A8595" t="s">
        <v>16071</v>
      </c>
      <c r="C8595" s="1">
        <v>44083</v>
      </c>
      <c r="D8595" t="b">
        <v>1</v>
      </c>
      <c r="E8595" t="s">
        <v>10</v>
      </c>
      <c r="F8595">
        <v>14423</v>
      </c>
    </row>
    <row r="8596" spans="1:6" x14ac:dyDescent="0.25">
      <c r="A8596" t="s">
        <v>16072</v>
      </c>
      <c r="B8596" t="s">
        <v>16073</v>
      </c>
      <c r="C8596" s="1">
        <v>44083</v>
      </c>
      <c r="D8596" t="b">
        <v>1</v>
      </c>
      <c r="E8596" t="s">
        <v>10</v>
      </c>
      <c r="F8596">
        <v>17014</v>
      </c>
    </row>
    <row r="8597" spans="1:6" x14ac:dyDescent="0.25">
      <c r="A8597" t="s">
        <v>16074</v>
      </c>
      <c r="B8597" t="s">
        <v>16075</v>
      </c>
      <c r="C8597" s="1">
        <v>44083</v>
      </c>
      <c r="D8597" t="b">
        <v>1</v>
      </c>
      <c r="E8597" t="s">
        <v>10</v>
      </c>
      <c r="F8597">
        <v>7367</v>
      </c>
    </row>
    <row r="8598" spans="1:6" x14ac:dyDescent="0.25">
      <c r="A8598" t="s">
        <v>16076</v>
      </c>
      <c r="B8598" t="s">
        <v>16077</v>
      </c>
      <c r="C8598" s="1">
        <v>44083</v>
      </c>
      <c r="D8598" t="b">
        <v>1</v>
      </c>
      <c r="E8598" t="s">
        <v>10</v>
      </c>
      <c r="F8598">
        <v>9154</v>
      </c>
    </row>
    <row r="8599" spans="1:6" x14ac:dyDescent="0.25">
      <c r="A8599" t="s">
        <v>16078</v>
      </c>
      <c r="B8599" t="s">
        <v>16079</v>
      </c>
      <c r="C8599" s="1">
        <v>44083</v>
      </c>
      <c r="D8599" t="b">
        <v>1</v>
      </c>
      <c r="E8599" t="s">
        <v>10</v>
      </c>
      <c r="F8599">
        <v>7368</v>
      </c>
    </row>
    <row r="8600" spans="1:6" x14ac:dyDescent="0.25">
      <c r="A8600" t="s">
        <v>16080</v>
      </c>
      <c r="B8600" t="s">
        <v>16081</v>
      </c>
      <c r="C8600" s="1">
        <v>44083</v>
      </c>
      <c r="D8600" t="b">
        <v>1</v>
      </c>
      <c r="E8600" t="s">
        <v>10</v>
      </c>
      <c r="F8600">
        <v>7369</v>
      </c>
    </row>
    <row r="8601" spans="1:6" x14ac:dyDescent="0.25">
      <c r="A8601" t="s">
        <v>16082</v>
      </c>
      <c r="B8601" t="s">
        <v>16083</v>
      </c>
      <c r="C8601" s="1">
        <v>44083</v>
      </c>
      <c r="D8601" t="b">
        <v>1</v>
      </c>
      <c r="E8601" t="s">
        <v>10</v>
      </c>
      <c r="F8601">
        <v>13743</v>
      </c>
    </row>
    <row r="8602" spans="1:6" x14ac:dyDescent="0.25">
      <c r="A8602" t="s">
        <v>16084</v>
      </c>
      <c r="B8602" t="s">
        <v>16085</v>
      </c>
      <c r="C8602" s="1">
        <v>44083</v>
      </c>
      <c r="D8602" t="b">
        <v>1</v>
      </c>
      <c r="E8602" t="s">
        <v>10</v>
      </c>
      <c r="F8602">
        <v>10439</v>
      </c>
    </row>
    <row r="8603" spans="1:6" x14ac:dyDescent="0.25">
      <c r="A8603" t="s">
        <v>16086</v>
      </c>
      <c r="B8603" t="s">
        <v>16087</v>
      </c>
      <c r="C8603" s="1">
        <v>44083</v>
      </c>
      <c r="D8603" t="b">
        <v>1</v>
      </c>
      <c r="E8603" t="s">
        <v>10</v>
      </c>
      <c r="F8603">
        <v>11363</v>
      </c>
    </row>
    <row r="8604" spans="1:6" x14ac:dyDescent="0.25">
      <c r="A8604" t="s">
        <v>16088</v>
      </c>
      <c r="B8604" t="s">
        <v>16089</v>
      </c>
      <c r="C8604" s="1">
        <v>44083</v>
      </c>
      <c r="D8604" t="b">
        <v>1</v>
      </c>
      <c r="E8604" t="s">
        <v>10</v>
      </c>
      <c r="F8604">
        <v>7371</v>
      </c>
    </row>
    <row r="8605" spans="1:6" x14ac:dyDescent="0.25">
      <c r="A8605" t="s">
        <v>16090</v>
      </c>
      <c r="B8605" t="s">
        <v>16091</v>
      </c>
      <c r="C8605" s="1">
        <v>44083</v>
      </c>
      <c r="D8605" t="b">
        <v>1</v>
      </c>
      <c r="E8605" t="s">
        <v>10</v>
      </c>
      <c r="F8605">
        <v>7372</v>
      </c>
    </row>
    <row r="8606" spans="1:6" x14ac:dyDescent="0.25">
      <c r="A8606" t="s">
        <v>16092</v>
      </c>
      <c r="B8606" t="s">
        <v>16093</v>
      </c>
      <c r="C8606" s="1">
        <v>44083</v>
      </c>
      <c r="D8606" t="b">
        <v>1</v>
      </c>
      <c r="E8606" t="s">
        <v>10</v>
      </c>
      <c r="F8606">
        <v>7373</v>
      </c>
    </row>
    <row r="8607" spans="1:6" x14ac:dyDescent="0.25">
      <c r="A8607" t="s">
        <v>16094</v>
      </c>
      <c r="B8607" t="s">
        <v>16095</v>
      </c>
      <c r="C8607" s="1">
        <v>44083</v>
      </c>
      <c r="D8607" t="b">
        <v>1</v>
      </c>
      <c r="E8607" t="s">
        <v>10</v>
      </c>
      <c r="F8607">
        <v>7374</v>
      </c>
    </row>
    <row r="8608" spans="1:6" x14ac:dyDescent="0.25">
      <c r="A8608" t="s">
        <v>16096</v>
      </c>
      <c r="B8608" t="s">
        <v>16097</v>
      </c>
      <c r="C8608" s="1">
        <v>44083</v>
      </c>
      <c r="D8608" t="b">
        <v>1</v>
      </c>
      <c r="E8608" t="s">
        <v>10</v>
      </c>
      <c r="F8608">
        <v>7376</v>
      </c>
    </row>
    <row r="8609" spans="1:6" x14ac:dyDescent="0.25">
      <c r="A8609" t="s">
        <v>16098</v>
      </c>
      <c r="B8609" t="s">
        <v>16099</v>
      </c>
      <c r="C8609" s="1">
        <v>44083</v>
      </c>
      <c r="D8609" t="b">
        <v>1</v>
      </c>
      <c r="E8609" t="s">
        <v>10</v>
      </c>
      <c r="F8609">
        <v>2227</v>
      </c>
    </row>
    <row r="8610" spans="1:6" x14ac:dyDescent="0.25">
      <c r="A8610" t="s">
        <v>16100</v>
      </c>
      <c r="B8610" t="s">
        <v>16101</v>
      </c>
      <c r="C8610" s="1">
        <v>44083</v>
      </c>
      <c r="D8610" t="b">
        <v>1</v>
      </c>
      <c r="E8610" t="s">
        <v>10</v>
      </c>
      <c r="F8610">
        <v>7377</v>
      </c>
    </row>
    <row r="8611" spans="1:6" x14ac:dyDescent="0.25">
      <c r="A8611" t="s">
        <v>16102</v>
      </c>
      <c r="B8611" t="s">
        <v>16103</v>
      </c>
      <c r="C8611" s="1">
        <v>44083</v>
      </c>
      <c r="D8611" t="b">
        <v>1</v>
      </c>
      <c r="E8611" t="s">
        <v>10</v>
      </c>
      <c r="F8611">
        <v>14327</v>
      </c>
    </row>
    <row r="8612" spans="1:6" x14ac:dyDescent="0.25">
      <c r="A8612" t="s">
        <v>16104</v>
      </c>
      <c r="B8612" t="s">
        <v>16105</v>
      </c>
      <c r="C8612" s="1">
        <v>44083</v>
      </c>
      <c r="D8612" t="b">
        <v>1</v>
      </c>
      <c r="E8612" t="s">
        <v>10</v>
      </c>
      <c r="F8612">
        <v>7381</v>
      </c>
    </row>
    <row r="8613" spans="1:6" x14ac:dyDescent="0.25">
      <c r="A8613" t="s">
        <v>16106</v>
      </c>
      <c r="B8613" t="s">
        <v>16107</v>
      </c>
      <c r="C8613" s="1">
        <v>44083</v>
      </c>
      <c r="D8613" t="b">
        <v>1</v>
      </c>
      <c r="E8613" t="s">
        <v>10</v>
      </c>
      <c r="F8613">
        <v>10206</v>
      </c>
    </row>
    <row r="8614" spans="1:6" x14ac:dyDescent="0.25">
      <c r="A8614" t="s">
        <v>16108</v>
      </c>
      <c r="B8614" t="s">
        <v>16109</v>
      </c>
      <c r="C8614" s="1">
        <v>44083</v>
      </c>
      <c r="D8614" t="b">
        <v>1</v>
      </c>
      <c r="E8614" t="s">
        <v>10</v>
      </c>
      <c r="F8614">
        <v>7382</v>
      </c>
    </row>
    <row r="8615" spans="1:6" x14ac:dyDescent="0.25">
      <c r="A8615" t="s">
        <v>16110</v>
      </c>
      <c r="B8615" t="s">
        <v>16111</v>
      </c>
      <c r="C8615" s="1">
        <v>44083</v>
      </c>
      <c r="D8615" t="b">
        <v>1</v>
      </c>
      <c r="E8615" t="s">
        <v>10</v>
      </c>
      <c r="F8615">
        <v>7383</v>
      </c>
    </row>
    <row r="8616" spans="1:6" x14ac:dyDescent="0.25">
      <c r="A8616" t="s">
        <v>16112</v>
      </c>
      <c r="B8616" t="s">
        <v>16113</v>
      </c>
      <c r="C8616" s="1">
        <v>44083</v>
      </c>
      <c r="D8616" t="b">
        <v>1</v>
      </c>
      <c r="E8616" t="s">
        <v>10</v>
      </c>
      <c r="F8616">
        <v>7384</v>
      </c>
    </row>
    <row r="8617" spans="1:6" x14ac:dyDescent="0.25">
      <c r="A8617" t="s">
        <v>16114</v>
      </c>
      <c r="B8617" t="s">
        <v>16115</v>
      </c>
      <c r="C8617" s="1">
        <v>44083</v>
      </c>
      <c r="D8617" t="b">
        <v>1</v>
      </c>
      <c r="E8617" t="s">
        <v>10</v>
      </c>
      <c r="F8617">
        <v>7385</v>
      </c>
    </row>
    <row r="8618" spans="1:6" x14ac:dyDescent="0.25">
      <c r="A8618" t="s">
        <v>16116</v>
      </c>
      <c r="B8618" t="s">
        <v>16117</v>
      </c>
      <c r="C8618" s="1">
        <v>44083</v>
      </c>
      <c r="D8618" t="b">
        <v>1</v>
      </c>
      <c r="E8618" t="s">
        <v>10</v>
      </c>
      <c r="F8618">
        <v>8224</v>
      </c>
    </row>
    <row r="8619" spans="1:6" x14ac:dyDescent="0.25">
      <c r="A8619" t="s">
        <v>16118</v>
      </c>
      <c r="B8619" t="s">
        <v>16119</v>
      </c>
      <c r="C8619" s="1">
        <v>44083</v>
      </c>
      <c r="D8619" t="b">
        <v>1</v>
      </c>
      <c r="E8619" t="s">
        <v>10</v>
      </c>
      <c r="F8619">
        <v>9698</v>
      </c>
    </row>
    <row r="8620" spans="1:6" x14ac:dyDescent="0.25">
      <c r="A8620" t="s">
        <v>16120</v>
      </c>
      <c r="B8620" t="s">
        <v>16121</v>
      </c>
      <c r="C8620" s="1">
        <v>44083</v>
      </c>
      <c r="D8620" t="b">
        <v>1</v>
      </c>
      <c r="E8620" t="s">
        <v>10</v>
      </c>
      <c r="F8620">
        <v>7386</v>
      </c>
    </row>
    <row r="8621" spans="1:6" x14ac:dyDescent="0.25">
      <c r="A8621" t="s">
        <v>16122</v>
      </c>
      <c r="B8621" t="s">
        <v>16123</v>
      </c>
      <c r="C8621" s="1">
        <v>44083</v>
      </c>
      <c r="D8621" t="b">
        <v>1</v>
      </c>
      <c r="E8621" t="s">
        <v>10</v>
      </c>
      <c r="F8621">
        <v>7388</v>
      </c>
    </row>
    <row r="8622" spans="1:6" x14ac:dyDescent="0.25">
      <c r="A8622" t="s">
        <v>16124</v>
      </c>
      <c r="B8622" t="s">
        <v>16125</v>
      </c>
      <c r="C8622" s="1">
        <v>44083</v>
      </c>
      <c r="D8622" t="b">
        <v>1</v>
      </c>
      <c r="E8622" t="s">
        <v>10</v>
      </c>
      <c r="F8622">
        <v>13876</v>
      </c>
    </row>
    <row r="8623" spans="1:6" x14ac:dyDescent="0.25">
      <c r="A8623" t="s">
        <v>16126</v>
      </c>
      <c r="C8623" s="1">
        <v>44083</v>
      </c>
      <c r="D8623" t="b">
        <v>1</v>
      </c>
      <c r="E8623" t="s">
        <v>10</v>
      </c>
      <c r="F8623">
        <v>13891</v>
      </c>
    </row>
    <row r="8624" spans="1:6" x14ac:dyDescent="0.25">
      <c r="A8624" t="s">
        <v>16127</v>
      </c>
      <c r="B8624" t="s">
        <v>16128</v>
      </c>
      <c r="C8624" s="1">
        <v>44083</v>
      </c>
      <c r="D8624" t="b">
        <v>1</v>
      </c>
      <c r="E8624" t="s">
        <v>10</v>
      </c>
      <c r="F8624">
        <v>12233</v>
      </c>
    </row>
    <row r="8625" spans="1:6" x14ac:dyDescent="0.25">
      <c r="A8625" t="s">
        <v>16129</v>
      </c>
      <c r="B8625" t="s">
        <v>16130</v>
      </c>
      <c r="C8625" s="1">
        <v>44083</v>
      </c>
      <c r="D8625" t="b">
        <v>1</v>
      </c>
      <c r="E8625" t="s">
        <v>10</v>
      </c>
      <c r="F8625">
        <v>7389</v>
      </c>
    </row>
    <row r="8626" spans="1:6" x14ac:dyDescent="0.25">
      <c r="A8626" t="s">
        <v>16131</v>
      </c>
      <c r="B8626" t="s">
        <v>16132</v>
      </c>
      <c r="C8626" s="1">
        <v>44083</v>
      </c>
      <c r="D8626" t="b">
        <v>1</v>
      </c>
      <c r="E8626" t="s">
        <v>10</v>
      </c>
      <c r="F8626">
        <v>11614</v>
      </c>
    </row>
    <row r="8627" spans="1:6" x14ac:dyDescent="0.25">
      <c r="A8627" t="s">
        <v>16133</v>
      </c>
      <c r="B8627" t="s">
        <v>16134</v>
      </c>
      <c r="C8627" s="1">
        <v>44083</v>
      </c>
      <c r="D8627" t="b">
        <v>0</v>
      </c>
      <c r="E8627" t="s">
        <v>10</v>
      </c>
      <c r="F8627">
        <v>13547</v>
      </c>
    </row>
    <row r="8628" spans="1:6" x14ac:dyDescent="0.25">
      <c r="A8628" t="s">
        <v>16135</v>
      </c>
      <c r="B8628" t="s">
        <v>16136</v>
      </c>
      <c r="C8628" s="1">
        <v>44083</v>
      </c>
      <c r="D8628" t="b">
        <v>1</v>
      </c>
      <c r="E8628" t="s">
        <v>10</v>
      </c>
      <c r="F8628">
        <v>7392</v>
      </c>
    </row>
    <row r="8629" spans="1:6" x14ac:dyDescent="0.25">
      <c r="A8629" t="s">
        <v>16137</v>
      </c>
      <c r="B8629" t="s">
        <v>16138</v>
      </c>
      <c r="C8629" s="1">
        <v>44083</v>
      </c>
      <c r="D8629" t="b">
        <v>1</v>
      </c>
      <c r="E8629" t="s">
        <v>10</v>
      </c>
      <c r="F8629">
        <v>7393</v>
      </c>
    </row>
    <row r="8630" spans="1:6" x14ac:dyDescent="0.25">
      <c r="A8630" t="s">
        <v>16139</v>
      </c>
      <c r="B8630" t="s">
        <v>16140</v>
      </c>
      <c r="C8630" s="1">
        <v>44083</v>
      </c>
      <c r="D8630" t="b">
        <v>1</v>
      </c>
      <c r="E8630" t="s">
        <v>10</v>
      </c>
      <c r="F8630">
        <v>7394</v>
      </c>
    </row>
    <row r="8631" spans="1:6" x14ac:dyDescent="0.25">
      <c r="A8631" t="s">
        <v>16141</v>
      </c>
      <c r="B8631" t="s">
        <v>16142</v>
      </c>
      <c r="C8631" s="1">
        <v>44083</v>
      </c>
      <c r="D8631" t="b">
        <v>1</v>
      </c>
      <c r="E8631" t="s">
        <v>10</v>
      </c>
      <c r="F8631">
        <v>858</v>
      </c>
    </row>
    <row r="8632" spans="1:6" x14ac:dyDescent="0.25">
      <c r="A8632" t="s">
        <v>16143</v>
      </c>
      <c r="B8632" t="s">
        <v>16144</v>
      </c>
      <c r="C8632" s="1">
        <v>44083</v>
      </c>
      <c r="D8632" t="b">
        <v>1</v>
      </c>
      <c r="E8632" t="s">
        <v>10</v>
      </c>
      <c r="F8632">
        <v>7395</v>
      </c>
    </row>
    <row r="8633" spans="1:6" x14ac:dyDescent="0.25">
      <c r="A8633" t="s">
        <v>16145</v>
      </c>
      <c r="B8633" t="s">
        <v>16146</v>
      </c>
      <c r="C8633" s="1">
        <v>44083</v>
      </c>
      <c r="D8633" t="b">
        <v>1</v>
      </c>
      <c r="E8633" t="s">
        <v>10</v>
      </c>
      <c r="F8633">
        <v>14034</v>
      </c>
    </row>
    <row r="8634" spans="1:6" x14ac:dyDescent="0.25">
      <c r="A8634" t="s">
        <v>16147</v>
      </c>
      <c r="B8634" t="s">
        <v>16148</v>
      </c>
      <c r="C8634" s="1">
        <v>44083</v>
      </c>
      <c r="D8634" t="b">
        <v>1</v>
      </c>
      <c r="E8634" t="s">
        <v>10</v>
      </c>
      <c r="F8634">
        <v>14035</v>
      </c>
    </row>
    <row r="8635" spans="1:6" x14ac:dyDescent="0.25">
      <c r="A8635" t="s">
        <v>16149</v>
      </c>
      <c r="B8635" t="s">
        <v>16150</v>
      </c>
      <c r="C8635" s="1">
        <v>44083</v>
      </c>
      <c r="D8635" t="b">
        <v>1</v>
      </c>
      <c r="E8635" t="s">
        <v>10</v>
      </c>
      <c r="F8635">
        <v>10689</v>
      </c>
    </row>
    <row r="8636" spans="1:6" x14ac:dyDescent="0.25">
      <c r="A8636" t="s">
        <v>16151</v>
      </c>
      <c r="B8636" t="s">
        <v>16152</v>
      </c>
      <c r="C8636" s="1">
        <v>44083</v>
      </c>
      <c r="D8636" t="b">
        <v>1</v>
      </c>
      <c r="E8636" t="s">
        <v>10</v>
      </c>
      <c r="F8636">
        <v>7399</v>
      </c>
    </row>
    <row r="8637" spans="1:6" x14ac:dyDescent="0.25">
      <c r="A8637" t="s">
        <v>16153</v>
      </c>
      <c r="B8637" t="s">
        <v>16154</v>
      </c>
      <c r="C8637" s="1">
        <v>44083</v>
      </c>
      <c r="D8637" t="b">
        <v>1</v>
      </c>
      <c r="E8637" t="s">
        <v>10</v>
      </c>
      <c r="F8637">
        <v>11110</v>
      </c>
    </row>
    <row r="8638" spans="1:6" x14ac:dyDescent="0.25">
      <c r="A8638" t="s">
        <v>16155</v>
      </c>
      <c r="B8638" t="s">
        <v>16156</v>
      </c>
      <c r="C8638" s="1">
        <v>44083</v>
      </c>
      <c r="D8638" t="b">
        <v>1</v>
      </c>
      <c r="E8638" t="s">
        <v>10</v>
      </c>
      <c r="F8638">
        <v>13973</v>
      </c>
    </row>
    <row r="8639" spans="1:6" x14ac:dyDescent="0.25">
      <c r="A8639" t="s">
        <v>16157</v>
      </c>
      <c r="B8639" t="s">
        <v>16158</v>
      </c>
      <c r="C8639" s="1">
        <v>44083</v>
      </c>
      <c r="D8639" t="b">
        <v>1</v>
      </c>
      <c r="E8639" t="s">
        <v>10</v>
      </c>
      <c r="F8639">
        <v>7400</v>
      </c>
    </row>
    <row r="8640" spans="1:6" x14ac:dyDescent="0.25">
      <c r="A8640" t="s">
        <v>16159</v>
      </c>
      <c r="B8640" t="s">
        <v>16160</v>
      </c>
      <c r="C8640" s="1">
        <v>44083</v>
      </c>
      <c r="D8640" t="b">
        <v>1</v>
      </c>
      <c r="E8640" t="s">
        <v>10</v>
      </c>
      <c r="F8640">
        <v>9167</v>
      </c>
    </row>
    <row r="8641" spans="1:6" x14ac:dyDescent="0.25">
      <c r="A8641" t="s">
        <v>16161</v>
      </c>
      <c r="B8641" t="s">
        <v>16162</v>
      </c>
      <c r="C8641" s="1">
        <v>44083</v>
      </c>
      <c r="D8641" t="b">
        <v>1</v>
      </c>
      <c r="E8641" t="s">
        <v>10</v>
      </c>
      <c r="F8641">
        <v>7401</v>
      </c>
    </row>
    <row r="8642" spans="1:6" x14ac:dyDescent="0.25">
      <c r="A8642" t="s">
        <v>16163</v>
      </c>
      <c r="B8642" t="s">
        <v>16164</v>
      </c>
      <c r="C8642" s="1">
        <v>44083</v>
      </c>
      <c r="D8642" t="b">
        <v>1</v>
      </c>
      <c r="E8642" t="s">
        <v>10</v>
      </c>
      <c r="F8642">
        <v>7402</v>
      </c>
    </row>
    <row r="8643" spans="1:6" x14ac:dyDescent="0.25">
      <c r="A8643" t="s">
        <v>16165</v>
      </c>
      <c r="B8643" t="s">
        <v>16166</v>
      </c>
      <c r="C8643" s="1">
        <v>44083</v>
      </c>
      <c r="D8643" t="b">
        <v>1</v>
      </c>
      <c r="E8643" t="s">
        <v>10</v>
      </c>
      <c r="F8643">
        <v>7404</v>
      </c>
    </row>
    <row r="8644" spans="1:6" x14ac:dyDescent="0.25">
      <c r="A8644" t="s">
        <v>16167</v>
      </c>
      <c r="B8644" t="s">
        <v>16168</v>
      </c>
      <c r="C8644" s="1">
        <v>44083</v>
      </c>
      <c r="D8644" t="b">
        <v>1</v>
      </c>
      <c r="E8644" t="s">
        <v>10</v>
      </c>
      <c r="F8644">
        <v>15452</v>
      </c>
    </row>
    <row r="8645" spans="1:6" x14ac:dyDescent="0.25">
      <c r="A8645" t="s">
        <v>16169</v>
      </c>
      <c r="B8645" t="s">
        <v>16170</v>
      </c>
      <c r="C8645" s="1">
        <v>44083</v>
      </c>
      <c r="D8645" t="b">
        <v>1</v>
      </c>
      <c r="E8645" t="s">
        <v>10</v>
      </c>
      <c r="F8645">
        <v>7408</v>
      </c>
    </row>
    <row r="8646" spans="1:6" x14ac:dyDescent="0.25">
      <c r="A8646" t="s">
        <v>16171</v>
      </c>
      <c r="C8646" s="1">
        <v>44083</v>
      </c>
      <c r="D8646" t="b">
        <v>1</v>
      </c>
      <c r="E8646" t="s">
        <v>10</v>
      </c>
      <c r="F8646">
        <v>11501</v>
      </c>
    </row>
    <row r="8647" spans="1:6" x14ac:dyDescent="0.25">
      <c r="A8647" t="s">
        <v>16172</v>
      </c>
      <c r="B8647" t="s">
        <v>16173</v>
      </c>
      <c r="C8647" s="1">
        <v>44083</v>
      </c>
      <c r="D8647" t="b">
        <v>1</v>
      </c>
      <c r="E8647" t="s">
        <v>10</v>
      </c>
      <c r="F8647">
        <v>15263</v>
      </c>
    </row>
    <row r="8648" spans="1:6" x14ac:dyDescent="0.25">
      <c r="A8648" t="s">
        <v>16174</v>
      </c>
      <c r="B8648" t="s">
        <v>16175</v>
      </c>
      <c r="C8648" s="1">
        <v>44083</v>
      </c>
      <c r="D8648" t="b">
        <v>1</v>
      </c>
      <c r="E8648" t="s">
        <v>10</v>
      </c>
      <c r="F8648">
        <v>7409</v>
      </c>
    </row>
    <row r="8649" spans="1:6" x14ac:dyDescent="0.25">
      <c r="A8649" t="s">
        <v>16176</v>
      </c>
      <c r="B8649" t="s">
        <v>16177</v>
      </c>
      <c r="C8649" s="1">
        <v>44083</v>
      </c>
      <c r="D8649" t="b">
        <v>1</v>
      </c>
      <c r="E8649" t="s">
        <v>10</v>
      </c>
      <c r="F8649">
        <v>7410</v>
      </c>
    </row>
    <row r="8650" spans="1:6" x14ac:dyDescent="0.25">
      <c r="A8650" t="s">
        <v>16178</v>
      </c>
      <c r="B8650" t="s">
        <v>16179</v>
      </c>
      <c r="C8650" s="1">
        <v>44083</v>
      </c>
      <c r="D8650" t="b">
        <v>1</v>
      </c>
      <c r="E8650" t="s">
        <v>10</v>
      </c>
      <c r="F8650">
        <v>8505</v>
      </c>
    </row>
    <row r="8651" spans="1:6" x14ac:dyDescent="0.25">
      <c r="A8651" t="s">
        <v>16180</v>
      </c>
      <c r="B8651" t="s">
        <v>16181</v>
      </c>
      <c r="C8651" s="1">
        <v>44083</v>
      </c>
      <c r="D8651" t="b">
        <v>1</v>
      </c>
      <c r="E8651" t="s">
        <v>10</v>
      </c>
      <c r="F8651">
        <v>8546</v>
      </c>
    </row>
    <row r="8652" spans="1:6" x14ac:dyDescent="0.25">
      <c r="A8652" t="s">
        <v>16182</v>
      </c>
      <c r="B8652" t="s">
        <v>16183</v>
      </c>
      <c r="C8652" s="1">
        <v>44083</v>
      </c>
      <c r="D8652" t="b">
        <v>1</v>
      </c>
      <c r="E8652" t="s">
        <v>10</v>
      </c>
      <c r="F8652">
        <v>7405</v>
      </c>
    </row>
    <row r="8653" spans="1:6" x14ac:dyDescent="0.25">
      <c r="A8653" t="s">
        <v>16184</v>
      </c>
      <c r="B8653" t="s">
        <v>16185</v>
      </c>
      <c r="C8653" s="1">
        <v>44083</v>
      </c>
      <c r="D8653" t="b">
        <v>1</v>
      </c>
      <c r="E8653" t="s">
        <v>10</v>
      </c>
      <c r="F8653">
        <v>8049</v>
      </c>
    </row>
    <row r="8654" spans="1:6" x14ac:dyDescent="0.25">
      <c r="A8654" t="s">
        <v>16186</v>
      </c>
      <c r="B8654" t="s">
        <v>16187</v>
      </c>
      <c r="C8654" s="1">
        <v>44083</v>
      </c>
      <c r="D8654" t="b">
        <v>1</v>
      </c>
      <c r="E8654" t="s">
        <v>10</v>
      </c>
      <c r="F8654">
        <v>9187</v>
      </c>
    </row>
    <row r="8655" spans="1:6" x14ac:dyDescent="0.25">
      <c r="A8655" t="s">
        <v>16188</v>
      </c>
      <c r="B8655" t="s">
        <v>16189</v>
      </c>
      <c r="C8655" s="1">
        <v>44083</v>
      </c>
      <c r="D8655" t="b">
        <v>1</v>
      </c>
      <c r="E8655" t="s">
        <v>10</v>
      </c>
      <c r="F8655">
        <v>9196</v>
      </c>
    </row>
    <row r="8656" spans="1:6" x14ac:dyDescent="0.25">
      <c r="A8656" t="s">
        <v>16190</v>
      </c>
      <c r="B8656" t="s">
        <v>16191</v>
      </c>
      <c r="C8656" s="1">
        <v>44083</v>
      </c>
      <c r="D8656" t="b">
        <v>1</v>
      </c>
      <c r="E8656" t="s">
        <v>10</v>
      </c>
      <c r="F8656">
        <v>9197</v>
      </c>
    </row>
    <row r="8657" spans="1:6" x14ac:dyDescent="0.25">
      <c r="A8657" t="s">
        <v>16192</v>
      </c>
      <c r="B8657" t="s">
        <v>16193</v>
      </c>
      <c r="C8657" s="1">
        <v>44083</v>
      </c>
      <c r="D8657" t="b">
        <v>1</v>
      </c>
      <c r="E8657" t="s">
        <v>10</v>
      </c>
      <c r="F8657">
        <v>9199</v>
      </c>
    </row>
    <row r="8658" spans="1:6" x14ac:dyDescent="0.25">
      <c r="A8658" t="s">
        <v>16194</v>
      </c>
      <c r="B8658" t="s">
        <v>16195</v>
      </c>
      <c r="C8658" s="1">
        <v>44083</v>
      </c>
      <c r="D8658" t="b">
        <v>1</v>
      </c>
      <c r="E8658" t="s">
        <v>10</v>
      </c>
      <c r="F8658">
        <v>9200</v>
      </c>
    </row>
    <row r="8659" spans="1:6" x14ac:dyDescent="0.25">
      <c r="A8659" t="s">
        <v>16196</v>
      </c>
      <c r="B8659" t="s">
        <v>16197</v>
      </c>
      <c r="C8659" s="1">
        <v>44083</v>
      </c>
      <c r="D8659" t="b">
        <v>1</v>
      </c>
      <c r="E8659" t="s">
        <v>10</v>
      </c>
      <c r="F8659">
        <v>15946</v>
      </c>
    </row>
    <row r="8660" spans="1:6" x14ac:dyDescent="0.25">
      <c r="A8660" t="s">
        <v>16198</v>
      </c>
      <c r="B8660" t="s">
        <v>16199</v>
      </c>
      <c r="C8660" s="1">
        <v>44083</v>
      </c>
      <c r="D8660" t="b">
        <v>1</v>
      </c>
      <c r="E8660" t="s">
        <v>10</v>
      </c>
      <c r="F8660">
        <v>15794</v>
      </c>
    </row>
    <row r="8661" spans="1:6" x14ac:dyDescent="0.25">
      <c r="A8661" t="s">
        <v>16200</v>
      </c>
      <c r="B8661" t="s">
        <v>16201</v>
      </c>
      <c r="C8661" s="1">
        <v>44083</v>
      </c>
      <c r="D8661" t="b">
        <v>1</v>
      </c>
      <c r="E8661" t="s">
        <v>10</v>
      </c>
      <c r="F8661">
        <v>12214</v>
      </c>
    </row>
    <row r="8662" spans="1:6" x14ac:dyDescent="0.25">
      <c r="A8662" t="s">
        <v>16202</v>
      </c>
      <c r="B8662" t="s">
        <v>16203</v>
      </c>
      <c r="C8662" s="1">
        <v>44083</v>
      </c>
      <c r="D8662" t="b">
        <v>1</v>
      </c>
      <c r="E8662" t="s">
        <v>10</v>
      </c>
      <c r="F8662">
        <v>7417</v>
      </c>
    </row>
    <row r="8663" spans="1:6" x14ac:dyDescent="0.25">
      <c r="A8663" t="s">
        <v>16204</v>
      </c>
      <c r="B8663" t="s">
        <v>16205</v>
      </c>
      <c r="C8663" s="1">
        <v>44083</v>
      </c>
      <c r="D8663" t="b">
        <v>1</v>
      </c>
      <c r="E8663" t="s">
        <v>10</v>
      </c>
      <c r="F8663">
        <v>15110</v>
      </c>
    </row>
    <row r="8664" spans="1:6" x14ac:dyDescent="0.25">
      <c r="A8664" t="s">
        <v>16206</v>
      </c>
      <c r="B8664" t="s">
        <v>16207</v>
      </c>
      <c r="C8664" s="1">
        <v>44083</v>
      </c>
      <c r="D8664" t="b">
        <v>1</v>
      </c>
      <c r="E8664" t="s">
        <v>10</v>
      </c>
      <c r="F8664">
        <v>7420</v>
      </c>
    </row>
    <row r="8665" spans="1:6" x14ac:dyDescent="0.25">
      <c r="A8665" t="s">
        <v>16208</v>
      </c>
      <c r="C8665" s="1">
        <v>44083</v>
      </c>
      <c r="D8665" t="b">
        <v>1</v>
      </c>
      <c r="E8665" t="s">
        <v>10</v>
      </c>
      <c r="F8665">
        <v>13943</v>
      </c>
    </row>
    <row r="8666" spans="1:6" x14ac:dyDescent="0.25">
      <c r="A8666" t="s">
        <v>16209</v>
      </c>
      <c r="B8666" t="s">
        <v>16210</v>
      </c>
      <c r="C8666" s="1">
        <v>44083</v>
      </c>
      <c r="D8666" t="b">
        <v>1</v>
      </c>
      <c r="E8666" t="s">
        <v>10</v>
      </c>
      <c r="F8666">
        <v>11083</v>
      </c>
    </row>
    <row r="8667" spans="1:6" x14ac:dyDescent="0.25">
      <c r="A8667" t="s">
        <v>16211</v>
      </c>
      <c r="B8667" t="s">
        <v>16212</v>
      </c>
      <c r="C8667" s="1">
        <v>44083</v>
      </c>
      <c r="D8667" t="b">
        <v>1</v>
      </c>
      <c r="E8667" t="s">
        <v>10</v>
      </c>
      <c r="F8667">
        <v>7422</v>
      </c>
    </row>
    <row r="8668" spans="1:6" x14ac:dyDescent="0.25">
      <c r="A8668" t="s">
        <v>16213</v>
      </c>
      <c r="C8668" s="1">
        <v>44083</v>
      </c>
      <c r="D8668" t="b">
        <v>1</v>
      </c>
      <c r="E8668" t="s">
        <v>10</v>
      </c>
      <c r="F8668">
        <v>16869</v>
      </c>
    </row>
    <row r="8669" spans="1:6" x14ac:dyDescent="0.25">
      <c r="A8669" t="s">
        <v>16214</v>
      </c>
      <c r="B8669" t="s">
        <v>16215</v>
      </c>
      <c r="C8669" s="1">
        <v>44083</v>
      </c>
      <c r="D8669" t="b">
        <v>1</v>
      </c>
      <c r="E8669" t="s">
        <v>10</v>
      </c>
      <c r="F8669">
        <v>16045</v>
      </c>
    </row>
    <row r="8670" spans="1:6" x14ac:dyDescent="0.25">
      <c r="A8670" t="s">
        <v>16216</v>
      </c>
      <c r="B8670" t="s">
        <v>16217</v>
      </c>
      <c r="C8670" s="1">
        <v>44083</v>
      </c>
      <c r="D8670" t="b">
        <v>1</v>
      </c>
      <c r="E8670" t="s">
        <v>10</v>
      </c>
      <c r="F8670">
        <v>748</v>
      </c>
    </row>
    <row r="8671" spans="1:6" x14ac:dyDescent="0.25">
      <c r="A8671" t="s">
        <v>16218</v>
      </c>
      <c r="B8671" t="s">
        <v>16219</v>
      </c>
      <c r="C8671" s="1">
        <v>44083</v>
      </c>
      <c r="D8671" t="b">
        <v>1</v>
      </c>
      <c r="E8671" t="s">
        <v>10</v>
      </c>
      <c r="F8671">
        <v>7428</v>
      </c>
    </row>
    <row r="8672" spans="1:6" x14ac:dyDescent="0.25">
      <c r="A8672" t="s">
        <v>16220</v>
      </c>
      <c r="B8672" t="s">
        <v>16221</v>
      </c>
      <c r="C8672" s="1">
        <v>44083</v>
      </c>
      <c r="D8672" t="b">
        <v>1</v>
      </c>
      <c r="E8672" t="s">
        <v>10</v>
      </c>
      <c r="F8672">
        <v>7429</v>
      </c>
    </row>
    <row r="8673" spans="1:6" x14ac:dyDescent="0.25">
      <c r="A8673" t="s">
        <v>16222</v>
      </c>
      <c r="B8673" t="s">
        <v>16223</v>
      </c>
      <c r="C8673" s="1">
        <v>44083</v>
      </c>
      <c r="D8673" t="b">
        <v>1</v>
      </c>
      <c r="E8673" t="s">
        <v>10</v>
      </c>
      <c r="F8673">
        <v>7430</v>
      </c>
    </row>
    <row r="8674" spans="1:6" x14ac:dyDescent="0.25">
      <c r="A8674" t="s">
        <v>16224</v>
      </c>
      <c r="B8674" t="s">
        <v>16225</v>
      </c>
      <c r="C8674" s="1">
        <v>44083</v>
      </c>
      <c r="D8674" t="b">
        <v>1</v>
      </c>
      <c r="E8674" t="s">
        <v>10</v>
      </c>
      <c r="F8674">
        <v>7431</v>
      </c>
    </row>
    <row r="8675" spans="1:6" x14ac:dyDescent="0.25">
      <c r="A8675" t="s">
        <v>16226</v>
      </c>
      <c r="B8675" t="s">
        <v>16227</v>
      </c>
      <c r="C8675" s="1">
        <v>44083</v>
      </c>
      <c r="D8675" t="b">
        <v>1</v>
      </c>
      <c r="E8675" t="s">
        <v>10</v>
      </c>
      <c r="F8675">
        <v>7432</v>
      </c>
    </row>
    <row r="8676" spans="1:6" x14ac:dyDescent="0.25">
      <c r="A8676" t="s">
        <v>16228</v>
      </c>
      <c r="B8676" t="s">
        <v>16229</v>
      </c>
      <c r="C8676" s="1">
        <v>44083</v>
      </c>
      <c r="D8676" t="b">
        <v>1</v>
      </c>
      <c r="E8676" t="s">
        <v>10</v>
      </c>
      <c r="F8676">
        <v>7433</v>
      </c>
    </row>
    <row r="8677" spans="1:6" x14ac:dyDescent="0.25">
      <c r="A8677" t="s">
        <v>16230</v>
      </c>
      <c r="B8677" t="s">
        <v>16231</v>
      </c>
      <c r="C8677" s="1">
        <v>44083</v>
      </c>
      <c r="D8677" t="b">
        <v>1</v>
      </c>
      <c r="E8677" t="s">
        <v>10</v>
      </c>
      <c r="F8677">
        <v>7435</v>
      </c>
    </row>
    <row r="8678" spans="1:6" x14ac:dyDescent="0.25">
      <c r="A8678" t="s">
        <v>16232</v>
      </c>
      <c r="B8678" t="s">
        <v>16233</v>
      </c>
      <c r="C8678" s="1">
        <v>44083</v>
      </c>
      <c r="D8678" t="b">
        <v>1</v>
      </c>
      <c r="E8678" t="s">
        <v>10</v>
      </c>
      <c r="F8678">
        <v>7436</v>
      </c>
    </row>
    <row r="8679" spans="1:6" x14ac:dyDescent="0.25">
      <c r="A8679" t="s">
        <v>16234</v>
      </c>
      <c r="B8679" t="s">
        <v>16235</v>
      </c>
      <c r="C8679" s="1">
        <v>44083</v>
      </c>
      <c r="D8679" t="b">
        <v>1</v>
      </c>
      <c r="E8679" t="s">
        <v>10</v>
      </c>
      <c r="F8679">
        <v>16278</v>
      </c>
    </row>
    <row r="8680" spans="1:6" x14ac:dyDescent="0.25">
      <c r="A8680" t="s">
        <v>16236</v>
      </c>
      <c r="B8680" t="s">
        <v>16235</v>
      </c>
      <c r="C8680" s="1">
        <v>44083</v>
      </c>
      <c r="D8680" t="b">
        <v>1</v>
      </c>
      <c r="E8680" t="s">
        <v>10</v>
      </c>
      <c r="F8680">
        <v>16279</v>
      </c>
    </row>
    <row r="8681" spans="1:6" x14ac:dyDescent="0.25">
      <c r="A8681" t="s">
        <v>16237</v>
      </c>
      <c r="B8681" t="s">
        <v>16238</v>
      </c>
      <c r="C8681" s="1">
        <v>44083</v>
      </c>
      <c r="D8681" t="b">
        <v>1</v>
      </c>
      <c r="E8681" t="s">
        <v>10</v>
      </c>
      <c r="F8681">
        <v>7438</v>
      </c>
    </row>
    <row r="8682" spans="1:6" x14ac:dyDescent="0.25">
      <c r="A8682" t="s">
        <v>16239</v>
      </c>
      <c r="B8682" t="s">
        <v>16240</v>
      </c>
      <c r="C8682" s="1">
        <v>44083</v>
      </c>
      <c r="D8682" t="b">
        <v>1</v>
      </c>
      <c r="E8682" t="s">
        <v>10</v>
      </c>
      <c r="F8682">
        <v>14921</v>
      </c>
    </row>
    <row r="8683" spans="1:6" x14ac:dyDescent="0.25">
      <c r="A8683" t="s">
        <v>16241</v>
      </c>
      <c r="B8683" t="s">
        <v>16242</v>
      </c>
      <c r="C8683" s="1">
        <v>44083</v>
      </c>
      <c r="D8683" t="b">
        <v>1</v>
      </c>
      <c r="E8683" t="s">
        <v>10</v>
      </c>
      <c r="F8683">
        <v>3138</v>
      </c>
    </row>
    <row r="8684" spans="1:6" x14ac:dyDescent="0.25">
      <c r="A8684" t="s">
        <v>16243</v>
      </c>
      <c r="B8684" t="s">
        <v>16244</v>
      </c>
      <c r="C8684" s="1">
        <v>44083</v>
      </c>
      <c r="D8684" t="b">
        <v>1</v>
      </c>
      <c r="E8684" t="s">
        <v>10</v>
      </c>
      <c r="F8684">
        <v>7440</v>
      </c>
    </row>
    <row r="8685" spans="1:6" x14ac:dyDescent="0.25">
      <c r="A8685" t="s">
        <v>16245</v>
      </c>
      <c r="B8685" t="s">
        <v>16246</v>
      </c>
      <c r="C8685" s="1">
        <v>44083</v>
      </c>
      <c r="D8685" t="b">
        <v>1</v>
      </c>
      <c r="E8685" t="s">
        <v>10</v>
      </c>
      <c r="F8685">
        <v>7441</v>
      </c>
    </row>
    <row r="8686" spans="1:6" x14ac:dyDescent="0.25">
      <c r="A8686" t="s">
        <v>16247</v>
      </c>
      <c r="B8686" t="s">
        <v>16248</v>
      </c>
      <c r="C8686" s="1">
        <v>44083</v>
      </c>
      <c r="D8686" t="b">
        <v>1</v>
      </c>
      <c r="E8686" t="s">
        <v>10</v>
      </c>
      <c r="F8686">
        <v>7462</v>
      </c>
    </row>
    <row r="8687" spans="1:6" x14ac:dyDescent="0.25">
      <c r="A8687" t="s">
        <v>16249</v>
      </c>
      <c r="B8687" t="s">
        <v>16250</v>
      </c>
      <c r="C8687" s="1">
        <v>44083</v>
      </c>
      <c r="D8687" t="b">
        <v>1</v>
      </c>
      <c r="E8687" t="s">
        <v>10</v>
      </c>
      <c r="F8687">
        <v>7443</v>
      </c>
    </row>
    <row r="8688" spans="1:6" x14ac:dyDescent="0.25">
      <c r="A8688" t="s">
        <v>16251</v>
      </c>
      <c r="B8688" t="s">
        <v>16252</v>
      </c>
      <c r="C8688" s="1">
        <v>44083</v>
      </c>
      <c r="D8688" t="b">
        <v>1</v>
      </c>
      <c r="E8688" t="s">
        <v>10</v>
      </c>
      <c r="F8688">
        <v>7444</v>
      </c>
    </row>
    <row r="8689" spans="1:6" x14ac:dyDescent="0.25">
      <c r="A8689" t="s">
        <v>16253</v>
      </c>
      <c r="B8689" t="s">
        <v>16254</v>
      </c>
      <c r="C8689" s="1">
        <v>44083</v>
      </c>
      <c r="D8689" t="b">
        <v>1</v>
      </c>
      <c r="E8689" t="s">
        <v>10</v>
      </c>
      <c r="F8689">
        <v>7445</v>
      </c>
    </row>
    <row r="8690" spans="1:6" x14ac:dyDescent="0.25">
      <c r="A8690" t="s">
        <v>16255</v>
      </c>
      <c r="B8690" t="s">
        <v>16256</v>
      </c>
      <c r="C8690" s="1">
        <v>44083</v>
      </c>
      <c r="D8690" t="b">
        <v>1</v>
      </c>
      <c r="E8690" t="s">
        <v>10</v>
      </c>
      <c r="F8690">
        <v>15375</v>
      </c>
    </row>
    <row r="8691" spans="1:6" x14ac:dyDescent="0.25">
      <c r="A8691" t="s">
        <v>16257</v>
      </c>
      <c r="B8691" t="s">
        <v>16258</v>
      </c>
      <c r="C8691" s="1">
        <v>44083</v>
      </c>
      <c r="D8691" t="b">
        <v>1</v>
      </c>
      <c r="E8691" t="s">
        <v>10</v>
      </c>
      <c r="F8691">
        <v>7448</v>
      </c>
    </row>
    <row r="8692" spans="1:6" x14ac:dyDescent="0.25">
      <c r="A8692" t="s">
        <v>16259</v>
      </c>
      <c r="C8692" s="1">
        <v>44083</v>
      </c>
      <c r="D8692" t="b">
        <v>1</v>
      </c>
      <c r="E8692" t="s">
        <v>10</v>
      </c>
      <c r="F8692">
        <v>7450</v>
      </c>
    </row>
    <row r="8693" spans="1:6" x14ac:dyDescent="0.25">
      <c r="A8693" t="s">
        <v>16260</v>
      </c>
      <c r="C8693" s="1">
        <v>44083</v>
      </c>
      <c r="D8693" t="b">
        <v>1</v>
      </c>
      <c r="E8693" t="s">
        <v>10</v>
      </c>
      <c r="F8693">
        <v>7451</v>
      </c>
    </row>
    <row r="8694" spans="1:6" x14ac:dyDescent="0.25">
      <c r="A8694" t="s">
        <v>16261</v>
      </c>
      <c r="C8694" s="1">
        <v>44083</v>
      </c>
      <c r="D8694" t="b">
        <v>1</v>
      </c>
      <c r="E8694" t="s">
        <v>10</v>
      </c>
      <c r="F8694">
        <v>7452</v>
      </c>
    </row>
    <row r="8695" spans="1:6" x14ac:dyDescent="0.25">
      <c r="A8695" t="s">
        <v>16262</v>
      </c>
      <c r="C8695" s="1">
        <v>44083</v>
      </c>
      <c r="D8695" t="b">
        <v>1</v>
      </c>
      <c r="E8695" t="s">
        <v>10</v>
      </c>
      <c r="F8695">
        <v>7453</v>
      </c>
    </row>
    <row r="8696" spans="1:6" x14ac:dyDescent="0.25">
      <c r="A8696" t="s">
        <v>16263</v>
      </c>
      <c r="C8696" s="1">
        <v>44083</v>
      </c>
      <c r="D8696" t="b">
        <v>1</v>
      </c>
      <c r="E8696" t="s">
        <v>10</v>
      </c>
      <c r="F8696">
        <v>7454</v>
      </c>
    </row>
    <row r="8697" spans="1:6" x14ac:dyDescent="0.25">
      <c r="A8697" t="s">
        <v>16264</v>
      </c>
      <c r="C8697" s="1">
        <v>44083</v>
      </c>
      <c r="D8697" t="b">
        <v>1</v>
      </c>
      <c r="E8697" t="s">
        <v>10</v>
      </c>
      <c r="F8697">
        <v>8178</v>
      </c>
    </row>
    <row r="8698" spans="1:6" x14ac:dyDescent="0.25">
      <c r="A8698" t="s">
        <v>16265</v>
      </c>
      <c r="C8698" s="1">
        <v>44083</v>
      </c>
      <c r="D8698" t="b">
        <v>1</v>
      </c>
      <c r="E8698" t="s">
        <v>10</v>
      </c>
      <c r="F8698">
        <v>9102</v>
      </c>
    </row>
    <row r="8699" spans="1:6" x14ac:dyDescent="0.25">
      <c r="A8699" t="s">
        <v>16266</v>
      </c>
      <c r="C8699" s="1">
        <v>44083</v>
      </c>
      <c r="D8699" t="b">
        <v>1</v>
      </c>
      <c r="E8699" t="s">
        <v>10</v>
      </c>
      <c r="F8699">
        <v>10541</v>
      </c>
    </row>
    <row r="8700" spans="1:6" x14ac:dyDescent="0.25">
      <c r="A8700" t="s">
        <v>16267</v>
      </c>
      <c r="C8700" s="1">
        <v>44083</v>
      </c>
      <c r="D8700" t="b">
        <v>1</v>
      </c>
      <c r="E8700" t="s">
        <v>10</v>
      </c>
      <c r="F8700">
        <v>11047</v>
      </c>
    </row>
    <row r="8701" spans="1:6" x14ac:dyDescent="0.25">
      <c r="A8701" t="s">
        <v>16268</v>
      </c>
      <c r="C8701" s="1">
        <v>44083</v>
      </c>
      <c r="D8701" t="b">
        <v>1</v>
      </c>
      <c r="E8701" t="s">
        <v>10</v>
      </c>
      <c r="F8701">
        <v>11498</v>
      </c>
    </row>
    <row r="8702" spans="1:6" x14ac:dyDescent="0.25">
      <c r="A8702" t="s">
        <v>16269</v>
      </c>
      <c r="C8702" s="1">
        <v>44083</v>
      </c>
      <c r="D8702" t="b">
        <v>1</v>
      </c>
      <c r="E8702" t="s">
        <v>10</v>
      </c>
      <c r="F8702">
        <v>12815</v>
      </c>
    </row>
    <row r="8703" spans="1:6" x14ac:dyDescent="0.25">
      <c r="A8703" t="s">
        <v>16270</v>
      </c>
      <c r="C8703" s="1">
        <v>44083</v>
      </c>
      <c r="D8703" t="b">
        <v>1</v>
      </c>
      <c r="E8703" t="s">
        <v>10</v>
      </c>
      <c r="F8703">
        <v>16489</v>
      </c>
    </row>
    <row r="8704" spans="1:6" x14ac:dyDescent="0.25">
      <c r="A8704" t="s">
        <v>16271</v>
      </c>
      <c r="B8704" t="s">
        <v>16272</v>
      </c>
      <c r="C8704" s="1">
        <v>44083</v>
      </c>
      <c r="D8704" t="b">
        <v>1</v>
      </c>
      <c r="E8704" t="s">
        <v>10</v>
      </c>
      <c r="F8704">
        <v>16886</v>
      </c>
    </row>
    <row r="8705" spans="1:6" x14ac:dyDescent="0.25">
      <c r="A8705" t="s">
        <v>16273</v>
      </c>
      <c r="B8705" t="s">
        <v>16274</v>
      </c>
      <c r="C8705" s="1">
        <v>44083</v>
      </c>
      <c r="D8705" t="b">
        <v>1</v>
      </c>
      <c r="E8705" t="s">
        <v>10</v>
      </c>
      <c r="F8705">
        <v>11292</v>
      </c>
    </row>
    <row r="8706" spans="1:6" x14ac:dyDescent="0.25">
      <c r="A8706" t="s">
        <v>16275</v>
      </c>
      <c r="B8706" t="s">
        <v>16276</v>
      </c>
      <c r="C8706" s="1">
        <v>44083</v>
      </c>
      <c r="D8706" t="b">
        <v>1</v>
      </c>
      <c r="E8706" t="s">
        <v>10</v>
      </c>
      <c r="F8706">
        <v>11293</v>
      </c>
    </row>
    <row r="8707" spans="1:6" x14ac:dyDescent="0.25">
      <c r="A8707" t="s">
        <v>16277</v>
      </c>
      <c r="B8707" t="s">
        <v>16278</v>
      </c>
      <c r="C8707" s="1">
        <v>44083</v>
      </c>
      <c r="D8707" t="b">
        <v>1</v>
      </c>
      <c r="E8707" t="s">
        <v>10</v>
      </c>
      <c r="F8707">
        <v>7461</v>
      </c>
    </row>
    <row r="8708" spans="1:6" x14ac:dyDescent="0.25">
      <c r="A8708" t="s">
        <v>16279</v>
      </c>
      <c r="B8708" t="s">
        <v>16280</v>
      </c>
      <c r="C8708" s="1">
        <v>44083</v>
      </c>
      <c r="D8708" t="b">
        <v>1</v>
      </c>
      <c r="E8708" t="s">
        <v>10</v>
      </c>
      <c r="F8708">
        <v>14571</v>
      </c>
    </row>
    <row r="8709" spans="1:6" x14ac:dyDescent="0.25">
      <c r="A8709" t="s">
        <v>16281</v>
      </c>
      <c r="B8709" t="s">
        <v>16282</v>
      </c>
      <c r="C8709" s="1">
        <v>44083</v>
      </c>
      <c r="D8709" t="b">
        <v>1</v>
      </c>
      <c r="E8709" t="s">
        <v>10</v>
      </c>
      <c r="F8709">
        <v>14020</v>
      </c>
    </row>
    <row r="8710" spans="1:6" x14ac:dyDescent="0.25">
      <c r="A8710" t="s">
        <v>16283</v>
      </c>
      <c r="B8710" t="s">
        <v>16284</v>
      </c>
      <c r="C8710" s="1">
        <v>44083</v>
      </c>
      <c r="D8710" t="b">
        <v>1</v>
      </c>
      <c r="E8710" t="s">
        <v>10</v>
      </c>
      <c r="F8710">
        <v>7464</v>
      </c>
    </row>
    <row r="8711" spans="1:6" x14ac:dyDescent="0.25">
      <c r="A8711" t="s">
        <v>16285</v>
      </c>
      <c r="C8711" s="1">
        <v>44083</v>
      </c>
      <c r="D8711" t="b">
        <v>1</v>
      </c>
      <c r="E8711" t="s">
        <v>10</v>
      </c>
      <c r="F8711">
        <v>15270</v>
      </c>
    </row>
    <row r="8712" spans="1:6" x14ac:dyDescent="0.25">
      <c r="A8712" t="s">
        <v>16286</v>
      </c>
      <c r="B8712" t="s">
        <v>16287</v>
      </c>
      <c r="C8712" s="1">
        <v>44083</v>
      </c>
      <c r="D8712" t="b">
        <v>1</v>
      </c>
      <c r="E8712" t="s">
        <v>10</v>
      </c>
      <c r="F8712">
        <v>7466</v>
      </c>
    </row>
    <row r="8713" spans="1:6" x14ac:dyDescent="0.25">
      <c r="A8713" t="s">
        <v>16288</v>
      </c>
      <c r="B8713" t="s">
        <v>16289</v>
      </c>
      <c r="C8713" s="1">
        <v>44083</v>
      </c>
      <c r="D8713" t="b">
        <v>1</v>
      </c>
      <c r="E8713" t="s">
        <v>10</v>
      </c>
      <c r="F8713">
        <v>9120</v>
      </c>
    </row>
    <row r="8714" spans="1:6" x14ac:dyDescent="0.25">
      <c r="A8714" t="s">
        <v>16290</v>
      </c>
      <c r="B8714" t="s">
        <v>16291</v>
      </c>
      <c r="C8714" s="1">
        <v>44083</v>
      </c>
      <c r="D8714" t="b">
        <v>1</v>
      </c>
      <c r="E8714" t="s">
        <v>10</v>
      </c>
      <c r="F8714">
        <v>7467</v>
      </c>
    </row>
    <row r="8715" spans="1:6" x14ac:dyDescent="0.25">
      <c r="A8715" t="s">
        <v>16292</v>
      </c>
      <c r="C8715" s="1">
        <v>44083</v>
      </c>
      <c r="D8715" t="b">
        <v>1</v>
      </c>
      <c r="E8715" t="s">
        <v>10</v>
      </c>
      <c r="F8715">
        <v>11839</v>
      </c>
    </row>
    <row r="8716" spans="1:6" x14ac:dyDescent="0.25">
      <c r="A8716" t="s">
        <v>16293</v>
      </c>
      <c r="C8716" s="1">
        <v>44083</v>
      </c>
      <c r="D8716" t="b">
        <v>1</v>
      </c>
      <c r="E8716" t="s">
        <v>10</v>
      </c>
      <c r="F8716">
        <v>8586</v>
      </c>
    </row>
    <row r="8717" spans="1:6" x14ac:dyDescent="0.25">
      <c r="A8717" t="s">
        <v>16294</v>
      </c>
      <c r="B8717" t="s">
        <v>16295</v>
      </c>
      <c r="C8717" s="1">
        <v>44083</v>
      </c>
      <c r="D8717" t="b">
        <v>1</v>
      </c>
      <c r="E8717" t="s">
        <v>10</v>
      </c>
      <c r="F8717">
        <v>7468</v>
      </c>
    </row>
    <row r="8718" spans="1:6" x14ac:dyDescent="0.25">
      <c r="A8718" t="s">
        <v>16296</v>
      </c>
      <c r="B8718" t="s">
        <v>16297</v>
      </c>
      <c r="C8718" s="1">
        <v>44083</v>
      </c>
      <c r="D8718" t="b">
        <v>1</v>
      </c>
      <c r="E8718" t="s">
        <v>10</v>
      </c>
      <c r="F8718">
        <v>7471</v>
      </c>
    </row>
    <row r="8719" spans="1:6" x14ac:dyDescent="0.25">
      <c r="A8719" t="s">
        <v>16298</v>
      </c>
      <c r="B8719" t="s">
        <v>16299</v>
      </c>
      <c r="C8719" s="1">
        <v>44083</v>
      </c>
      <c r="D8719" t="b">
        <v>1</v>
      </c>
      <c r="E8719" t="s">
        <v>10</v>
      </c>
      <c r="F8719">
        <v>7473</v>
      </c>
    </row>
    <row r="8720" spans="1:6" x14ac:dyDescent="0.25">
      <c r="A8720" t="s">
        <v>16300</v>
      </c>
      <c r="B8720" t="s">
        <v>16301</v>
      </c>
      <c r="C8720" s="1">
        <v>44083</v>
      </c>
      <c r="D8720" t="b">
        <v>1</v>
      </c>
      <c r="E8720" t="s">
        <v>10</v>
      </c>
      <c r="F8720">
        <v>8946</v>
      </c>
    </row>
    <row r="8721" spans="1:6" x14ac:dyDescent="0.25">
      <c r="A8721" t="s">
        <v>16302</v>
      </c>
      <c r="B8721" t="s">
        <v>16303</v>
      </c>
      <c r="C8721" s="1">
        <v>44083</v>
      </c>
      <c r="D8721" t="b">
        <v>1</v>
      </c>
      <c r="E8721" t="s">
        <v>10</v>
      </c>
      <c r="F8721">
        <v>7474</v>
      </c>
    </row>
    <row r="8722" spans="1:6" x14ac:dyDescent="0.25">
      <c r="A8722" t="s">
        <v>16304</v>
      </c>
      <c r="B8722" t="s">
        <v>16305</v>
      </c>
      <c r="C8722" s="1">
        <v>44083</v>
      </c>
      <c r="D8722" t="b">
        <v>1</v>
      </c>
      <c r="E8722" t="s">
        <v>10</v>
      </c>
      <c r="F8722">
        <v>15885</v>
      </c>
    </row>
    <row r="8723" spans="1:6" x14ac:dyDescent="0.25">
      <c r="A8723" t="s">
        <v>16306</v>
      </c>
      <c r="B8723" t="s">
        <v>16307</v>
      </c>
      <c r="C8723" s="1">
        <v>44083</v>
      </c>
      <c r="D8723" t="b">
        <v>1</v>
      </c>
      <c r="E8723" t="s">
        <v>10</v>
      </c>
      <c r="F8723">
        <v>7477</v>
      </c>
    </row>
    <row r="8724" spans="1:6" x14ac:dyDescent="0.25">
      <c r="A8724" t="s">
        <v>16308</v>
      </c>
      <c r="B8724" t="s">
        <v>16309</v>
      </c>
      <c r="C8724" s="1">
        <v>44083</v>
      </c>
      <c r="D8724" t="b">
        <v>1</v>
      </c>
      <c r="E8724" t="s">
        <v>10</v>
      </c>
      <c r="F8724">
        <v>15426</v>
      </c>
    </row>
    <row r="8725" spans="1:6" x14ac:dyDescent="0.25">
      <c r="A8725" t="s">
        <v>16310</v>
      </c>
      <c r="B8725" t="s">
        <v>16311</v>
      </c>
      <c r="C8725" s="1">
        <v>44083</v>
      </c>
      <c r="D8725" t="b">
        <v>1</v>
      </c>
      <c r="E8725" t="s">
        <v>10</v>
      </c>
      <c r="F8725">
        <v>9970</v>
      </c>
    </row>
    <row r="8726" spans="1:6" x14ac:dyDescent="0.25">
      <c r="A8726" t="s">
        <v>16312</v>
      </c>
      <c r="B8726" t="s">
        <v>16313</v>
      </c>
      <c r="C8726" s="1">
        <v>44083</v>
      </c>
      <c r="D8726" t="b">
        <v>1</v>
      </c>
      <c r="E8726" t="s">
        <v>10</v>
      </c>
      <c r="F8726">
        <v>10756</v>
      </c>
    </row>
    <row r="8727" spans="1:6" x14ac:dyDescent="0.25">
      <c r="A8727" t="s">
        <v>16314</v>
      </c>
      <c r="B8727" t="s">
        <v>16315</v>
      </c>
      <c r="C8727" s="1">
        <v>44083</v>
      </c>
      <c r="D8727" t="b">
        <v>1</v>
      </c>
      <c r="E8727" t="s">
        <v>10</v>
      </c>
      <c r="F8727">
        <v>1894</v>
      </c>
    </row>
    <row r="8728" spans="1:6" x14ac:dyDescent="0.25">
      <c r="A8728" t="s">
        <v>16316</v>
      </c>
      <c r="B8728" t="s">
        <v>16317</v>
      </c>
      <c r="C8728" s="1">
        <v>44083</v>
      </c>
      <c r="D8728" t="b">
        <v>1</v>
      </c>
      <c r="E8728" t="s">
        <v>10</v>
      </c>
      <c r="F8728">
        <v>7478</v>
      </c>
    </row>
    <row r="8729" spans="1:6" x14ac:dyDescent="0.25">
      <c r="A8729" t="s">
        <v>16318</v>
      </c>
      <c r="B8729" t="s">
        <v>16319</v>
      </c>
      <c r="C8729" s="1">
        <v>44083</v>
      </c>
      <c r="D8729" t="b">
        <v>1</v>
      </c>
      <c r="E8729" t="s">
        <v>10</v>
      </c>
      <c r="F8729">
        <v>7479</v>
      </c>
    </row>
    <row r="8730" spans="1:6" x14ac:dyDescent="0.25">
      <c r="A8730" t="s">
        <v>16320</v>
      </c>
      <c r="B8730" t="s">
        <v>16321</v>
      </c>
      <c r="C8730" s="1">
        <v>44083</v>
      </c>
      <c r="D8730" t="b">
        <v>1</v>
      </c>
      <c r="E8730" t="s">
        <v>10</v>
      </c>
      <c r="F8730">
        <v>14443</v>
      </c>
    </row>
    <row r="8731" spans="1:6" x14ac:dyDescent="0.25">
      <c r="A8731" t="s">
        <v>16322</v>
      </c>
      <c r="B8731" t="s">
        <v>16323</v>
      </c>
      <c r="C8731" s="1">
        <v>44083</v>
      </c>
      <c r="D8731" t="b">
        <v>1</v>
      </c>
      <c r="E8731" t="s">
        <v>10</v>
      </c>
      <c r="F8731">
        <v>7480</v>
      </c>
    </row>
    <row r="8732" spans="1:6" x14ac:dyDescent="0.25">
      <c r="A8732" t="s">
        <v>16324</v>
      </c>
      <c r="B8732" t="s">
        <v>16325</v>
      </c>
      <c r="C8732" s="1">
        <v>44083</v>
      </c>
      <c r="D8732" t="b">
        <v>1</v>
      </c>
      <c r="E8732" t="s">
        <v>10</v>
      </c>
      <c r="F8732">
        <v>7482</v>
      </c>
    </row>
    <row r="8733" spans="1:6" x14ac:dyDescent="0.25">
      <c r="A8733" t="s">
        <v>16326</v>
      </c>
      <c r="B8733" t="s">
        <v>16327</v>
      </c>
      <c r="C8733" s="1">
        <v>44083</v>
      </c>
      <c r="D8733" t="b">
        <v>1</v>
      </c>
      <c r="E8733" t="s">
        <v>10</v>
      </c>
      <c r="F8733">
        <v>7890</v>
      </c>
    </row>
    <row r="8734" spans="1:6" x14ac:dyDescent="0.25">
      <c r="A8734" t="s">
        <v>16328</v>
      </c>
      <c r="B8734" t="s">
        <v>16329</v>
      </c>
      <c r="C8734" s="1">
        <v>44083</v>
      </c>
      <c r="D8734" t="b">
        <v>1</v>
      </c>
      <c r="E8734" t="s">
        <v>10</v>
      </c>
      <c r="F8734">
        <v>16201</v>
      </c>
    </row>
    <row r="8735" spans="1:6" x14ac:dyDescent="0.25">
      <c r="A8735" t="s">
        <v>16330</v>
      </c>
      <c r="B8735" t="s">
        <v>16331</v>
      </c>
      <c r="C8735" s="1">
        <v>44083</v>
      </c>
      <c r="D8735" t="b">
        <v>1</v>
      </c>
      <c r="E8735" t="s">
        <v>10</v>
      </c>
      <c r="F8735">
        <v>9470</v>
      </c>
    </row>
    <row r="8736" spans="1:6" x14ac:dyDescent="0.25">
      <c r="A8736" t="s">
        <v>16332</v>
      </c>
      <c r="B8736" t="s">
        <v>16333</v>
      </c>
      <c r="C8736" s="1">
        <v>44083</v>
      </c>
      <c r="D8736" t="b">
        <v>1</v>
      </c>
      <c r="E8736" t="s">
        <v>10</v>
      </c>
      <c r="F8736">
        <v>16351</v>
      </c>
    </row>
    <row r="8737" spans="1:6" x14ac:dyDescent="0.25">
      <c r="A8737" t="s">
        <v>16334</v>
      </c>
      <c r="B8737" t="s">
        <v>16335</v>
      </c>
      <c r="C8737" s="1">
        <v>44083</v>
      </c>
      <c r="D8737" t="b">
        <v>1</v>
      </c>
      <c r="E8737" t="s">
        <v>10</v>
      </c>
      <c r="F8737">
        <v>11010</v>
      </c>
    </row>
    <row r="8738" spans="1:6" x14ac:dyDescent="0.25">
      <c r="A8738" t="s">
        <v>16336</v>
      </c>
      <c r="B8738" t="s">
        <v>16337</v>
      </c>
      <c r="C8738" s="1">
        <v>44083</v>
      </c>
      <c r="D8738" t="b">
        <v>1</v>
      </c>
      <c r="E8738" t="s">
        <v>10</v>
      </c>
      <c r="F8738">
        <v>7485</v>
      </c>
    </row>
    <row r="8739" spans="1:6" x14ac:dyDescent="0.25">
      <c r="A8739" t="s">
        <v>16338</v>
      </c>
      <c r="B8739" t="s">
        <v>16339</v>
      </c>
      <c r="C8739" s="1">
        <v>44083</v>
      </c>
      <c r="D8739" t="b">
        <v>1</v>
      </c>
      <c r="E8739" t="s">
        <v>10</v>
      </c>
      <c r="F8739">
        <v>14062</v>
      </c>
    </row>
    <row r="8740" spans="1:6" x14ac:dyDescent="0.25">
      <c r="A8740" t="s">
        <v>16340</v>
      </c>
      <c r="B8740" t="s">
        <v>16341</v>
      </c>
      <c r="C8740" s="1">
        <v>44083</v>
      </c>
      <c r="D8740" t="b">
        <v>1</v>
      </c>
      <c r="E8740" t="s">
        <v>10</v>
      </c>
      <c r="F8740">
        <v>7486</v>
      </c>
    </row>
    <row r="8741" spans="1:6" x14ac:dyDescent="0.25">
      <c r="A8741" t="s">
        <v>16342</v>
      </c>
      <c r="B8741" t="s">
        <v>16343</v>
      </c>
      <c r="C8741" s="1">
        <v>44083</v>
      </c>
      <c r="D8741" t="b">
        <v>1</v>
      </c>
      <c r="E8741" t="s">
        <v>10</v>
      </c>
      <c r="F8741">
        <v>7488</v>
      </c>
    </row>
    <row r="8742" spans="1:6" x14ac:dyDescent="0.25">
      <c r="A8742" t="s">
        <v>16344</v>
      </c>
      <c r="B8742" t="s">
        <v>16345</v>
      </c>
      <c r="C8742" s="1">
        <v>44083</v>
      </c>
      <c r="D8742" t="b">
        <v>1</v>
      </c>
      <c r="E8742" t="s">
        <v>10</v>
      </c>
      <c r="F8742">
        <v>8584</v>
      </c>
    </row>
    <row r="8743" spans="1:6" x14ac:dyDescent="0.25">
      <c r="A8743" t="s">
        <v>16346</v>
      </c>
      <c r="B8743" t="s">
        <v>16347</v>
      </c>
      <c r="C8743" s="1">
        <v>44083</v>
      </c>
      <c r="D8743" t="b">
        <v>1</v>
      </c>
      <c r="E8743" t="s">
        <v>10</v>
      </c>
      <c r="F8743">
        <v>17185</v>
      </c>
    </row>
    <row r="8744" spans="1:6" x14ac:dyDescent="0.25">
      <c r="A8744" t="s">
        <v>16348</v>
      </c>
      <c r="B8744" t="s">
        <v>16349</v>
      </c>
      <c r="C8744" s="1">
        <v>44083</v>
      </c>
      <c r="D8744" t="b">
        <v>1</v>
      </c>
      <c r="E8744" t="s">
        <v>10</v>
      </c>
      <c r="F8744">
        <v>7537</v>
      </c>
    </row>
    <row r="8745" spans="1:6" x14ac:dyDescent="0.25">
      <c r="A8745" t="s">
        <v>16350</v>
      </c>
      <c r="B8745" t="s">
        <v>16351</v>
      </c>
      <c r="C8745" s="1">
        <v>44083</v>
      </c>
      <c r="D8745" t="b">
        <v>1</v>
      </c>
      <c r="E8745" t="s">
        <v>10</v>
      </c>
      <c r="F8745">
        <v>7492</v>
      </c>
    </row>
    <row r="8746" spans="1:6" x14ac:dyDescent="0.25">
      <c r="A8746" t="s">
        <v>16352</v>
      </c>
      <c r="B8746" t="s">
        <v>16353</v>
      </c>
      <c r="C8746" s="1">
        <v>44083</v>
      </c>
      <c r="D8746" t="b">
        <v>1</v>
      </c>
      <c r="E8746" t="s">
        <v>10</v>
      </c>
      <c r="F8746">
        <v>7494</v>
      </c>
    </row>
    <row r="8747" spans="1:6" x14ac:dyDescent="0.25">
      <c r="A8747" t="s">
        <v>16354</v>
      </c>
      <c r="B8747" t="s">
        <v>16355</v>
      </c>
      <c r="C8747" s="1">
        <v>44083</v>
      </c>
      <c r="D8747" t="b">
        <v>1</v>
      </c>
      <c r="E8747" t="s">
        <v>10</v>
      </c>
      <c r="F8747">
        <v>7495</v>
      </c>
    </row>
    <row r="8748" spans="1:6" x14ac:dyDescent="0.25">
      <c r="A8748" t="s">
        <v>16356</v>
      </c>
      <c r="B8748" t="s">
        <v>16357</v>
      </c>
      <c r="C8748" s="1">
        <v>44083</v>
      </c>
      <c r="D8748" t="b">
        <v>1</v>
      </c>
      <c r="E8748" t="s">
        <v>10</v>
      </c>
      <c r="F8748">
        <v>16717</v>
      </c>
    </row>
    <row r="8749" spans="1:6" x14ac:dyDescent="0.25">
      <c r="A8749" t="s">
        <v>16358</v>
      </c>
      <c r="B8749" t="s">
        <v>16359</v>
      </c>
      <c r="C8749" s="1">
        <v>44083</v>
      </c>
      <c r="D8749" t="b">
        <v>1</v>
      </c>
      <c r="E8749" t="s">
        <v>10</v>
      </c>
      <c r="F8749">
        <v>6900</v>
      </c>
    </row>
    <row r="8750" spans="1:6" x14ac:dyDescent="0.25">
      <c r="A8750" t="s">
        <v>16360</v>
      </c>
      <c r="B8750" t="s">
        <v>16361</v>
      </c>
      <c r="C8750" s="1">
        <v>44083</v>
      </c>
      <c r="D8750" t="b">
        <v>1</v>
      </c>
      <c r="E8750" t="s">
        <v>10</v>
      </c>
      <c r="F8750">
        <v>7499</v>
      </c>
    </row>
    <row r="8751" spans="1:6" x14ac:dyDescent="0.25">
      <c r="A8751" t="s">
        <v>16362</v>
      </c>
      <c r="B8751" t="s">
        <v>16363</v>
      </c>
      <c r="C8751" s="1">
        <v>44083</v>
      </c>
      <c r="D8751" t="b">
        <v>1</v>
      </c>
      <c r="E8751" t="s">
        <v>10</v>
      </c>
      <c r="F8751">
        <v>8521</v>
      </c>
    </row>
    <row r="8752" spans="1:6" x14ac:dyDescent="0.25">
      <c r="A8752" t="s">
        <v>16364</v>
      </c>
      <c r="B8752" t="s">
        <v>16365</v>
      </c>
      <c r="C8752" s="1">
        <v>44083</v>
      </c>
      <c r="D8752" t="b">
        <v>1</v>
      </c>
      <c r="E8752" t="s">
        <v>10</v>
      </c>
      <c r="F8752">
        <v>7501</v>
      </c>
    </row>
    <row r="8753" spans="1:6" x14ac:dyDescent="0.25">
      <c r="A8753" t="s">
        <v>16366</v>
      </c>
      <c r="B8753" t="s">
        <v>16367</v>
      </c>
      <c r="C8753" s="1">
        <v>44083</v>
      </c>
      <c r="D8753" t="b">
        <v>1</v>
      </c>
      <c r="E8753" t="s">
        <v>10</v>
      </c>
      <c r="F8753">
        <v>7504</v>
      </c>
    </row>
    <row r="8754" spans="1:6" x14ac:dyDescent="0.25">
      <c r="A8754" t="s">
        <v>16368</v>
      </c>
      <c r="B8754" t="s">
        <v>16369</v>
      </c>
      <c r="C8754" s="1">
        <v>44083</v>
      </c>
      <c r="D8754" t="b">
        <v>1</v>
      </c>
      <c r="E8754" t="s">
        <v>10</v>
      </c>
      <c r="F8754">
        <v>7455</v>
      </c>
    </row>
    <row r="8755" spans="1:6" x14ac:dyDescent="0.25">
      <c r="A8755" t="s">
        <v>16370</v>
      </c>
      <c r="B8755" t="s">
        <v>16371</v>
      </c>
      <c r="C8755" s="1">
        <v>44083</v>
      </c>
      <c r="D8755" t="b">
        <v>1</v>
      </c>
      <c r="E8755" t="s">
        <v>10</v>
      </c>
      <c r="F8755">
        <v>7506</v>
      </c>
    </row>
    <row r="8756" spans="1:6" x14ac:dyDescent="0.25">
      <c r="A8756" t="s">
        <v>16372</v>
      </c>
      <c r="B8756" t="s">
        <v>16373</v>
      </c>
      <c r="C8756" s="1">
        <v>44083</v>
      </c>
      <c r="D8756" t="b">
        <v>1</v>
      </c>
      <c r="E8756" t="s">
        <v>10</v>
      </c>
      <c r="F8756">
        <v>14951</v>
      </c>
    </row>
    <row r="8757" spans="1:6" x14ac:dyDescent="0.25">
      <c r="A8757" t="s">
        <v>16374</v>
      </c>
      <c r="B8757" t="s">
        <v>16375</v>
      </c>
      <c r="C8757" s="1">
        <v>44083</v>
      </c>
      <c r="D8757" t="b">
        <v>1</v>
      </c>
      <c r="E8757" t="s">
        <v>10</v>
      </c>
      <c r="F8757">
        <v>7507</v>
      </c>
    </row>
    <row r="8758" spans="1:6" x14ac:dyDescent="0.25">
      <c r="A8758" t="s">
        <v>16376</v>
      </c>
      <c r="B8758" t="s">
        <v>16377</v>
      </c>
      <c r="C8758" s="1">
        <v>44083</v>
      </c>
      <c r="D8758" t="b">
        <v>1</v>
      </c>
      <c r="E8758" t="s">
        <v>10</v>
      </c>
      <c r="F8758">
        <v>7509</v>
      </c>
    </row>
    <row r="8759" spans="1:6" x14ac:dyDescent="0.25">
      <c r="A8759" t="s">
        <v>16378</v>
      </c>
      <c r="B8759" t="s">
        <v>16379</v>
      </c>
      <c r="C8759" s="1">
        <v>44083</v>
      </c>
      <c r="D8759" t="b">
        <v>1</v>
      </c>
      <c r="E8759" t="s">
        <v>10</v>
      </c>
      <c r="F8759">
        <v>15673</v>
      </c>
    </row>
    <row r="8760" spans="1:6" x14ac:dyDescent="0.25">
      <c r="A8760" t="s">
        <v>16380</v>
      </c>
      <c r="B8760" t="s">
        <v>16381</v>
      </c>
      <c r="C8760" s="1">
        <v>44083</v>
      </c>
      <c r="D8760" t="b">
        <v>1</v>
      </c>
      <c r="E8760" t="s">
        <v>10</v>
      </c>
      <c r="F8760">
        <v>11731</v>
      </c>
    </row>
    <row r="8761" spans="1:6" x14ac:dyDescent="0.25">
      <c r="A8761" t="s">
        <v>16382</v>
      </c>
      <c r="B8761" t="s">
        <v>16383</v>
      </c>
      <c r="C8761" s="1">
        <v>44083</v>
      </c>
      <c r="D8761" t="b">
        <v>1</v>
      </c>
      <c r="E8761" t="s">
        <v>10</v>
      </c>
      <c r="F8761">
        <v>12919</v>
      </c>
    </row>
    <row r="8762" spans="1:6" x14ac:dyDescent="0.25">
      <c r="A8762" t="s">
        <v>16384</v>
      </c>
      <c r="B8762" t="s">
        <v>16385</v>
      </c>
      <c r="C8762" s="1">
        <v>44083</v>
      </c>
      <c r="D8762" t="b">
        <v>1</v>
      </c>
      <c r="E8762" t="s">
        <v>10</v>
      </c>
      <c r="F8762">
        <v>7510</v>
      </c>
    </row>
    <row r="8763" spans="1:6" x14ac:dyDescent="0.25">
      <c r="A8763" t="s">
        <v>16386</v>
      </c>
      <c r="B8763" t="s">
        <v>16387</v>
      </c>
      <c r="C8763" s="1">
        <v>44083</v>
      </c>
      <c r="D8763" t="b">
        <v>1</v>
      </c>
      <c r="E8763" t="s">
        <v>10</v>
      </c>
      <c r="F8763">
        <v>16955</v>
      </c>
    </row>
    <row r="8764" spans="1:6" x14ac:dyDescent="0.25">
      <c r="A8764" t="s">
        <v>16388</v>
      </c>
      <c r="C8764" s="1">
        <v>44083</v>
      </c>
      <c r="D8764" t="b">
        <v>1</v>
      </c>
      <c r="E8764" t="s">
        <v>10</v>
      </c>
      <c r="F8764">
        <v>16985</v>
      </c>
    </row>
    <row r="8765" spans="1:6" x14ac:dyDescent="0.25">
      <c r="A8765" t="s">
        <v>16389</v>
      </c>
      <c r="B8765" t="s">
        <v>1607</v>
      </c>
      <c r="C8765" s="1">
        <v>44083</v>
      </c>
      <c r="D8765" t="b">
        <v>1</v>
      </c>
      <c r="E8765" t="s">
        <v>10</v>
      </c>
      <c r="F8765">
        <v>16723</v>
      </c>
    </row>
    <row r="8766" spans="1:6" x14ac:dyDescent="0.25">
      <c r="A8766" t="s">
        <v>16390</v>
      </c>
      <c r="B8766" t="s">
        <v>16391</v>
      </c>
      <c r="C8766" s="1">
        <v>44083</v>
      </c>
      <c r="D8766" t="b">
        <v>1</v>
      </c>
      <c r="E8766" t="s">
        <v>10</v>
      </c>
      <c r="F8766">
        <v>8630</v>
      </c>
    </row>
    <row r="8767" spans="1:6" x14ac:dyDescent="0.25">
      <c r="A8767" t="s">
        <v>16392</v>
      </c>
      <c r="C8767" s="1">
        <v>44083</v>
      </c>
      <c r="D8767" t="b">
        <v>1</v>
      </c>
      <c r="E8767" t="s">
        <v>10</v>
      </c>
      <c r="F8767">
        <v>9681</v>
      </c>
    </row>
    <row r="8768" spans="1:6" x14ac:dyDescent="0.25">
      <c r="A8768" t="s">
        <v>16393</v>
      </c>
      <c r="C8768" s="1">
        <v>44083</v>
      </c>
      <c r="D8768" t="b">
        <v>1</v>
      </c>
      <c r="E8768" t="s">
        <v>10</v>
      </c>
      <c r="F8768">
        <v>9676</v>
      </c>
    </row>
    <row r="8769" spans="1:6" x14ac:dyDescent="0.25">
      <c r="A8769" t="s">
        <v>16394</v>
      </c>
      <c r="B8769" t="s">
        <v>16395</v>
      </c>
      <c r="C8769" s="1">
        <v>44083</v>
      </c>
      <c r="D8769" t="b">
        <v>1</v>
      </c>
      <c r="E8769" t="s">
        <v>10</v>
      </c>
      <c r="F8769">
        <v>6346</v>
      </c>
    </row>
    <row r="8770" spans="1:6" x14ac:dyDescent="0.25">
      <c r="A8770" t="s">
        <v>16396</v>
      </c>
      <c r="B8770" t="s">
        <v>16397</v>
      </c>
      <c r="C8770" s="1">
        <v>44083</v>
      </c>
      <c r="D8770" t="b">
        <v>1</v>
      </c>
      <c r="E8770" t="s">
        <v>10</v>
      </c>
      <c r="F8770">
        <v>7514</v>
      </c>
    </row>
    <row r="8771" spans="1:6" x14ac:dyDescent="0.25">
      <c r="A8771" t="s">
        <v>16398</v>
      </c>
      <c r="B8771" t="s">
        <v>16399</v>
      </c>
      <c r="C8771" s="1">
        <v>44083</v>
      </c>
      <c r="D8771" t="b">
        <v>1</v>
      </c>
      <c r="E8771" t="s">
        <v>10</v>
      </c>
      <c r="F8771">
        <v>7515</v>
      </c>
    </row>
    <row r="8772" spans="1:6" x14ac:dyDescent="0.25">
      <c r="A8772" t="s">
        <v>16400</v>
      </c>
      <c r="B8772" t="s">
        <v>7729</v>
      </c>
      <c r="C8772" s="1">
        <v>44083</v>
      </c>
      <c r="D8772" t="b">
        <v>1</v>
      </c>
      <c r="E8772" t="s">
        <v>10</v>
      </c>
      <c r="F8772">
        <v>7516</v>
      </c>
    </row>
    <row r="8773" spans="1:6" x14ac:dyDescent="0.25">
      <c r="A8773" t="s">
        <v>16401</v>
      </c>
      <c r="B8773" t="s">
        <v>16402</v>
      </c>
      <c r="C8773" s="1">
        <v>44083</v>
      </c>
      <c r="D8773" t="b">
        <v>1</v>
      </c>
      <c r="E8773" t="s">
        <v>10</v>
      </c>
      <c r="F8773">
        <v>7518</v>
      </c>
    </row>
    <row r="8774" spans="1:6" x14ac:dyDescent="0.25">
      <c r="A8774" t="s">
        <v>16403</v>
      </c>
      <c r="B8774" t="s">
        <v>16404</v>
      </c>
      <c r="C8774" s="1">
        <v>44083</v>
      </c>
      <c r="D8774" t="b">
        <v>1</v>
      </c>
      <c r="E8774" t="s">
        <v>10</v>
      </c>
      <c r="F8774">
        <v>7521</v>
      </c>
    </row>
    <row r="8775" spans="1:6" x14ac:dyDescent="0.25">
      <c r="A8775" t="s">
        <v>16405</v>
      </c>
      <c r="C8775" s="1">
        <v>44083</v>
      </c>
      <c r="D8775" t="b">
        <v>1</v>
      </c>
      <c r="E8775" t="s">
        <v>10</v>
      </c>
      <c r="F8775">
        <v>7522</v>
      </c>
    </row>
    <row r="8776" spans="1:6" x14ac:dyDescent="0.25">
      <c r="A8776" t="s">
        <v>16406</v>
      </c>
      <c r="C8776" s="1">
        <v>44083</v>
      </c>
      <c r="D8776" t="b">
        <v>1</v>
      </c>
      <c r="E8776" t="s">
        <v>10</v>
      </c>
      <c r="F8776">
        <v>11114</v>
      </c>
    </row>
    <row r="8777" spans="1:6" x14ac:dyDescent="0.25">
      <c r="A8777" t="s">
        <v>16407</v>
      </c>
      <c r="C8777" s="1">
        <v>44083</v>
      </c>
      <c r="D8777" t="b">
        <v>1</v>
      </c>
      <c r="E8777" t="s">
        <v>10</v>
      </c>
      <c r="F8777">
        <v>11426</v>
      </c>
    </row>
    <row r="8778" spans="1:6" x14ac:dyDescent="0.25">
      <c r="A8778" t="s">
        <v>16408</v>
      </c>
      <c r="C8778" s="1">
        <v>44083</v>
      </c>
      <c r="D8778" t="b">
        <v>1</v>
      </c>
      <c r="E8778" t="s">
        <v>10</v>
      </c>
      <c r="F8778">
        <v>14324</v>
      </c>
    </row>
    <row r="8779" spans="1:6" x14ac:dyDescent="0.25">
      <c r="A8779" t="s">
        <v>16409</v>
      </c>
      <c r="C8779" s="1">
        <v>44083</v>
      </c>
      <c r="D8779" t="b">
        <v>1</v>
      </c>
      <c r="E8779" t="s">
        <v>10</v>
      </c>
      <c r="F8779">
        <v>16400</v>
      </c>
    </row>
    <row r="8780" spans="1:6" x14ac:dyDescent="0.25">
      <c r="A8780" t="s">
        <v>16410</v>
      </c>
      <c r="B8780" t="s">
        <v>16411</v>
      </c>
      <c r="C8780" s="1">
        <v>44083</v>
      </c>
      <c r="D8780" t="b">
        <v>1</v>
      </c>
      <c r="E8780" t="s">
        <v>10</v>
      </c>
      <c r="F8780">
        <v>7524</v>
      </c>
    </row>
    <row r="8781" spans="1:6" x14ac:dyDescent="0.25">
      <c r="A8781" t="s">
        <v>16412</v>
      </c>
      <c r="B8781" t="s">
        <v>16413</v>
      </c>
      <c r="C8781" s="1">
        <v>44083</v>
      </c>
      <c r="D8781" t="b">
        <v>1</v>
      </c>
      <c r="E8781" t="s">
        <v>10</v>
      </c>
      <c r="F8781">
        <v>7527</v>
      </c>
    </row>
    <row r="8782" spans="1:6" x14ac:dyDescent="0.25">
      <c r="A8782" t="s">
        <v>16414</v>
      </c>
      <c r="B8782" t="s">
        <v>16415</v>
      </c>
      <c r="C8782" s="1">
        <v>44083</v>
      </c>
      <c r="D8782" t="b">
        <v>1</v>
      </c>
      <c r="E8782" t="s">
        <v>10</v>
      </c>
      <c r="F8782">
        <v>10079</v>
      </c>
    </row>
    <row r="8783" spans="1:6" x14ac:dyDescent="0.25">
      <c r="A8783" t="s">
        <v>16416</v>
      </c>
      <c r="B8783" t="s">
        <v>16417</v>
      </c>
      <c r="C8783" s="1">
        <v>44083</v>
      </c>
      <c r="D8783" t="b">
        <v>1</v>
      </c>
      <c r="E8783" t="s">
        <v>10</v>
      </c>
      <c r="F8783">
        <v>7529</v>
      </c>
    </row>
    <row r="8784" spans="1:6" x14ac:dyDescent="0.25">
      <c r="A8784" t="s">
        <v>16418</v>
      </c>
      <c r="B8784" t="s">
        <v>16419</v>
      </c>
      <c r="C8784" s="1">
        <v>44083</v>
      </c>
      <c r="D8784" t="b">
        <v>1</v>
      </c>
      <c r="E8784" t="s">
        <v>10</v>
      </c>
      <c r="F8784">
        <v>7530</v>
      </c>
    </row>
    <row r="8785" spans="1:6" x14ac:dyDescent="0.25">
      <c r="A8785" t="s">
        <v>16420</v>
      </c>
      <c r="B8785" t="s">
        <v>16421</v>
      </c>
      <c r="C8785" s="1">
        <v>44083</v>
      </c>
      <c r="D8785" t="b">
        <v>1</v>
      </c>
      <c r="E8785" t="s">
        <v>10</v>
      </c>
      <c r="F8785">
        <v>15283</v>
      </c>
    </row>
    <row r="8786" spans="1:6" x14ac:dyDescent="0.25">
      <c r="A8786" t="s">
        <v>16422</v>
      </c>
      <c r="B8786" t="s">
        <v>16423</v>
      </c>
      <c r="C8786" s="1">
        <v>44083</v>
      </c>
      <c r="D8786" t="b">
        <v>1</v>
      </c>
      <c r="E8786" t="s">
        <v>10</v>
      </c>
      <c r="F8786">
        <v>7532</v>
      </c>
    </row>
    <row r="8787" spans="1:6" x14ac:dyDescent="0.25">
      <c r="A8787" t="s">
        <v>16424</v>
      </c>
      <c r="C8787" s="1">
        <v>44083</v>
      </c>
      <c r="D8787" t="b">
        <v>1</v>
      </c>
      <c r="E8787" t="s">
        <v>10</v>
      </c>
      <c r="F8787">
        <v>17084</v>
      </c>
    </row>
    <row r="8788" spans="1:6" x14ac:dyDescent="0.25">
      <c r="A8788" t="s">
        <v>16425</v>
      </c>
      <c r="B8788" t="s">
        <v>16426</v>
      </c>
      <c r="C8788" s="1">
        <v>44083</v>
      </c>
      <c r="D8788" t="b">
        <v>1</v>
      </c>
      <c r="E8788" t="s">
        <v>10</v>
      </c>
      <c r="F8788">
        <v>7533</v>
      </c>
    </row>
    <row r="8789" spans="1:6" x14ac:dyDescent="0.25">
      <c r="A8789" t="s">
        <v>16427</v>
      </c>
      <c r="B8789" t="s">
        <v>16428</v>
      </c>
      <c r="C8789" s="1">
        <v>44083</v>
      </c>
      <c r="D8789" t="b">
        <v>1</v>
      </c>
      <c r="E8789" t="s">
        <v>10</v>
      </c>
      <c r="F8789">
        <v>10702</v>
      </c>
    </row>
    <row r="8790" spans="1:6" x14ac:dyDescent="0.25">
      <c r="A8790" t="s">
        <v>16429</v>
      </c>
      <c r="B8790" t="s">
        <v>16430</v>
      </c>
      <c r="C8790" s="1">
        <v>44083</v>
      </c>
      <c r="D8790" t="b">
        <v>1</v>
      </c>
      <c r="E8790" t="s">
        <v>10</v>
      </c>
      <c r="F8790">
        <v>7535</v>
      </c>
    </row>
    <row r="8791" spans="1:6" x14ac:dyDescent="0.25">
      <c r="A8791" t="s">
        <v>16431</v>
      </c>
      <c r="B8791" t="s">
        <v>16432</v>
      </c>
      <c r="C8791" s="1">
        <v>44083</v>
      </c>
      <c r="D8791" t="b">
        <v>1</v>
      </c>
      <c r="E8791" t="s">
        <v>10</v>
      </c>
      <c r="F8791">
        <v>15826</v>
      </c>
    </row>
    <row r="8792" spans="1:6" x14ac:dyDescent="0.25">
      <c r="A8792" t="s">
        <v>16433</v>
      </c>
      <c r="B8792" t="s">
        <v>16434</v>
      </c>
      <c r="C8792" s="1">
        <v>44083</v>
      </c>
      <c r="D8792" t="b">
        <v>1</v>
      </c>
      <c r="E8792" t="s">
        <v>10</v>
      </c>
      <c r="F8792">
        <v>7538</v>
      </c>
    </row>
    <row r="8793" spans="1:6" x14ac:dyDescent="0.25">
      <c r="A8793" t="s">
        <v>16435</v>
      </c>
      <c r="B8793" t="s">
        <v>16436</v>
      </c>
      <c r="C8793" s="1">
        <v>44083</v>
      </c>
      <c r="D8793" t="b">
        <v>1</v>
      </c>
      <c r="E8793" t="s">
        <v>10</v>
      </c>
      <c r="F8793">
        <v>7539</v>
      </c>
    </row>
    <row r="8794" spans="1:6" x14ac:dyDescent="0.25">
      <c r="A8794" t="s">
        <v>16437</v>
      </c>
      <c r="B8794" t="s">
        <v>16438</v>
      </c>
      <c r="C8794" s="1">
        <v>44083</v>
      </c>
      <c r="D8794" t="b">
        <v>1</v>
      </c>
      <c r="E8794" t="s">
        <v>10</v>
      </c>
      <c r="F8794">
        <v>7540</v>
      </c>
    </row>
    <row r="8795" spans="1:6" x14ac:dyDescent="0.25">
      <c r="A8795" t="s">
        <v>16439</v>
      </c>
      <c r="B8795" t="s">
        <v>16440</v>
      </c>
      <c r="C8795" s="1">
        <v>44083</v>
      </c>
      <c r="D8795" t="b">
        <v>1</v>
      </c>
      <c r="E8795" t="s">
        <v>10</v>
      </c>
      <c r="F8795">
        <v>7541</v>
      </c>
    </row>
    <row r="8796" spans="1:6" x14ac:dyDescent="0.25">
      <c r="A8796" t="s">
        <v>16441</v>
      </c>
      <c r="B8796" t="s">
        <v>16442</v>
      </c>
      <c r="C8796" s="1">
        <v>44083</v>
      </c>
      <c r="D8796" t="b">
        <v>1</v>
      </c>
      <c r="E8796" t="s">
        <v>10</v>
      </c>
      <c r="F8796">
        <v>7542</v>
      </c>
    </row>
    <row r="8797" spans="1:6" x14ac:dyDescent="0.25">
      <c r="A8797" t="s">
        <v>16443</v>
      </c>
      <c r="B8797" t="s">
        <v>16444</v>
      </c>
      <c r="C8797" s="1">
        <v>44083</v>
      </c>
      <c r="D8797" t="b">
        <v>1</v>
      </c>
      <c r="E8797" t="s">
        <v>10</v>
      </c>
      <c r="F8797">
        <v>7544</v>
      </c>
    </row>
    <row r="8798" spans="1:6" x14ac:dyDescent="0.25">
      <c r="A8798" t="s">
        <v>16445</v>
      </c>
      <c r="B8798" t="s">
        <v>16446</v>
      </c>
      <c r="C8798" s="1">
        <v>44083</v>
      </c>
      <c r="D8798" t="b">
        <v>1</v>
      </c>
      <c r="E8798" t="s">
        <v>10</v>
      </c>
      <c r="F8798">
        <v>7545</v>
      </c>
    </row>
    <row r="8799" spans="1:6" x14ac:dyDescent="0.25">
      <c r="A8799" t="s">
        <v>16447</v>
      </c>
      <c r="B8799" t="s">
        <v>16448</v>
      </c>
      <c r="C8799" s="1">
        <v>44083</v>
      </c>
      <c r="D8799" t="b">
        <v>1</v>
      </c>
      <c r="E8799" t="s">
        <v>10</v>
      </c>
      <c r="F8799">
        <v>7546</v>
      </c>
    </row>
    <row r="8800" spans="1:6" x14ac:dyDescent="0.25">
      <c r="A8800" t="s">
        <v>16449</v>
      </c>
      <c r="B8800" t="s">
        <v>16450</v>
      </c>
      <c r="C8800" s="1">
        <v>44083</v>
      </c>
      <c r="D8800" t="b">
        <v>1</v>
      </c>
      <c r="E8800" t="s">
        <v>10</v>
      </c>
      <c r="F8800">
        <v>15297</v>
      </c>
    </row>
    <row r="8801" spans="1:6" x14ac:dyDescent="0.25">
      <c r="A8801" t="s">
        <v>16451</v>
      </c>
      <c r="B8801" t="s">
        <v>16452</v>
      </c>
      <c r="C8801" s="1">
        <v>44083</v>
      </c>
      <c r="D8801" t="b">
        <v>1</v>
      </c>
      <c r="E8801" t="s">
        <v>10</v>
      </c>
      <c r="F8801">
        <v>7547</v>
      </c>
    </row>
    <row r="8802" spans="1:6" x14ac:dyDescent="0.25">
      <c r="A8802" t="s">
        <v>16453</v>
      </c>
      <c r="C8802" s="1">
        <v>44083</v>
      </c>
      <c r="D8802" t="b">
        <v>1</v>
      </c>
      <c r="E8802" t="s">
        <v>10</v>
      </c>
      <c r="F8802">
        <v>10291</v>
      </c>
    </row>
    <row r="8803" spans="1:6" x14ac:dyDescent="0.25">
      <c r="A8803" t="s">
        <v>16454</v>
      </c>
      <c r="C8803" s="1">
        <v>44083</v>
      </c>
      <c r="D8803" t="b">
        <v>1</v>
      </c>
      <c r="E8803" t="s">
        <v>10</v>
      </c>
      <c r="F8803">
        <v>16762</v>
      </c>
    </row>
    <row r="8804" spans="1:6" x14ac:dyDescent="0.25">
      <c r="A8804" t="s">
        <v>16455</v>
      </c>
      <c r="B8804" t="s">
        <v>16456</v>
      </c>
      <c r="C8804" s="1">
        <v>44083</v>
      </c>
      <c r="D8804" t="b">
        <v>1</v>
      </c>
      <c r="E8804" t="s">
        <v>10</v>
      </c>
      <c r="F8804">
        <v>7548</v>
      </c>
    </row>
    <row r="8805" spans="1:6" x14ac:dyDescent="0.25">
      <c r="A8805" t="s">
        <v>16457</v>
      </c>
      <c r="B8805" t="s">
        <v>16458</v>
      </c>
      <c r="C8805" s="1">
        <v>44083</v>
      </c>
      <c r="D8805" t="b">
        <v>1</v>
      </c>
      <c r="E8805" t="s">
        <v>10</v>
      </c>
      <c r="F8805">
        <v>7549</v>
      </c>
    </row>
    <row r="8806" spans="1:6" x14ac:dyDescent="0.25">
      <c r="A8806" t="s">
        <v>16459</v>
      </c>
      <c r="B8806" t="s">
        <v>16460</v>
      </c>
      <c r="C8806" s="1">
        <v>44083</v>
      </c>
      <c r="D8806" t="b">
        <v>1</v>
      </c>
      <c r="E8806" t="s">
        <v>10</v>
      </c>
      <c r="F8806">
        <v>7434</v>
      </c>
    </row>
    <row r="8807" spans="1:6" x14ac:dyDescent="0.25">
      <c r="A8807" t="s">
        <v>16461</v>
      </c>
      <c r="B8807" t="s">
        <v>16462</v>
      </c>
      <c r="C8807" s="1">
        <v>44083</v>
      </c>
      <c r="D8807" t="b">
        <v>1</v>
      </c>
      <c r="E8807" t="s">
        <v>10</v>
      </c>
      <c r="F8807">
        <v>15416</v>
      </c>
    </row>
    <row r="8808" spans="1:6" x14ac:dyDescent="0.25">
      <c r="A8808" t="s">
        <v>16463</v>
      </c>
      <c r="C8808" s="1">
        <v>44083</v>
      </c>
      <c r="D8808" t="b">
        <v>1</v>
      </c>
      <c r="E8808" t="s">
        <v>10</v>
      </c>
      <c r="F8808">
        <v>16356</v>
      </c>
    </row>
    <row r="8809" spans="1:6" x14ac:dyDescent="0.25">
      <c r="A8809" t="s">
        <v>16464</v>
      </c>
      <c r="B8809" t="s">
        <v>16465</v>
      </c>
      <c r="C8809" s="1">
        <v>44083</v>
      </c>
      <c r="D8809" t="b">
        <v>1</v>
      </c>
      <c r="E8809" t="s">
        <v>10</v>
      </c>
      <c r="F8809">
        <v>7550</v>
      </c>
    </row>
    <row r="8810" spans="1:6" x14ac:dyDescent="0.25">
      <c r="A8810" t="s">
        <v>16466</v>
      </c>
      <c r="B8810" t="s">
        <v>16467</v>
      </c>
      <c r="C8810" s="1">
        <v>44083</v>
      </c>
      <c r="D8810" t="b">
        <v>1</v>
      </c>
      <c r="E8810" t="s">
        <v>10</v>
      </c>
      <c r="F8810">
        <v>11629</v>
      </c>
    </row>
    <row r="8811" spans="1:6" x14ac:dyDescent="0.25">
      <c r="A8811" t="s">
        <v>16468</v>
      </c>
      <c r="C8811" s="1">
        <v>44083</v>
      </c>
      <c r="D8811" t="b">
        <v>1</v>
      </c>
      <c r="E8811" t="s">
        <v>10</v>
      </c>
      <c r="F8811">
        <v>15668</v>
      </c>
    </row>
    <row r="8812" spans="1:6" x14ac:dyDescent="0.25">
      <c r="A8812" t="s">
        <v>16469</v>
      </c>
      <c r="B8812" t="s">
        <v>16470</v>
      </c>
      <c r="C8812" s="1">
        <v>44083</v>
      </c>
      <c r="D8812" t="b">
        <v>1</v>
      </c>
      <c r="E8812" t="s">
        <v>10</v>
      </c>
      <c r="F8812">
        <v>7551</v>
      </c>
    </row>
    <row r="8813" spans="1:6" x14ac:dyDescent="0.25">
      <c r="A8813" t="s">
        <v>16471</v>
      </c>
      <c r="B8813" t="s">
        <v>16472</v>
      </c>
      <c r="C8813" s="1">
        <v>44083</v>
      </c>
      <c r="D8813" t="b">
        <v>1</v>
      </c>
      <c r="E8813" t="s">
        <v>10</v>
      </c>
      <c r="F8813">
        <v>7553</v>
      </c>
    </row>
    <row r="8814" spans="1:6" x14ac:dyDescent="0.25">
      <c r="A8814" t="s">
        <v>16473</v>
      </c>
      <c r="B8814" t="s">
        <v>16474</v>
      </c>
      <c r="C8814" s="1">
        <v>44083</v>
      </c>
      <c r="D8814" t="b">
        <v>1</v>
      </c>
      <c r="E8814" t="s">
        <v>10</v>
      </c>
      <c r="F8814">
        <v>12432</v>
      </c>
    </row>
    <row r="8815" spans="1:6" x14ac:dyDescent="0.25">
      <c r="A8815" t="s">
        <v>16475</v>
      </c>
      <c r="B8815" t="s">
        <v>16476</v>
      </c>
      <c r="C8815" s="1">
        <v>44083</v>
      </c>
      <c r="D8815" t="b">
        <v>1</v>
      </c>
      <c r="E8815" t="s">
        <v>10</v>
      </c>
      <c r="F8815">
        <v>7555</v>
      </c>
    </row>
    <row r="8816" spans="1:6" x14ac:dyDescent="0.25">
      <c r="A8816" t="s">
        <v>16477</v>
      </c>
      <c r="B8816" t="s">
        <v>16478</v>
      </c>
      <c r="C8816" s="1">
        <v>44083</v>
      </c>
      <c r="D8816" t="b">
        <v>1</v>
      </c>
      <c r="E8816" t="s">
        <v>10</v>
      </c>
      <c r="F8816">
        <v>8060</v>
      </c>
    </row>
    <row r="8817" spans="1:6" x14ac:dyDescent="0.25">
      <c r="A8817" t="s">
        <v>16479</v>
      </c>
      <c r="B8817" t="s">
        <v>16480</v>
      </c>
      <c r="C8817" s="1">
        <v>44083</v>
      </c>
      <c r="D8817" t="b">
        <v>1</v>
      </c>
      <c r="E8817" t="s">
        <v>10</v>
      </c>
      <c r="F8817">
        <v>16645</v>
      </c>
    </row>
    <row r="8818" spans="1:6" x14ac:dyDescent="0.25">
      <c r="A8818" t="s">
        <v>16481</v>
      </c>
      <c r="B8818" t="s">
        <v>16482</v>
      </c>
      <c r="C8818" s="1">
        <v>44083</v>
      </c>
      <c r="D8818" t="b">
        <v>1</v>
      </c>
      <c r="E8818" t="s">
        <v>10</v>
      </c>
      <c r="F8818">
        <v>10740</v>
      </c>
    </row>
    <row r="8819" spans="1:6" x14ac:dyDescent="0.25">
      <c r="A8819" t="s">
        <v>16483</v>
      </c>
      <c r="B8819" t="s">
        <v>16484</v>
      </c>
      <c r="C8819" s="1">
        <v>44083</v>
      </c>
      <c r="D8819" t="b">
        <v>1</v>
      </c>
      <c r="E8819" t="s">
        <v>10</v>
      </c>
      <c r="F8819">
        <v>7556</v>
      </c>
    </row>
    <row r="8820" spans="1:6" x14ac:dyDescent="0.25">
      <c r="A8820" t="s">
        <v>16485</v>
      </c>
      <c r="B8820" t="s">
        <v>16486</v>
      </c>
      <c r="C8820" s="1">
        <v>44083</v>
      </c>
      <c r="D8820" t="b">
        <v>1</v>
      </c>
      <c r="E8820" t="s">
        <v>10</v>
      </c>
      <c r="F8820">
        <v>7557</v>
      </c>
    </row>
    <row r="8821" spans="1:6" x14ac:dyDescent="0.25">
      <c r="A8821" t="s">
        <v>16487</v>
      </c>
      <c r="C8821" s="1">
        <v>44083</v>
      </c>
      <c r="D8821" t="b">
        <v>1</v>
      </c>
      <c r="E8821" t="s">
        <v>10</v>
      </c>
      <c r="F8821">
        <v>10795</v>
      </c>
    </row>
    <row r="8822" spans="1:6" x14ac:dyDescent="0.25">
      <c r="A8822" t="s">
        <v>16488</v>
      </c>
      <c r="B8822" t="s">
        <v>16489</v>
      </c>
      <c r="C8822" s="1">
        <v>44083</v>
      </c>
      <c r="D8822" t="b">
        <v>1</v>
      </c>
      <c r="E8822" t="s">
        <v>10</v>
      </c>
      <c r="F8822">
        <v>7554</v>
      </c>
    </row>
    <row r="8823" spans="1:6" x14ac:dyDescent="0.25">
      <c r="A8823" t="s">
        <v>16490</v>
      </c>
      <c r="B8823" t="s">
        <v>16491</v>
      </c>
      <c r="C8823" s="1">
        <v>44083</v>
      </c>
      <c r="D8823" t="b">
        <v>1</v>
      </c>
      <c r="E8823" t="s">
        <v>10</v>
      </c>
      <c r="F8823">
        <v>7560</v>
      </c>
    </row>
    <row r="8824" spans="1:6" x14ac:dyDescent="0.25">
      <c r="A8824" t="s">
        <v>16492</v>
      </c>
      <c r="B8824" t="s">
        <v>16493</v>
      </c>
      <c r="C8824" s="1">
        <v>44083</v>
      </c>
      <c r="D8824" t="b">
        <v>1</v>
      </c>
      <c r="E8824" t="s">
        <v>10</v>
      </c>
      <c r="F8824">
        <v>7561</v>
      </c>
    </row>
    <row r="8825" spans="1:6" x14ac:dyDescent="0.25">
      <c r="A8825" t="s">
        <v>16494</v>
      </c>
      <c r="B8825" t="s">
        <v>16495</v>
      </c>
      <c r="C8825" s="1">
        <v>44083</v>
      </c>
      <c r="D8825" t="b">
        <v>1</v>
      </c>
      <c r="E8825" t="s">
        <v>10</v>
      </c>
      <c r="F8825">
        <v>16146</v>
      </c>
    </row>
    <row r="8826" spans="1:6" x14ac:dyDescent="0.25">
      <c r="A8826" t="s">
        <v>16496</v>
      </c>
      <c r="B8826" t="s">
        <v>16497</v>
      </c>
      <c r="C8826" s="1">
        <v>44083</v>
      </c>
      <c r="D8826" t="b">
        <v>1</v>
      </c>
      <c r="E8826" t="s">
        <v>10</v>
      </c>
      <c r="F8826">
        <v>7131</v>
      </c>
    </row>
    <row r="8827" spans="1:6" x14ac:dyDescent="0.25">
      <c r="A8827" t="s">
        <v>16498</v>
      </c>
      <c r="B8827" t="s">
        <v>16499</v>
      </c>
      <c r="C8827" s="1">
        <v>44083</v>
      </c>
      <c r="D8827" t="b">
        <v>1</v>
      </c>
      <c r="E8827" t="s">
        <v>10</v>
      </c>
      <c r="F8827">
        <v>7562</v>
      </c>
    </row>
    <row r="8828" spans="1:6" x14ac:dyDescent="0.25">
      <c r="A8828" t="s">
        <v>16500</v>
      </c>
      <c r="B8828" t="s">
        <v>16501</v>
      </c>
      <c r="C8828" s="1">
        <v>44083</v>
      </c>
      <c r="D8828" t="b">
        <v>1</v>
      </c>
      <c r="E8828" t="s">
        <v>10</v>
      </c>
      <c r="F8828">
        <v>7565</v>
      </c>
    </row>
    <row r="8829" spans="1:6" x14ac:dyDescent="0.25">
      <c r="A8829" t="s">
        <v>16502</v>
      </c>
      <c r="B8829" t="s">
        <v>16503</v>
      </c>
      <c r="C8829" s="1">
        <v>44083</v>
      </c>
      <c r="D8829" t="b">
        <v>1</v>
      </c>
      <c r="E8829" t="s">
        <v>10</v>
      </c>
      <c r="F8829">
        <v>7567</v>
      </c>
    </row>
    <row r="8830" spans="1:6" x14ac:dyDescent="0.25">
      <c r="A8830" t="s">
        <v>16504</v>
      </c>
      <c r="B8830" t="s">
        <v>16505</v>
      </c>
      <c r="C8830" s="1">
        <v>44083</v>
      </c>
      <c r="D8830" t="b">
        <v>1</v>
      </c>
      <c r="E8830" t="s">
        <v>10</v>
      </c>
      <c r="F8830">
        <v>7568</v>
      </c>
    </row>
    <row r="8831" spans="1:6" x14ac:dyDescent="0.25">
      <c r="A8831" t="s">
        <v>16506</v>
      </c>
      <c r="B8831" t="s">
        <v>16507</v>
      </c>
      <c r="C8831" s="1">
        <v>44083</v>
      </c>
      <c r="D8831" t="b">
        <v>1</v>
      </c>
      <c r="E8831" t="s">
        <v>10</v>
      </c>
      <c r="F8831">
        <v>7569</v>
      </c>
    </row>
    <row r="8832" spans="1:6" x14ac:dyDescent="0.25">
      <c r="A8832" t="s">
        <v>16508</v>
      </c>
      <c r="B8832" t="s">
        <v>16509</v>
      </c>
      <c r="C8832" s="1">
        <v>44083</v>
      </c>
      <c r="D8832" t="b">
        <v>1</v>
      </c>
      <c r="E8832" t="s">
        <v>10</v>
      </c>
      <c r="F8832">
        <v>7570</v>
      </c>
    </row>
    <row r="8833" spans="1:6" x14ac:dyDescent="0.25">
      <c r="A8833" t="s">
        <v>16510</v>
      </c>
      <c r="B8833" t="s">
        <v>16511</v>
      </c>
      <c r="C8833" s="1">
        <v>44083</v>
      </c>
      <c r="D8833" t="b">
        <v>1</v>
      </c>
      <c r="E8833" t="s">
        <v>10</v>
      </c>
      <c r="F8833">
        <v>15699</v>
      </c>
    </row>
    <row r="8834" spans="1:6" x14ac:dyDescent="0.25">
      <c r="A8834" t="s">
        <v>16512</v>
      </c>
      <c r="B8834" t="s">
        <v>16513</v>
      </c>
      <c r="C8834" s="1">
        <v>44083</v>
      </c>
      <c r="D8834" t="b">
        <v>1</v>
      </c>
      <c r="E8834" t="s">
        <v>10</v>
      </c>
      <c r="F8834">
        <v>5999</v>
      </c>
    </row>
    <row r="8835" spans="1:6" x14ac:dyDescent="0.25">
      <c r="A8835" t="s">
        <v>16514</v>
      </c>
      <c r="C8835" s="1">
        <v>44083</v>
      </c>
      <c r="D8835" t="b">
        <v>1</v>
      </c>
      <c r="E8835" t="s">
        <v>10</v>
      </c>
      <c r="F8835">
        <v>8849</v>
      </c>
    </row>
    <row r="8836" spans="1:6" x14ac:dyDescent="0.25">
      <c r="A8836" t="s">
        <v>16515</v>
      </c>
      <c r="B8836" t="s">
        <v>16516</v>
      </c>
      <c r="C8836" s="1">
        <v>44083</v>
      </c>
      <c r="D8836" t="b">
        <v>1</v>
      </c>
      <c r="E8836" t="s">
        <v>10</v>
      </c>
      <c r="F8836">
        <v>7572</v>
      </c>
    </row>
    <row r="8837" spans="1:6" x14ac:dyDescent="0.25">
      <c r="A8837" t="s">
        <v>16517</v>
      </c>
      <c r="B8837" t="s">
        <v>16518</v>
      </c>
      <c r="C8837" s="1">
        <v>44083</v>
      </c>
      <c r="D8837" t="b">
        <v>1</v>
      </c>
      <c r="E8837" t="s">
        <v>10</v>
      </c>
      <c r="F8837">
        <v>7573</v>
      </c>
    </row>
    <row r="8838" spans="1:6" x14ac:dyDescent="0.25">
      <c r="A8838" t="s">
        <v>16519</v>
      </c>
      <c r="B8838" t="s">
        <v>16520</v>
      </c>
      <c r="C8838" s="1">
        <v>44083</v>
      </c>
      <c r="D8838" t="b">
        <v>1</v>
      </c>
      <c r="E8838" t="s">
        <v>10</v>
      </c>
      <c r="F8838">
        <v>12068</v>
      </c>
    </row>
    <row r="8839" spans="1:6" x14ac:dyDescent="0.25">
      <c r="A8839" t="s">
        <v>16521</v>
      </c>
      <c r="C8839" s="1">
        <v>44083</v>
      </c>
      <c r="D8839" t="b">
        <v>1</v>
      </c>
      <c r="E8839" t="s">
        <v>10</v>
      </c>
      <c r="F8839">
        <v>15960</v>
      </c>
    </row>
    <row r="8840" spans="1:6" x14ac:dyDescent="0.25">
      <c r="A8840" t="s">
        <v>16522</v>
      </c>
      <c r="B8840" t="s">
        <v>16523</v>
      </c>
      <c r="C8840" s="1">
        <v>44083</v>
      </c>
      <c r="D8840" t="b">
        <v>1</v>
      </c>
      <c r="E8840" t="s">
        <v>10</v>
      </c>
      <c r="F8840">
        <v>9719</v>
      </c>
    </row>
    <row r="8841" spans="1:6" x14ac:dyDescent="0.25">
      <c r="A8841" t="s">
        <v>16524</v>
      </c>
      <c r="B8841" t="s">
        <v>16525</v>
      </c>
      <c r="C8841" s="1">
        <v>44083</v>
      </c>
      <c r="D8841" t="b">
        <v>1</v>
      </c>
      <c r="E8841" t="s">
        <v>10</v>
      </c>
      <c r="F8841">
        <v>15411</v>
      </c>
    </row>
    <row r="8842" spans="1:6" x14ac:dyDescent="0.25">
      <c r="A8842" t="s">
        <v>16526</v>
      </c>
      <c r="B8842" t="s">
        <v>16527</v>
      </c>
      <c r="C8842" s="1">
        <v>44083</v>
      </c>
      <c r="D8842" t="b">
        <v>1</v>
      </c>
      <c r="E8842" t="s">
        <v>10</v>
      </c>
      <c r="F8842">
        <v>10471</v>
      </c>
    </row>
    <row r="8843" spans="1:6" x14ac:dyDescent="0.25">
      <c r="A8843" t="s">
        <v>16528</v>
      </c>
      <c r="B8843" t="s">
        <v>16529</v>
      </c>
      <c r="C8843" s="1">
        <v>44083</v>
      </c>
      <c r="D8843" t="b">
        <v>1</v>
      </c>
      <c r="E8843" t="s">
        <v>10</v>
      </c>
      <c r="F8843">
        <v>15395</v>
      </c>
    </row>
    <row r="8844" spans="1:6" x14ac:dyDescent="0.25">
      <c r="A8844" t="s">
        <v>16530</v>
      </c>
      <c r="B8844" t="s">
        <v>16531</v>
      </c>
      <c r="C8844" s="1">
        <v>44083</v>
      </c>
      <c r="D8844" t="b">
        <v>1</v>
      </c>
      <c r="E8844" t="s">
        <v>10</v>
      </c>
      <c r="F8844">
        <v>15983</v>
      </c>
    </row>
    <row r="8845" spans="1:6" x14ac:dyDescent="0.25">
      <c r="A8845" t="s">
        <v>16532</v>
      </c>
      <c r="B8845" t="s">
        <v>16533</v>
      </c>
      <c r="C8845" s="1">
        <v>44083</v>
      </c>
      <c r="D8845" t="b">
        <v>1</v>
      </c>
      <c r="E8845" t="s">
        <v>10</v>
      </c>
      <c r="F8845">
        <v>14109</v>
      </c>
    </row>
    <row r="8846" spans="1:6" x14ac:dyDescent="0.25">
      <c r="A8846" t="s">
        <v>16534</v>
      </c>
      <c r="B8846" t="s">
        <v>16535</v>
      </c>
      <c r="C8846" s="1">
        <v>44083</v>
      </c>
      <c r="D8846" t="b">
        <v>1</v>
      </c>
      <c r="E8846" t="s">
        <v>10</v>
      </c>
      <c r="F8846">
        <v>7577</v>
      </c>
    </row>
    <row r="8847" spans="1:6" x14ac:dyDescent="0.25">
      <c r="A8847" t="s">
        <v>16536</v>
      </c>
      <c r="B8847" t="s">
        <v>16537</v>
      </c>
      <c r="C8847" s="1">
        <v>44083</v>
      </c>
      <c r="D8847" t="b">
        <v>1</v>
      </c>
      <c r="E8847" t="s">
        <v>10</v>
      </c>
      <c r="F8847">
        <v>7578</v>
      </c>
    </row>
    <row r="8848" spans="1:6" x14ac:dyDescent="0.25">
      <c r="A8848" t="s">
        <v>16538</v>
      </c>
      <c r="B8848" t="s">
        <v>16539</v>
      </c>
      <c r="C8848" s="1">
        <v>44083</v>
      </c>
      <c r="D8848" t="b">
        <v>1</v>
      </c>
      <c r="E8848" t="s">
        <v>10</v>
      </c>
      <c r="F8848">
        <v>9797</v>
      </c>
    </row>
    <row r="8849" spans="1:6" x14ac:dyDescent="0.25">
      <c r="A8849" t="s">
        <v>16540</v>
      </c>
      <c r="B8849" t="s">
        <v>16541</v>
      </c>
      <c r="C8849" s="1">
        <v>44083</v>
      </c>
      <c r="D8849" t="b">
        <v>1</v>
      </c>
      <c r="E8849" t="s">
        <v>10</v>
      </c>
      <c r="F8849">
        <v>10359</v>
      </c>
    </row>
    <row r="8850" spans="1:6" x14ac:dyDescent="0.25">
      <c r="A8850" t="s">
        <v>16542</v>
      </c>
      <c r="B8850" t="s">
        <v>16543</v>
      </c>
      <c r="C8850" s="1">
        <v>44083</v>
      </c>
      <c r="D8850" t="b">
        <v>1</v>
      </c>
      <c r="E8850" t="s">
        <v>10</v>
      </c>
      <c r="F8850">
        <v>9381</v>
      </c>
    </row>
    <row r="8851" spans="1:6" x14ac:dyDescent="0.25">
      <c r="A8851" t="s">
        <v>16544</v>
      </c>
      <c r="B8851" t="s">
        <v>16545</v>
      </c>
      <c r="C8851" s="1">
        <v>44083</v>
      </c>
      <c r="D8851" t="b">
        <v>1</v>
      </c>
      <c r="E8851" t="s">
        <v>10</v>
      </c>
      <c r="F8851">
        <v>8956</v>
      </c>
    </row>
    <row r="8852" spans="1:6" x14ac:dyDescent="0.25">
      <c r="A8852" t="s">
        <v>16546</v>
      </c>
      <c r="B8852" t="s">
        <v>16547</v>
      </c>
      <c r="C8852" s="1">
        <v>44083</v>
      </c>
      <c r="D8852" t="b">
        <v>1</v>
      </c>
      <c r="E8852" t="s">
        <v>10</v>
      </c>
      <c r="F8852">
        <v>14676</v>
      </c>
    </row>
    <row r="8853" spans="1:6" x14ac:dyDescent="0.25">
      <c r="A8853" t="s">
        <v>16548</v>
      </c>
      <c r="B8853" t="s">
        <v>16549</v>
      </c>
      <c r="C8853" s="1">
        <v>44083</v>
      </c>
      <c r="D8853" t="b">
        <v>1</v>
      </c>
      <c r="E8853" t="s">
        <v>10</v>
      </c>
      <c r="F8853">
        <v>7579</v>
      </c>
    </row>
    <row r="8854" spans="1:6" x14ac:dyDescent="0.25">
      <c r="A8854" t="s">
        <v>16550</v>
      </c>
      <c r="B8854" t="s">
        <v>16551</v>
      </c>
      <c r="C8854" s="1">
        <v>44083</v>
      </c>
      <c r="D8854" t="b">
        <v>1</v>
      </c>
      <c r="E8854" t="s">
        <v>10</v>
      </c>
      <c r="F8854">
        <v>13447</v>
      </c>
    </row>
    <row r="8855" spans="1:6" x14ac:dyDescent="0.25">
      <c r="A8855" t="s">
        <v>16552</v>
      </c>
      <c r="B8855" t="s">
        <v>16553</v>
      </c>
      <c r="C8855" s="1">
        <v>44083</v>
      </c>
      <c r="D8855" t="b">
        <v>1</v>
      </c>
      <c r="E8855" t="s">
        <v>10</v>
      </c>
      <c r="F8855">
        <v>13629</v>
      </c>
    </row>
    <row r="8856" spans="1:6" x14ac:dyDescent="0.25">
      <c r="A8856" t="s">
        <v>16554</v>
      </c>
      <c r="B8856" t="s">
        <v>16555</v>
      </c>
      <c r="C8856" s="1">
        <v>44083</v>
      </c>
      <c r="D8856" t="b">
        <v>1</v>
      </c>
      <c r="E8856" t="s">
        <v>10</v>
      </c>
      <c r="F8856">
        <v>9758</v>
      </c>
    </row>
    <row r="8857" spans="1:6" x14ac:dyDescent="0.25">
      <c r="A8857" t="s">
        <v>16556</v>
      </c>
      <c r="B8857" t="s">
        <v>16557</v>
      </c>
      <c r="C8857" s="1">
        <v>44083</v>
      </c>
      <c r="D8857" t="b">
        <v>1</v>
      </c>
      <c r="E8857" t="s">
        <v>10</v>
      </c>
      <c r="F8857">
        <v>7583</v>
      </c>
    </row>
    <row r="8858" spans="1:6" x14ac:dyDescent="0.25">
      <c r="A8858" t="s">
        <v>16558</v>
      </c>
      <c r="B8858" t="s">
        <v>16559</v>
      </c>
      <c r="C8858" s="1">
        <v>44083</v>
      </c>
      <c r="D8858" t="b">
        <v>1</v>
      </c>
      <c r="E8858" t="s">
        <v>10</v>
      </c>
      <c r="F8858">
        <v>7584</v>
      </c>
    </row>
    <row r="8859" spans="1:6" x14ac:dyDescent="0.25">
      <c r="A8859" t="s">
        <v>16560</v>
      </c>
      <c r="B8859" t="s">
        <v>16561</v>
      </c>
      <c r="C8859" s="1">
        <v>44083</v>
      </c>
      <c r="D8859" t="b">
        <v>1</v>
      </c>
      <c r="E8859" t="s">
        <v>10</v>
      </c>
      <c r="F8859">
        <v>9702</v>
      </c>
    </row>
    <row r="8860" spans="1:6" x14ac:dyDescent="0.25">
      <c r="A8860" t="s">
        <v>16562</v>
      </c>
      <c r="B8860" t="s">
        <v>16563</v>
      </c>
      <c r="C8860" s="1">
        <v>44083</v>
      </c>
      <c r="D8860" t="b">
        <v>1</v>
      </c>
      <c r="E8860" t="s">
        <v>10</v>
      </c>
      <c r="F8860">
        <v>7585</v>
      </c>
    </row>
    <row r="8861" spans="1:6" x14ac:dyDescent="0.25">
      <c r="A8861" t="s">
        <v>16564</v>
      </c>
      <c r="B8861" t="s">
        <v>16565</v>
      </c>
      <c r="C8861" s="1">
        <v>44083</v>
      </c>
      <c r="D8861" t="b">
        <v>1</v>
      </c>
      <c r="E8861" t="s">
        <v>10</v>
      </c>
      <c r="F8861">
        <v>7586</v>
      </c>
    </row>
    <row r="8862" spans="1:6" x14ac:dyDescent="0.25">
      <c r="A8862" t="s">
        <v>16566</v>
      </c>
      <c r="B8862" t="s">
        <v>16567</v>
      </c>
      <c r="C8862" s="1">
        <v>44083</v>
      </c>
      <c r="D8862" t="b">
        <v>1</v>
      </c>
      <c r="E8862" t="s">
        <v>10</v>
      </c>
      <c r="F8862">
        <v>11017</v>
      </c>
    </row>
    <row r="8863" spans="1:6" x14ac:dyDescent="0.25">
      <c r="A8863" t="s">
        <v>16568</v>
      </c>
      <c r="B8863" t="s">
        <v>16569</v>
      </c>
      <c r="C8863" s="1">
        <v>44083</v>
      </c>
      <c r="D8863" t="b">
        <v>1</v>
      </c>
      <c r="E8863" t="s">
        <v>10</v>
      </c>
      <c r="F8863">
        <v>7591</v>
      </c>
    </row>
    <row r="8864" spans="1:6" x14ac:dyDescent="0.25">
      <c r="A8864" t="s">
        <v>16570</v>
      </c>
      <c r="B8864" t="s">
        <v>16571</v>
      </c>
      <c r="C8864" s="1">
        <v>44083</v>
      </c>
      <c r="D8864" t="b">
        <v>1</v>
      </c>
      <c r="E8864" t="s">
        <v>10</v>
      </c>
      <c r="F8864">
        <v>14746</v>
      </c>
    </row>
    <row r="8865" spans="1:6" x14ac:dyDescent="0.25">
      <c r="A8865" t="s">
        <v>16572</v>
      </c>
      <c r="B8865" t="s">
        <v>16573</v>
      </c>
      <c r="C8865" s="1">
        <v>44083</v>
      </c>
      <c r="D8865" t="b">
        <v>1</v>
      </c>
      <c r="E8865" t="s">
        <v>10</v>
      </c>
      <c r="F8865">
        <v>7592</v>
      </c>
    </row>
    <row r="8866" spans="1:6" x14ac:dyDescent="0.25">
      <c r="A8866" t="s">
        <v>16574</v>
      </c>
      <c r="B8866" t="s">
        <v>16575</v>
      </c>
      <c r="C8866" s="1">
        <v>44083</v>
      </c>
      <c r="D8866" t="b">
        <v>1</v>
      </c>
      <c r="E8866" t="s">
        <v>10</v>
      </c>
      <c r="F8866">
        <v>7593</v>
      </c>
    </row>
    <row r="8867" spans="1:6" x14ac:dyDescent="0.25">
      <c r="A8867" t="s">
        <v>16576</v>
      </c>
      <c r="B8867" t="s">
        <v>16577</v>
      </c>
      <c r="C8867" s="1">
        <v>44083</v>
      </c>
      <c r="D8867" t="b">
        <v>1</v>
      </c>
      <c r="E8867" t="s">
        <v>10</v>
      </c>
      <c r="F8867">
        <v>14425</v>
      </c>
    </row>
    <row r="8868" spans="1:6" x14ac:dyDescent="0.25">
      <c r="A8868" t="s">
        <v>16578</v>
      </c>
      <c r="B8868" t="s">
        <v>16579</v>
      </c>
      <c r="C8868" s="1">
        <v>44083</v>
      </c>
      <c r="D8868" t="b">
        <v>1</v>
      </c>
      <c r="E8868" t="s">
        <v>10</v>
      </c>
      <c r="F8868">
        <v>7595</v>
      </c>
    </row>
    <row r="8869" spans="1:6" x14ac:dyDescent="0.25">
      <c r="A8869" t="s">
        <v>16580</v>
      </c>
      <c r="B8869" t="s">
        <v>16581</v>
      </c>
      <c r="C8869" s="1">
        <v>44083</v>
      </c>
      <c r="D8869" t="b">
        <v>1</v>
      </c>
      <c r="E8869" t="s">
        <v>10</v>
      </c>
      <c r="F8869">
        <v>7596</v>
      </c>
    </row>
    <row r="8870" spans="1:6" x14ac:dyDescent="0.25">
      <c r="A8870" t="s">
        <v>16582</v>
      </c>
      <c r="B8870" t="s">
        <v>16583</v>
      </c>
      <c r="C8870" s="1">
        <v>44083</v>
      </c>
      <c r="D8870" t="b">
        <v>1</v>
      </c>
      <c r="E8870" t="s">
        <v>10</v>
      </c>
      <c r="F8870">
        <v>7597</v>
      </c>
    </row>
    <row r="8871" spans="1:6" x14ac:dyDescent="0.25">
      <c r="A8871" t="s">
        <v>16584</v>
      </c>
      <c r="B8871" t="s">
        <v>16585</v>
      </c>
      <c r="C8871" s="1">
        <v>44083</v>
      </c>
      <c r="D8871" t="b">
        <v>1</v>
      </c>
      <c r="E8871" t="s">
        <v>10</v>
      </c>
      <c r="F8871">
        <v>7598</v>
      </c>
    </row>
    <row r="8872" spans="1:6" x14ac:dyDescent="0.25">
      <c r="A8872" t="s">
        <v>16586</v>
      </c>
      <c r="B8872" t="s">
        <v>16587</v>
      </c>
      <c r="C8872" s="1">
        <v>44083</v>
      </c>
      <c r="D8872" t="b">
        <v>1</v>
      </c>
      <c r="E8872" t="s">
        <v>10</v>
      </c>
      <c r="F8872">
        <v>10669</v>
      </c>
    </row>
    <row r="8873" spans="1:6" x14ac:dyDescent="0.25">
      <c r="A8873" t="s">
        <v>16588</v>
      </c>
      <c r="B8873" t="s">
        <v>16589</v>
      </c>
      <c r="C8873" s="1">
        <v>44083</v>
      </c>
      <c r="D8873" t="b">
        <v>1</v>
      </c>
      <c r="E8873" t="s">
        <v>10</v>
      </c>
      <c r="F8873">
        <v>7766</v>
      </c>
    </row>
    <row r="8874" spans="1:6" x14ac:dyDescent="0.25">
      <c r="A8874" t="s">
        <v>16590</v>
      </c>
      <c r="B8874" t="s">
        <v>16591</v>
      </c>
      <c r="C8874" s="1">
        <v>44083</v>
      </c>
      <c r="D8874" t="b">
        <v>1</v>
      </c>
      <c r="E8874" t="s">
        <v>10</v>
      </c>
      <c r="F8874">
        <v>15588</v>
      </c>
    </row>
    <row r="8875" spans="1:6" x14ac:dyDescent="0.25">
      <c r="A8875" t="s">
        <v>16592</v>
      </c>
      <c r="B8875" t="s">
        <v>16593</v>
      </c>
      <c r="C8875" s="1">
        <v>44083</v>
      </c>
      <c r="D8875" t="b">
        <v>1</v>
      </c>
      <c r="E8875" t="s">
        <v>10</v>
      </c>
      <c r="F8875">
        <v>7600</v>
      </c>
    </row>
    <row r="8876" spans="1:6" x14ac:dyDescent="0.25">
      <c r="A8876" t="s">
        <v>16594</v>
      </c>
      <c r="B8876" t="s">
        <v>16595</v>
      </c>
      <c r="C8876" s="1">
        <v>44083</v>
      </c>
      <c r="D8876" t="b">
        <v>1</v>
      </c>
      <c r="E8876" t="s">
        <v>10</v>
      </c>
      <c r="F8876">
        <v>7601</v>
      </c>
    </row>
    <row r="8877" spans="1:6" x14ac:dyDescent="0.25">
      <c r="A8877" t="s">
        <v>16596</v>
      </c>
      <c r="B8877" t="s">
        <v>16597</v>
      </c>
      <c r="C8877" s="1">
        <v>44083</v>
      </c>
      <c r="D8877" t="b">
        <v>1</v>
      </c>
      <c r="E8877" t="s">
        <v>10</v>
      </c>
      <c r="F8877">
        <v>7602</v>
      </c>
    </row>
    <row r="8878" spans="1:6" x14ac:dyDescent="0.25">
      <c r="A8878" t="s">
        <v>16598</v>
      </c>
      <c r="B8878" t="s">
        <v>16599</v>
      </c>
      <c r="C8878" s="1">
        <v>44083</v>
      </c>
      <c r="D8878" t="b">
        <v>1</v>
      </c>
      <c r="E8878" t="s">
        <v>10</v>
      </c>
      <c r="F8878">
        <v>7603</v>
      </c>
    </row>
    <row r="8879" spans="1:6" x14ac:dyDescent="0.25">
      <c r="A8879" t="s">
        <v>16600</v>
      </c>
      <c r="B8879" t="s">
        <v>16601</v>
      </c>
      <c r="C8879" s="1">
        <v>44083</v>
      </c>
      <c r="D8879" t="b">
        <v>1</v>
      </c>
      <c r="E8879" t="s">
        <v>10</v>
      </c>
      <c r="F8879">
        <v>5698</v>
      </c>
    </row>
    <row r="8880" spans="1:6" x14ac:dyDescent="0.25">
      <c r="A8880" t="s">
        <v>16602</v>
      </c>
      <c r="B8880" t="s">
        <v>16603</v>
      </c>
      <c r="C8880" s="1">
        <v>44083</v>
      </c>
      <c r="D8880" t="b">
        <v>1</v>
      </c>
      <c r="E8880" t="s">
        <v>10</v>
      </c>
      <c r="F8880">
        <v>7604</v>
      </c>
    </row>
    <row r="8881" spans="1:6" x14ac:dyDescent="0.25">
      <c r="A8881" t="s">
        <v>16604</v>
      </c>
      <c r="B8881" t="s">
        <v>16605</v>
      </c>
      <c r="C8881" s="1">
        <v>44083</v>
      </c>
      <c r="D8881" t="b">
        <v>1</v>
      </c>
      <c r="E8881" t="s">
        <v>10</v>
      </c>
      <c r="F8881">
        <v>5699</v>
      </c>
    </row>
    <row r="8882" spans="1:6" x14ac:dyDescent="0.25">
      <c r="A8882" t="s">
        <v>16606</v>
      </c>
      <c r="B8882" t="s">
        <v>16607</v>
      </c>
      <c r="C8882" s="1">
        <v>44083</v>
      </c>
      <c r="D8882" t="b">
        <v>1</v>
      </c>
      <c r="E8882" t="s">
        <v>10</v>
      </c>
      <c r="F8882">
        <v>7605</v>
      </c>
    </row>
    <row r="8883" spans="1:6" x14ac:dyDescent="0.25">
      <c r="A8883" t="s">
        <v>16608</v>
      </c>
      <c r="B8883" t="s">
        <v>16609</v>
      </c>
      <c r="C8883" s="1">
        <v>44083</v>
      </c>
      <c r="D8883" t="b">
        <v>1</v>
      </c>
      <c r="E8883" t="s">
        <v>10</v>
      </c>
      <c r="F8883">
        <v>5700</v>
      </c>
    </row>
    <row r="8884" spans="1:6" x14ac:dyDescent="0.25">
      <c r="A8884" t="s">
        <v>16610</v>
      </c>
      <c r="B8884" t="s">
        <v>16611</v>
      </c>
      <c r="C8884" s="1">
        <v>44083</v>
      </c>
      <c r="D8884" t="b">
        <v>1</v>
      </c>
      <c r="E8884" t="s">
        <v>10</v>
      </c>
      <c r="F8884">
        <v>8112</v>
      </c>
    </row>
    <row r="8885" spans="1:6" x14ac:dyDescent="0.25">
      <c r="A8885" t="s">
        <v>16612</v>
      </c>
      <c r="B8885" t="s">
        <v>16613</v>
      </c>
      <c r="C8885" s="1">
        <v>44083</v>
      </c>
      <c r="D8885" t="b">
        <v>1</v>
      </c>
      <c r="E8885" t="s">
        <v>10</v>
      </c>
      <c r="F8885">
        <v>7606</v>
      </c>
    </row>
    <row r="8886" spans="1:6" x14ac:dyDescent="0.25">
      <c r="A8886" t="s">
        <v>16614</v>
      </c>
      <c r="B8886" t="s">
        <v>16615</v>
      </c>
      <c r="C8886" s="1">
        <v>44083</v>
      </c>
      <c r="D8886" t="b">
        <v>1</v>
      </c>
      <c r="E8886" t="s">
        <v>10</v>
      </c>
      <c r="F8886">
        <v>4591</v>
      </c>
    </row>
    <row r="8887" spans="1:6" x14ac:dyDescent="0.25">
      <c r="A8887" t="s">
        <v>16616</v>
      </c>
      <c r="B8887" t="s">
        <v>16617</v>
      </c>
      <c r="C8887" s="1">
        <v>44083</v>
      </c>
      <c r="D8887" t="b">
        <v>1</v>
      </c>
      <c r="E8887" t="s">
        <v>10</v>
      </c>
      <c r="F8887">
        <v>7609</v>
      </c>
    </row>
    <row r="8888" spans="1:6" x14ac:dyDescent="0.25">
      <c r="A8888" t="s">
        <v>16618</v>
      </c>
      <c r="B8888" t="s">
        <v>16619</v>
      </c>
      <c r="C8888" s="1">
        <v>44083</v>
      </c>
      <c r="D8888" t="b">
        <v>1</v>
      </c>
      <c r="E8888" t="s">
        <v>10</v>
      </c>
      <c r="F8888">
        <v>7610</v>
      </c>
    </row>
    <row r="8889" spans="1:6" x14ac:dyDescent="0.25">
      <c r="A8889" t="s">
        <v>16620</v>
      </c>
      <c r="B8889" t="s">
        <v>16621</v>
      </c>
      <c r="C8889" s="1">
        <v>44083</v>
      </c>
      <c r="D8889" t="b">
        <v>1</v>
      </c>
      <c r="E8889" t="s">
        <v>10</v>
      </c>
      <c r="F8889">
        <v>7611</v>
      </c>
    </row>
    <row r="8890" spans="1:6" x14ac:dyDescent="0.25">
      <c r="A8890" t="s">
        <v>16622</v>
      </c>
      <c r="B8890" t="s">
        <v>16623</v>
      </c>
      <c r="C8890" s="1">
        <v>44083</v>
      </c>
      <c r="D8890" t="b">
        <v>1</v>
      </c>
      <c r="E8890" t="s">
        <v>10</v>
      </c>
      <c r="F8890">
        <v>7613</v>
      </c>
    </row>
    <row r="8891" spans="1:6" x14ac:dyDescent="0.25">
      <c r="A8891" t="s">
        <v>16624</v>
      </c>
      <c r="B8891" t="s">
        <v>16625</v>
      </c>
      <c r="C8891" s="1">
        <v>44083</v>
      </c>
      <c r="D8891" t="b">
        <v>1</v>
      </c>
      <c r="E8891" t="s">
        <v>10</v>
      </c>
      <c r="F8891">
        <v>16164</v>
      </c>
    </row>
    <row r="8892" spans="1:6" x14ac:dyDescent="0.25">
      <c r="A8892" t="s">
        <v>16626</v>
      </c>
      <c r="B8892" t="s">
        <v>16627</v>
      </c>
      <c r="C8892" s="1">
        <v>44083</v>
      </c>
      <c r="D8892" t="b">
        <v>1</v>
      </c>
      <c r="E8892" t="s">
        <v>10</v>
      </c>
      <c r="F8892">
        <v>16309</v>
      </c>
    </row>
    <row r="8893" spans="1:6" x14ac:dyDescent="0.25">
      <c r="A8893" t="s">
        <v>16628</v>
      </c>
      <c r="B8893" t="s">
        <v>16629</v>
      </c>
      <c r="C8893" s="1">
        <v>44083</v>
      </c>
      <c r="D8893" t="b">
        <v>1</v>
      </c>
      <c r="E8893" t="s">
        <v>10</v>
      </c>
      <c r="F8893">
        <v>15951</v>
      </c>
    </row>
    <row r="8894" spans="1:6" x14ac:dyDescent="0.25">
      <c r="A8894" t="s">
        <v>16630</v>
      </c>
      <c r="B8894" t="s">
        <v>16631</v>
      </c>
      <c r="C8894" s="1">
        <v>44083</v>
      </c>
      <c r="D8894" t="b">
        <v>1</v>
      </c>
      <c r="E8894" t="s">
        <v>10</v>
      </c>
      <c r="F8894">
        <v>16784</v>
      </c>
    </row>
    <row r="8895" spans="1:6" x14ac:dyDescent="0.25">
      <c r="A8895" t="s">
        <v>16632</v>
      </c>
      <c r="B8895" t="s">
        <v>16633</v>
      </c>
      <c r="C8895" s="1">
        <v>44083</v>
      </c>
      <c r="D8895" t="b">
        <v>1</v>
      </c>
      <c r="E8895" t="s">
        <v>10</v>
      </c>
      <c r="F8895">
        <v>17078</v>
      </c>
    </row>
    <row r="8896" spans="1:6" x14ac:dyDescent="0.25">
      <c r="A8896" t="s">
        <v>16634</v>
      </c>
      <c r="B8896" t="s">
        <v>16635</v>
      </c>
      <c r="C8896" s="1">
        <v>44083</v>
      </c>
      <c r="D8896" t="b">
        <v>1</v>
      </c>
      <c r="E8896" t="s">
        <v>10</v>
      </c>
      <c r="F8896">
        <v>7616</v>
      </c>
    </row>
    <row r="8897" spans="1:6" x14ac:dyDescent="0.25">
      <c r="A8897" t="s">
        <v>16636</v>
      </c>
      <c r="B8897" t="s">
        <v>16637</v>
      </c>
      <c r="C8897" s="1">
        <v>44083</v>
      </c>
      <c r="D8897" t="b">
        <v>1</v>
      </c>
      <c r="E8897" t="s">
        <v>10</v>
      </c>
      <c r="F8897">
        <v>7617</v>
      </c>
    </row>
    <row r="8898" spans="1:6" x14ac:dyDescent="0.25">
      <c r="A8898" t="s">
        <v>16638</v>
      </c>
      <c r="B8898" t="s">
        <v>16639</v>
      </c>
      <c r="C8898" s="1">
        <v>44083</v>
      </c>
      <c r="D8898" t="b">
        <v>1</v>
      </c>
      <c r="E8898" t="s">
        <v>10</v>
      </c>
      <c r="F8898">
        <v>7619</v>
      </c>
    </row>
    <row r="8899" spans="1:6" x14ac:dyDescent="0.25">
      <c r="A8899" t="s">
        <v>16640</v>
      </c>
      <c r="B8899" t="s">
        <v>16641</v>
      </c>
      <c r="C8899" s="1">
        <v>44083</v>
      </c>
      <c r="D8899" t="b">
        <v>1</v>
      </c>
      <c r="E8899" t="s">
        <v>10</v>
      </c>
      <c r="F8899">
        <v>7620</v>
      </c>
    </row>
    <row r="8900" spans="1:6" x14ac:dyDescent="0.25">
      <c r="A8900" t="s">
        <v>16642</v>
      </c>
      <c r="B8900" t="s">
        <v>16643</v>
      </c>
      <c r="C8900" s="1">
        <v>44083</v>
      </c>
      <c r="D8900" t="b">
        <v>1</v>
      </c>
      <c r="E8900" t="s">
        <v>10</v>
      </c>
      <c r="F8900">
        <v>7622</v>
      </c>
    </row>
    <row r="8901" spans="1:6" x14ac:dyDescent="0.25">
      <c r="A8901" t="s">
        <v>16644</v>
      </c>
      <c r="B8901" t="s">
        <v>16645</v>
      </c>
      <c r="C8901" s="1">
        <v>44083</v>
      </c>
      <c r="D8901" t="b">
        <v>1</v>
      </c>
      <c r="E8901" t="s">
        <v>10</v>
      </c>
      <c r="F8901">
        <v>9899</v>
      </c>
    </row>
    <row r="8902" spans="1:6" x14ac:dyDescent="0.25">
      <c r="A8902" t="s">
        <v>16646</v>
      </c>
      <c r="B8902" t="s">
        <v>16647</v>
      </c>
      <c r="C8902" s="1">
        <v>44083</v>
      </c>
      <c r="D8902" t="b">
        <v>1</v>
      </c>
      <c r="E8902" t="s">
        <v>10</v>
      </c>
      <c r="F8902">
        <v>7626</v>
      </c>
    </row>
    <row r="8903" spans="1:6" x14ac:dyDescent="0.25">
      <c r="A8903" t="s">
        <v>16648</v>
      </c>
      <c r="B8903" t="s">
        <v>16649</v>
      </c>
      <c r="C8903" s="1">
        <v>44083</v>
      </c>
      <c r="D8903" t="b">
        <v>1</v>
      </c>
      <c r="E8903" t="s">
        <v>10</v>
      </c>
      <c r="F8903">
        <v>15988</v>
      </c>
    </row>
    <row r="8904" spans="1:6" x14ac:dyDescent="0.25">
      <c r="A8904" t="s">
        <v>16650</v>
      </c>
      <c r="B8904" t="s">
        <v>16651</v>
      </c>
      <c r="C8904" s="1">
        <v>44083</v>
      </c>
      <c r="D8904" t="b">
        <v>1</v>
      </c>
      <c r="E8904" t="s">
        <v>10</v>
      </c>
      <c r="F8904">
        <v>7629</v>
      </c>
    </row>
    <row r="8905" spans="1:6" x14ac:dyDescent="0.25">
      <c r="A8905" t="s">
        <v>16652</v>
      </c>
      <c r="B8905" t="s">
        <v>16653</v>
      </c>
      <c r="C8905" s="1">
        <v>44083</v>
      </c>
      <c r="D8905" t="b">
        <v>1</v>
      </c>
      <c r="E8905" t="s">
        <v>10</v>
      </c>
      <c r="F8905">
        <v>12131</v>
      </c>
    </row>
    <row r="8906" spans="1:6" x14ac:dyDescent="0.25">
      <c r="A8906" t="s">
        <v>16654</v>
      </c>
      <c r="B8906" t="s">
        <v>16655</v>
      </c>
      <c r="C8906" s="1">
        <v>44083</v>
      </c>
      <c r="D8906" t="b">
        <v>1</v>
      </c>
      <c r="E8906" t="s">
        <v>10</v>
      </c>
      <c r="F8906">
        <v>12764</v>
      </c>
    </row>
    <row r="8907" spans="1:6" x14ac:dyDescent="0.25">
      <c r="A8907" t="s">
        <v>16656</v>
      </c>
      <c r="B8907" t="s">
        <v>16657</v>
      </c>
      <c r="C8907" s="1">
        <v>44083</v>
      </c>
      <c r="D8907" t="b">
        <v>1</v>
      </c>
      <c r="E8907" t="s">
        <v>10</v>
      </c>
      <c r="F8907">
        <v>7630</v>
      </c>
    </row>
    <row r="8908" spans="1:6" x14ac:dyDescent="0.25">
      <c r="A8908" t="s">
        <v>16658</v>
      </c>
      <c r="B8908" t="s">
        <v>16659</v>
      </c>
      <c r="C8908" s="1">
        <v>44083</v>
      </c>
      <c r="D8908" t="b">
        <v>1</v>
      </c>
      <c r="E8908" t="s">
        <v>10</v>
      </c>
      <c r="F8908">
        <v>5705</v>
      </c>
    </row>
    <row r="8909" spans="1:6" x14ac:dyDescent="0.25">
      <c r="A8909" t="s">
        <v>16660</v>
      </c>
      <c r="B8909" t="s">
        <v>16661</v>
      </c>
      <c r="C8909" s="1">
        <v>44083</v>
      </c>
      <c r="D8909" t="b">
        <v>1</v>
      </c>
      <c r="E8909" t="s">
        <v>10</v>
      </c>
      <c r="F8909">
        <v>9565</v>
      </c>
    </row>
    <row r="8910" spans="1:6" x14ac:dyDescent="0.25">
      <c r="A8910" t="s">
        <v>16662</v>
      </c>
      <c r="B8910" t="s">
        <v>16663</v>
      </c>
      <c r="C8910" s="1">
        <v>44083</v>
      </c>
      <c r="D8910" t="b">
        <v>1</v>
      </c>
      <c r="E8910" t="s">
        <v>10</v>
      </c>
      <c r="F8910">
        <v>7344</v>
      </c>
    </row>
    <row r="8911" spans="1:6" x14ac:dyDescent="0.25">
      <c r="A8911" t="s">
        <v>16664</v>
      </c>
      <c r="B8911" t="s">
        <v>16665</v>
      </c>
      <c r="C8911" s="1">
        <v>44083</v>
      </c>
      <c r="D8911" t="b">
        <v>1</v>
      </c>
      <c r="E8911" t="s">
        <v>10</v>
      </c>
      <c r="F8911">
        <v>5706</v>
      </c>
    </row>
    <row r="8912" spans="1:6" x14ac:dyDescent="0.25">
      <c r="A8912" t="s">
        <v>16666</v>
      </c>
      <c r="B8912" t="s">
        <v>16667</v>
      </c>
      <c r="C8912" s="1">
        <v>44083</v>
      </c>
      <c r="D8912" t="b">
        <v>1</v>
      </c>
      <c r="E8912" t="s">
        <v>10</v>
      </c>
      <c r="F8912">
        <v>7631</v>
      </c>
    </row>
    <row r="8913" spans="1:6" x14ac:dyDescent="0.25">
      <c r="A8913" t="s">
        <v>16668</v>
      </c>
      <c r="B8913" t="s">
        <v>16669</v>
      </c>
      <c r="C8913" s="1">
        <v>44083</v>
      </c>
      <c r="D8913" t="b">
        <v>1</v>
      </c>
      <c r="E8913" t="s">
        <v>10</v>
      </c>
      <c r="F8913">
        <v>9846</v>
      </c>
    </row>
    <row r="8914" spans="1:6" x14ac:dyDescent="0.25">
      <c r="A8914" t="s">
        <v>16670</v>
      </c>
      <c r="B8914" t="s">
        <v>16671</v>
      </c>
      <c r="C8914" s="1">
        <v>44083</v>
      </c>
      <c r="D8914" t="b">
        <v>1</v>
      </c>
      <c r="E8914" t="s">
        <v>10</v>
      </c>
      <c r="F8914">
        <v>7633</v>
      </c>
    </row>
    <row r="8915" spans="1:6" x14ac:dyDescent="0.25">
      <c r="A8915" t="s">
        <v>16672</v>
      </c>
      <c r="B8915" t="s">
        <v>16673</v>
      </c>
      <c r="C8915" s="1">
        <v>44083</v>
      </c>
      <c r="D8915" t="b">
        <v>1</v>
      </c>
      <c r="E8915" t="s">
        <v>10</v>
      </c>
      <c r="F8915">
        <v>7634</v>
      </c>
    </row>
    <row r="8916" spans="1:6" x14ac:dyDescent="0.25">
      <c r="A8916" t="s">
        <v>16674</v>
      </c>
      <c r="B8916" t="s">
        <v>16675</v>
      </c>
      <c r="C8916" s="1">
        <v>44083</v>
      </c>
      <c r="D8916" t="b">
        <v>1</v>
      </c>
      <c r="E8916" t="s">
        <v>10</v>
      </c>
      <c r="F8916">
        <v>7635</v>
      </c>
    </row>
    <row r="8917" spans="1:6" x14ac:dyDescent="0.25">
      <c r="A8917" t="s">
        <v>16676</v>
      </c>
      <c r="B8917" t="s">
        <v>16677</v>
      </c>
      <c r="C8917" s="1">
        <v>44083</v>
      </c>
      <c r="D8917" t="b">
        <v>1</v>
      </c>
      <c r="E8917" t="s">
        <v>10</v>
      </c>
      <c r="F8917">
        <v>851</v>
      </c>
    </row>
    <row r="8918" spans="1:6" x14ac:dyDescent="0.25">
      <c r="A8918" t="s">
        <v>16678</v>
      </c>
      <c r="B8918" t="s">
        <v>16679</v>
      </c>
      <c r="C8918" s="1">
        <v>44083</v>
      </c>
      <c r="D8918" t="b">
        <v>1</v>
      </c>
      <c r="E8918" t="s">
        <v>10</v>
      </c>
      <c r="F8918">
        <v>7640</v>
      </c>
    </row>
    <row r="8919" spans="1:6" x14ac:dyDescent="0.25">
      <c r="A8919" t="s">
        <v>16680</v>
      </c>
      <c r="B8919" t="s">
        <v>16681</v>
      </c>
      <c r="C8919" s="1">
        <v>44083</v>
      </c>
      <c r="D8919" t="b">
        <v>1</v>
      </c>
      <c r="E8919" t="s">
        <v>10</v>
      </c>
      <c r="F8919">
        <v>11527</v>
      </c>
    </row>
    <row r="8920" spans="1:6" x14ac:dyDescent="0.25">
      <c r="A8920" t="s">
        <v>16682</v>
      </c>
      <c r="B8920" t="s">
        <v>16683</v>
      </c>
      <c r="C8920" s="1">
        <v>44083</v>
      </c>
      <c r="D8920" t="b">
        <v>1</v>
      </c>
      <c r="E8920" t="s">
        <v>10</v>
      </c>
      <c r="F8920">
        <v>8453</v>
      </c>
    </row>
    <row r="8921" spans="1:6" x14ac:dyDescent="0.25">
      <c r="A8921" t="s">
        <v>16684</v>
      </c>
      <c r="B8921" t="s">
        <v>16685</v>
      </c>
      <c r="C8921" s="1">
        <v>44083</v>
      </c>
      <c r="D8921" t="b">
        <v>1</v>
      </c>
      <c r="E8921" t="s">
        <v>10</v>
      </c>
      <c r="F8921">
        <v>14968</v>
      </c>
    </row>
    <row r="8922" spans="1:6" x14ac:dyDescent="0.25">
      <c r="A8922" t="s">
        <v>16686</v>
      </c>
      <c r="B8922" t="s">
        <v>16687</v>
      </c>
      <c r="C8922" s="1">
        <v>44083</v>
      </c>
      <c r="D8922" t="b">
        <v>1</v>
      </c>
      <c r="E8922" t="s">
        <v>10</v>
      </c>
      <c r="F8922">
        <v>7644</v>
      </c>
    </row>
    <row r="8923" spans="1:6" x14ac:dyDescent="0.25">
      <c r="A8923" t="s">
        <v>16688</v>
      </c>
      <c r="B8923" t="s">
        <v>16689</v>
      </c>
      <c r="C8923" s="1">
        <v>44083</v>
      </c>
      <c r="D8923" t="b">
        <v>0</v>
      </c>
      <c r="E8923" t="s">
        <v>10</v>
      </c>
      <c r="F8923">
        <v>15334</v>
      </c>
    </row>
    <row r="8924" spans="1:6" x14ac:dyDescent="0.25">
      <c r="A8924" t="s">
        <v>16690</v>
      </c>
      <c r="B8924" t="s">
        <v>16691</v>
      </c>
      <c r="C8924" s="1">
        <v>44083</v>
      </c>
      <c r="D8924" t="b">
        <v>1</v>
      </c>
      <c r="E8924" t="s">
        <v>10</v>
      </c>
      <c r="F8924">
        <v>7645</v>
      </c>
    </row>
    <row r="8925" spans="1:6" x14ac:dyDescent="0.25">
      <c r="A8925" t="s">
        <v>16692</v>
      </c>
      <c r="B8925" t="s">
        <v>16693</v>
      </c>
      <c r="C8925" s="1">
        <v>44083</v>
      </c>
      <c r="D8925" t="b">
        <v>1</v>
      </c>
      <c r="E8925" t="s">
        <v>10</v>
      </c>
      <c r="F8925">
        <v>17045</v>
      </c>
    </row>
    <row r="8926" spans="1:6" x14ac:dyDescent="0.25">
      <c r="A8926" t="s">
        <v>16694</v>
      </c>
      <c r="B8926" t="s">
        <v>16695</v>
      </c>
      <c r="C8926" s="1">
        <v>44083</v>
      </c>
      <c r="D8926" t="b">
        <v>1</v>
      </c>
      <c r="E8926" t="s">
        <v>10</v>
      </c>
      <c r="F8926">
        <v>7646</v>
      </c>
    </row>
    <row r="8927" spans="1:6" x14ac:dyDescent="0.25">
      <c r="A8927" t="s">
        <v>16696</v>
      </c>
      <c r="B8927" t="s">
        <v>16697</v>
      </c>
      <c r="C8927" s="1">
        <v>44083</v>
      </c>
      <c r="D8927" t="b">
        <v>1</v>
      </c>
      <c r="E8927" t="s">
        <v>10</v>
      </c>
      <c r="F8927">
        <v>13670</v>
      </c>
    </row>
    <row r="8928" spans="1:6" x14ac:dyDescent="0.25">
      <c r="A8928" t="s">
        <v>16698</v>
      </c>
      <c r="C8928" s="1">
        <v>44083</v>
      </c>
      <c r="D8928" t="b">
        <v>1</v>
      </c>
      <c r="E8928" t="s">
        <v>10</v>
      </c>
      <c r="F8928">
        <v>16214</v>
      </c>
    </row>
    <row r="8929" spans="1:6" x14ac:dyDescent="0.25">
      <c r="A8929" t="s">
        <v>16699</v>
      </c>
      <c r="B8929" t="s">
        <v>16700</v>
      </c>
      <c r="C8929" s="1">
        <v>44083</v>
      </c>
      <c r="D8929" t="b">
        <v>1</v>
      </c>
      <c r="E8929" t="s">
        <v>10</v>
      </c>
      <c r="F8929">
        <v>7648</v>
      </c>
    </row>
    <row r="8930" spans="1:6" x14ac:dyDescent="0.25">
      <c r="A8930" t="s">
        <v>16701</v>
      </c>
      <c r="B8930" t="s">
        <v>16702</v>
      </c>
      <c r="C8930" s="1">
        <v>44083</v>
      </c>
      <c r="D8930" t="b">
        <v>1</v>
      </c>
      <c r="E8930" t="s">
        <v>10</v>
      </c>
      <c r="F8930">
        <v>15396</v>
      </c>
    </row>
    <row r="8931" spans="1:6" x14ac:dyDescent="0.25">
      <c r="A8931" t="s">
        <v>16703</v>
      </c>
      <c r="B8931" t="s">
        <v>16704</v>
      </c>
      <c r="C8931" s="1">
        <v>44083</v>
      </c>
      <c r="D8931" t="b">
        <v>1</v>
      </c>
      <c r="E8931" t="s">
        <v>10</v>
      </c>
      <c r="F8931">
        <v>7649</v>
      </c>
    </row>
    <row r="8932" spans="1:6" x14ac:dyDescent="0.25">
      <c r="A8932" t="s">
        <v>16705</v>
      </c>
      <c r="B8932" t="s">
        <v>16706</v>
      </c>
      <c r="C8932" s="1">
        <v>44083</v>
      </c>
      <c r="D8932" t="b">
        <v>1</v>
      </c>
      <c r="E8932" t="s">
        <v>10</v>
      </c>
      <c r="F8932">
        <v>7651</v>
      </c>
    </row>
    <row r="8933" spans="1:6" x14ac:dyDescent="0.25">
      <c r="A8933" t="s">
        <v>16707</v>
      </c>
      <c r="B8933" t="s">
        <v>16708</v>
      </c>
      <c r="C8933" s="1">
        <v>44083</v>
      </c>
      <c r="D8933" t="b">
        <v>1</v>
      </c>
      <c r="E8933" t="s">
        <v>10</v>
      </c>
      <c r="F8933">
        <v>11574</v>
      </c>
    </row>
    <row r="8934" spans="1:6" x14ac:dyDescent="0.25">
      <c r="A8934" t="s">
        <v>16709</v>
      </c>
      <c r="B8934" t="s">
        <v>16710</v>
      </c>
      <c r="C8934" s="1">
        <v>44083</v>
      </c>
      <c r="D8934" t="b">
        <v>1</v>
      </c>
      <c r="E8934" t="s">
        <v>10</v>
      </c>
      <c r="F8934">
        <v>12781</v>
      </c>
    </row>
    <row r="8935" spans="1:6" x14ac:dyDescent="0.25">
      <c r="A8935" t="s">
        <v>16711</v>
      </c>
      <c r="B8935" t="s">
        <v>16712</v>
      </c>
      <c r="C8935" s="1">
        <v>44083</v>
      </c>
      <c r="D8935" t="b">
        <v>1</v>
      </c>
      <c r="E8935" t="s">
        <v>10</v>
      </c>
      <c r="F8935">
        <v>15610</v>
      </c>
    </row>
    <row r="8936" spans="1:6" x14ac:dyDescent="0.25">
      <c r="A8936" t="s">
        <v>16713</v>
      </c>
      <c r="B8936" t="s">
        <v>16714</v>
      </c>
      <c r="C8936" s="1">
        <v>44083</v>
      </c>
      <c r="D8936" t="b">
        <v>1</v>
      </c>
      <c r="E8936" t="s">
        <v>10</v>
      </c>
      <c r="F8936">
        <v>13052</v>
      </c>
    </row>
    <row r="8937" spans="1:6" x14ac:dyDescent="0.25">
      <c r="A8937" t="s">
        <v>16715</v>
      </c>
      <c r="C8937" s="1">
        <v>44083</v>
      </c>
      <c r="D8937" t="b">
        <v>1</v>
      </c>
      <c r="E8937" t="s">
        <v>10</v>
      </c>
      <c r="F8937">
        <v>16094</v>
      </c>
    </row>
    <row r="8938" spans="1:6" x14ac:dyDescent="0.25">
      <c r="A8938" t="s">
        <v>16716</v>
      </c>
      <c r="B8938" t="s">
        <v>16717</v>
      </c>
      <c r="C8938" s="1">
        <v>44083</v>
      </c>
      <c r="D8938" t="b">
        <v>1</v>
      </c>
      <c r="E8938" t="s">
        <v>10</v>
      </c>
      <c r="F8938">
        <v>14976</v>
      </c>
    </row>
    <row r="8939" spans="1:6" x14ac:dyDescent="0.25">
      <c r="A8939" t="s">
        <v>16718</v>
      </c>
      <c r="B8939" t="s">
        <v>16719</v>
      </c>
      <c r="C8939" s="1">
        <v>44083</v>
      </c>
      <c r="D8939" t="b">
        <v>1</v>
      </c>
      <c r="E8939" t="s">
        <v>10</v>
      </c>
      <c r="F8939">
        <v>11219</v>
      </c>
    </row>
    <row r="8940" spans="1:6" x14ac:dyDescent="0.25">
      <c r="A8940" t="s">
        <v>16720</v>
      </c>
      <c r="B8940" t="s">
        <v>16721</v>
      </c>
      <c r="C8940" s="1">
        <v>44083</v>
      </c>
      <c r="D8940" t="b">
        <v>1</v>
      </c>
      <c r="E8940" t="s">
        <v>10</v>
      </c>
      <c r="F8940">
        <v>7654</v>
      </c>
    </row>
    <row r="8941" spans="1:6" x14ac:dyDescent="0.25">
      <c r="A8941" t="s">
        <v>16722</v>
      </c>
      <c r="B8941" t="s">
        <v>16723</v>
      </c>
      <c r="C8941" s="1">
        <v>44083</v>
      </c>
      <c r="D8941" t="b">
        <v>1</v>
      </c>
      <c r="E8941" t="s">
        <v>10</v>
      </c>
      <c r="F8941">
        <v>15548</v>
      </c>
    </row>
    <row r="8942" spans="1:6" x14ac:dyDescent="0.25">
      <c r="A8942" t="s">
        <v>16724</v>
      </c>
      <c r="B8942" t="s">
        <v>16725</v>
      </c>
      <c r="C8942" s="1">
        <v>44083</v>
      </c>
      <c r="D8942" t="b">
        <v>1</v>
      </c>
      <c r="E8942" t="s">
        <v>10</v>
      </c>
      <c r="F8942">
        <v>10034</v>
      </c>
    </row>
    <row r="8943" spans="1:6" x14ac:dyDescent="0.25">
      <c r="A8943" t="s">
        <v>16726</v>
      </c>
      <c r="B8943" t="s">
        <v>16727</v>
      </c>
      <c r="C8943" s="1">
        <v>44083</v>
      </c>
      <c r="D8943" t="b">
        <v>1</v>
      </c>
      <c r="E8943" t="s">
        <v>10</v>
      </c>
      <c r="F8943">
        <v>10289</v>
      </c>
    </row>
    <row r="8944" spans="1:6" x14ac:dyDescent="0.25">
      <c r="A8944" t="s">
        <v>16728</v>
      </c>
      <c r="B8944" t="s">
        <v>16729</v>
      </c>
      <c r="C8944" s="1">
        <v>44083</v>
      </c>
      <c r="D8944" t="b">
        <v>1</v>
      </c>
      <c r="E8944" t="s">
        <v>10</v>
      </c>
      <c r="F8944">
        <v>12946</v>
      </c>
    </row>
    <row r="8945" spans="1:6" x14ac:dyDescent="0.25">
      <c r="A8945" t="s">
        <v>16730</v>
      </c>
      <c r="B8945" t="s">
        <v>16731</v>
      </c>
      <c r="C8945" s="1">
        <v>44083</v>
      </c>
      <c r="D8945" t="b">
        <v>1</v>
      </c>
      <c r="E8945" t="s">
        <v>10</v>
      </c>
      <c r="F8945">
        <v>14957</v>
      </c>
    </row>
    <row r="8946" spans="1:6" x14ac:dyDescent="0.25">
      <c r="A8946" t="s">
        <v>16732</v>
      </c>
      <c r="B8946" t="s">
        <v>16733</v>
      </c>
      <c r="C8946" s="1">
        <v>44083</v>
      </c>
      <c r="D8946" t="b">
        <v>1</v>
      </c>
      <c r="E8946" t="s">
        <v>10</v>
      </c>
      <c r="F8946">
        <v>7657</v>
      </c>
    </row>
    <row r="8947" spans="1:6" x14ac:dyDescent="0.25">
      <c r="A8947" t="s">
        <v>16734</v>
      </c>
      <c r="B8947" t="s">
        <v>16735</v>
      </c>
      <c r="C8947" s="1">
        <v>44083</v>
      </c>
      <c r="D8947" t="b">
        <v>1</v>
      </c>
      <c r="E8947" t="s">
        <v>10</v>
      </c>
      <c r="F8947">
        <v>15645</v>
      </c>
    </row>
    <row r="8948" spans="1:6" x14ac:dyDescent="0.25">
      <c r="A8948" t="s">
        <v>16736</v>
      </c>
      <c r="B8948" t="s">
        <v>16737</v>
      </c>
      <c r="C8948" s="1">
        <v>44083</v>
      </c>
      <c r="D8948" t="b">
        <v>1</v>
      </c>
      <c r="E8948" t="s">
        <v>10</v>
      </c>
      <c r="F8948">
        <v>7661</v>
      </c>
    </row>
    <row r="8949" spans="1:6" x14ac:dyDescent="0.25">
      <c r="A8949" t="s">
        <v>16738</v>
      </c>
      <c r="B8949" t="s">
        <v>16739</v>
      </c>
      <c r="C8949" s="1">
        <v>44083</v>
      </c>
      <c r="D8949" t="b">
        <v>1</v>
      </c>
      <c r="E8949" t="s">
        <v>10</v>
      </c>
      <c r="F8949">
        <v>7662</v>
      </c>
    </row>
    <row r="8950" spans="1:6" x14ac:dyDescent="0.25">
      <c r="A8950" t="s">
        <v>16740</v>
      </c>
      <c r="B8950" t="s">
        <v>16741</v>
      </c>
      <c r="C8950" s="1">
        <v>44083</v>
      </c>
      <c r="D8950" t="b">
        <v>1</v>
      </c>
      <c r="E8950" t="s">
        <v>10</v>
      </c>
      <c r="F8950">
        <v>7663</v>
      </c>
    </row>
    <row r="8951" spans="1:6" x14ac:dyDescent="0.25">
      <c r="A8951" t="s">
        <v>16742</v>
      </c>
      <c r="B8951" t="s">
        <v>16743</v>
      </c>
      <c r="C8951" s="1">
        <v>44083</v>
      </c>
      <c r="D8951" t="b">
        <v>1</v>
      </c>
      <c r="E8951" t="s">
        <v>10</v>
      </c>
      <c r="F8951">
        <v>10860</v>
      </c>
    </row>
    <row r="8952" spans="1:6" x14ac:dyDescent="0.25">
      <c r="A8952" t="s">
        <v>16744</v>
      </c>
      <c r="B8952" t="s">
        <v>16745</v>
      </c>
      <c r="C8952" s="1">
        <v>44083</v>
      </c>
      <c r="D8952" t="b">
        <v>1</v>
      </c>
      <c r="E8952" t="s">
        <v>10</v>
      </c>
      <c r="F8952">
        <v>4251</v>
      </c>
    </row>
    <row r="8953" spans="1:6" x14ac:dyDescent="0.25">
      <c r="A8953" t="s">
        <v>16746</v>
      </c>
      <c r="B8953" t="s">
        <v>16747</v>
      </c>
      <c r="C8953" s="1">
        <v>44083</v>
      </c>
      <c r="D8953" t="b">
        <v>1</v>
      </c>
      <c r="E8953" t="s">
        <v>10</v>
      </c>
      <c r="F8953">
        <v>12203</v>
      </c>
    </row>
    <row r="8954" spans="1:6" x14ac:dyDescent="0.25">
      <c r="A8954" t="s">
        <v>16748</v>
      </c>
      <c r="B8954" t="s">
        <v>16749</v>
      </c>
      <c r="C8954" s="1">
        <v>44083</v>
      </c>
      <c r="D8954" t="b">
        <v>1</v>
      </c>
      <c r="E8954" t="s">
        <v>10</v>
      </c>
      <c r="F8954">
        <v>7664</v>
      </c>
    </row>
    <row r="8955" spans="1:6" x14ac:dyDescent="0.25">
      <c r="A8955" t="s">
        <v>16750</v>
      </c>
      <c r="B8955" t="s">
        <v>16751</v>
      </c>
      <c r="C8955" s="1">
        <v>44083</v>
      </c>
      <c r="D8955" t="b">
        <v>1</v>
      </c>
      <c r="E8955" t="s">
        <v>10</v>
      </c>
      <c r="F8955">
        <v>11882</v>
      </c>
    </row>
    <row r="8956" spans="1:6" x14ac:dyDescent="0.25">
      <c r="A8956" t="s">
        <v>16752</v>
      </c>
      <c r="B8956" t="s">
        <v>16753</v>
      </c>
      <c r="C8956" s="1">
        <v>44083</v>
      </c>
      <c r="D8956" t="b">
        <v>1</v>
      </c>
      <c r="E8956" t="s">
        <v>10</v>
      </c>
      <c r="F8956">
        <v>4031</v>
      </c>
    </row>
    <row r="8957" spans="1:6" x14ac:dyDescent="0.25">
      <c r="A8957" t="s">
        <v>16754</v>
      </c>
      <c r="B8957" t="s">
        <v>16755</v>
      </c>
      <c r="C8957" s="1">
        <v>44083</v>
      </c>
      <c r="D8957" t="b">
        <v>1</v>
      </c>
      <c r="E8957" t="s">
        <v>10</v>
      </c>
      <c r="F8957">
        <v>7666</v>
      </c>
    </row>
    <row r="8958" spans="1:6" x14ac:dyDescent="0.25">
      <c r="A8958" t="s">
        <v>16756</v>
      </c>
      <c r="B8958" t="s">
        <v>16757</v>
      </c>
      <c r="C8958" s="1">
        <v>44083</v>
      </c>
      <c r="D8958" t="b">
        <v>1</v>
      </c>
      <c r="E8958" t="s">
        <v>10</v>
      </c>
      <c r="F8958">
        <v>7667</v>
      </c>
    </row>
    <row r="8959" spans="1:6" x14ac:dyDescent="0.25">
      <c r="A8959" t="s">
        <v>16758</v>
      </c>
      <c r="B8959" t="s">
        <v>16759</v>
      </c>
      <c r="C8959" s="1">
        <v>44083</v>
      </c>
      <c r="D8959" t="b">
        <v>1</v>
      </c>
      <c r="E8959" t="s">
        <v>10</v>
      </c>
      <c r="F8959">
        <v>7668</v>
      </c>
    </row>
    <row r="8960" spans="1:6" x14ac:dyDescent="0.25">
      <c r="A8960" t="s">
        <v>16760</v>
      </c>
      <c r="B8960" t="s">
        <v>16761</v>
      </c>
      <c r="C8960" s="1">
        <v>44083</v>
      </c>
      <c r="D8960" t="b">
        <v>1</v>
      </c>
      <c r="E8960" t="s">
        <v>10</v>
      </c>
      <c r="F8960">
        <v>10337</v>
      </c>
    </row>
    <row r="8961" spans="1:6" x14ac:dyDescent="0.25">
      <c r="A8961" t="s">
        <v>16762</v>
      </c>
      <c r="B8961" t="s">
        <v>16763</v>
      </c>
      <c r="C8961" s="1">
        <v>44083</v>
      </c>
      <c r="D8961" t="b">
        <v>1</v>
      </c>
      <c r="E8961" t="s">
        <v>10</v>
      </c>
      <c r="F8961">
        <v>7672</v>
      </c>
    </row>
    <row r="8962" spans="1:6" x14ac:dyDescent="0.25">
      <c r="A8962" t="s">
        <v>16764</v>
      </c>
      <c r="C8962" s="1">
        <v>44083</v>
      </c>
      <c r="D8962" t="b">
        <v>1</v>
      </c>
      <c r="E8962" t="s">
        <v>10</v>
      </c>
      <c r="F8962">
        <v>11842</v>
      </c>
    </row>
    <row r="8963" spans="1:6" x14ac:dyDescent="0.25">
      <c r="A8963" t="s">
        <v>16765</v>
      </c>
      <c r="B8963" t="s">
        <v>16766</v>
      </c>
      <c r="C8963" s="1">
        <v>44083</v>
      </c>
      <c r="D8963" t="b">
        <v>1</v>
      </c>
      <c r="E8963" t="s">
        <v>10</v>
      </c>
      <c r="F8963">
        <v>7698</v>
      </c>
    </row>
    <row r="8964" spans="1:6" x14ac:dyDescent="0.25">
      <c r="A8964" t="s">
        <v>16767</v>
      </c>
      <c r="B8964" t="s">
        <v>16768</v>
      </c>
      <c r="C8964" s="1">
        <v>44083</v>
      </c>
      <c r="D8964" t="b">
        <v>1</v>
      </c>
      <c r="E8964" t="s">
        <v>10</v>
      </c>
      <c r="F8964">
        <v>7680</v>
      </c>
    </row>
    <row r="8965" spans="1:6" x14ac:dyDescent="0.25">
      <c r="A8965" t="s">
        <v>16769</v>
      </c>
      <c r="C8965" s="1">
        <v>44083</v>
      </c>
      <c r="D8965" t="b">
        <v>1</v>
      </c>
      <c r="E8965" t="s">
        <v>10</v>
      </c>
      <c r="F8965">
        <v>7904</v>
      </c>
    </row>
    <row r="8966" spans="1:6" x14ac:dyDescent="0.25">
      <c r="A8966" t="s">
        <v>16770</v>
      </c>
      <c r="C8966" s="1">
        <v>44083</v>
      </c>
      <c r="D8966" t="b">
        <v>1</v>
      </c>
      <c r="E8966" t="s">
        <v>10</v>
      </c>
      <c r="F8966">
        <v>11843</v>
      </c>
    </row>
    <row r="8967" spans="1:6" x14ac:dyDescent="0.25">
      <c r="A8967" t="s">
        <v>16771</v>
      </c>
      <c r="B8967" t="s">
        <v>16772</v>
      </c>
      <c r="C8967" s="1">
        <v>44083</v>
      </c>
      <c r="D8967" t="b">
        <v>1</v>
      </c>
      <c r="E8967" t="s">
        <v>10</v>
      </c>
      <c r="F8967">
        <v>8717</v>
      </c>
    </row>
    <row r="8968" spans="1:6" x14ac:dyDescent="0.25">
      <c r="A8968" t="s">
        <v>16773</v>
      </c>
      <c r="B8968" t="s">
        <v>16774</v>
      </c>
      <c r="C8968" s="1">
        <v>44083</v>
      </c>
      <c r="D8968" t="b">
        <v>1</v>
      </c>
      <c r="E8968" t="s">
        <v>10</v>
      </c>
      <c r="F8968">
        <v>16323</v>
      </c>
    </row>
    <row r="8969" spans="1:6" x14ac:dyDescent="0.25">
      <c r="A8969" t="s">
        <v>16775</v>
      </c>
      <c r="C8969" s="1">
        <v>44083</v>
      </c>
      <c r="D8969" t="b">
        <v>1</v>
      </c>
      <c r="E8969" t="s">
        <v>10</v>
      </c>
      <c r="F8969">
        <v>11844</v>
      </c>
    </row>
    <row r="8970" spans="1:6" x14ac:dyDescent="0.25">
      <c r="A8970" t="s">
        <v>16776</v>
      </c>
      <c r="B8970" t="s">
        <v>16777</v>
      </c>
      <c r="C8970" s="1">
        <v>44083</v>
      </c>
      <c r="D8970" t="b">
        <v>1</v>
      </c>
      <c r="E8970" t="s">
        <v>10</v>
      </c>
      <c r="F8970">
        <v>8718</v>
      </c>
    </row>
    <row r="8971" spans="1:6" x14ac:dyDescent="0.25">
      <c r="A8971" t="s">
        <v>16778</v>
      </c>
      <c r="B8971" t="s">
        <v>16779</v>
      </c>
      <c r="C8971" s="1">
        <v>44083</v>
      </c>
      <c r="D8971" t="b">
        <v>1</v>
      </c>
      <c r="E8971" t="s">
        <v>10</v>
      </c>
      <c r="F8971">
        <v>11417</v>
      </c>
    </row>
    <row r="8972" spans="1:6" x14ac:dyDescent="0.25">
      <c r="A8972" t="s">
        <v>16780</v>
      </c>
      <c r="B8972" t="s">
        <v>16781</v>
      </c>
      <c r="C8972" s="1">
        <v>44083</v>
      </c>
      <c r="D8972" t="b">
        <v>1</v>
      </c>
      <c r="E8972" t="s">
        <v>10</v>
      </c>
      <c r="F8972">
        <v>13222</v>
      </c>
    </row>
    <row r="8973" spans="1:6" x14ac:dyDescent="0.25">
      <c r="A8973" t="s">
        <v>16782</v>
      </c>
      <c r="B8973" t="s">
        <v>16783</v>
      </c>
      <c r="C8973" s="1">
        <v>44083</v>
      </c>
      <c r="D8973" t="b">
        <v>1</v>
      </c>
      <c r="E8973" t="s">
        <v>10</v>
      </c>
      <c r="F8973">
        <v>8550</v>
      </c>
    </row>
    <row r="8974" spans="1:6" x14ac:dyDescent="0.25">
      <c r="A8974" t="s">
        <v>16784</v>
      </c>
      <c r="B8974" t="s">
        <v>16785</v>
      </c>
      <c r="C8974" s="1">
        <v>44083</v>
      </c>
      <c r="D8974" t="b">
        <v>1</v>
      </c>
      <c r="E8974" t="s">
        <v>10</v>
      </c>
      <c r="F8974">
        <v>7682</v>
      </c>
    </row>
    <row r="8975" spans="1:6" x14ac:dyDescent="0.25">
      <c r="A8975" t="s">
        <v>16786</v>
      </c>
      <c r="C8975" s="1">
        <v>44083</v>
      </c>
      <c r="D8975" t="b">
        <v>1</v>
      </c>
      <c r="E8975" t="s">
        <v>10</v>
      </c>
      <c r="F8975">
        <v>15033</v>
      </c>
    </row>
    <row r="8976" spans="1:6" x14ac:dyDescent="0.25">
      <c r="A8976" t="s">
        <v>16787</v>
      </c>
      <c r="B8976" t="s">
        <v>16788</v>
      </c>
      <c r="C8976" s="1">
        <v>44083</v>
      </c>
      <c r="D8976" t="b">
        <v>1</v>
      </c>
      <c r="E8976" t="s">
        <v>10</v>
      </c>
      <c r="F8976">
        <v>7670</v>
      </c>
    </row>
    <row r="8977" spans="1:6" x14ac:dyDescent="0.25">
      <c r="A8977" t="s">
        <v>16789</v>
      </c>
      <c r="B8977" t="s">
        <v>16790</v>
      </c>
      <c r="C8977" s="1">
        <v>44083</v>
      </c>
      <c r="D8977" t="b">
        <v>1</v>
      </c>
      <c r="E8977" t="s">
        <v>10</v>
      </c>
      <c r="F8977">
        <v>8720</v>
      </c>
    </row>
    <row r="8978" spans="1:6" x14ac:dyDescent="0.25">
      <c r="A8978" t="s">
        <v>16791</v>
      </c>
      <c r="B8978" t="s">
        <v>16792</v>
      </c>
      <c r="C8978" s="1">
        <v>44083</v>
      </c>
      <c r="D8978" t="b">
        <v>1</v>
      </c>
      <c r="E8978" t="s">
        <v>10</v>
      </c>
      <c r="F8978">
        <v>7685</v>
      </c>
    </row>
    <row r="8979" spans="1:6" x14ac:dyDescent="0.25">
      <c r="A8979" t="s">
        <v>16793</v>
      </c>
      <c r="B8979" t="s">
        <v>16794</v>
      </c>
      <c r="C8979" s="1">
        <v>44083</v>
      </c>
      <c r="D8979" t="b">
        <v>1</v>
      </c>
      <c r="E8979" t="s">
        <v>10</v>
      </c>
      <c r="F8979">
        <v>15940</v>
      </c>
    </row>
    <row r="8980" spans="1:6" x14ac:dyDescent="0.25">
      <c r="A8980" t="s">
        <v>16795</v>
      </c>
      <c r="B8980" t="s">
        <v>16796</v>
      </c>
      <c r="C8980" s="1">
        <v>44083</v>
      </c>
      <c r="D8980" t="b">
        <v>1</v>
      </c>
      <c r="E8980" t="s">
        <v>10</v>
      </c>
      <c r="F8980">
        <v>16654</v>
      </c>
    </row>
    <row r="8981" spans="1:6" x14ac:dyDescent="0.25">
      <c r="A8981" t="s">
        <v>16797</v>
      </c>
      <c r="B8981" t="s">
        <v>16798</v>
      </c>
      <c r="C8981" s="1">
        <v>44083</v>
      </c>
      <c r="D8981" t="b">
        <v>1</v>
      </c>
      <c r="E8981" t="s">
        <v>10</v>
      </c>
      <c r="F8981">
        <v>15894</v>
      </c>
    </row>
    <row r="8982" spans="1:6" x14ac:dyDescent="0.25">
      <c r="A8982" t="s">
        <v>16799</v>
      </c>
      <c r="C8982" s="1">
        <v>44083</v>
      </c>
      <c r="D8982" t="b">
        <v>1</v>
      </c>
      <c r="E8982" t="s">
        <v>10</v>
      </c>
      <c r="F8982">
        <v>16666</v>
      </c>
    </row>
    <row r="8983" spans="1:6" x14ac:dyDescent="0.25">
      <c r="A8983" t="s">
        <v>16800</v>
      </c>
      <c r="B8983" t="s">
        <v>16801</v>
      </c>
      <c r="C8983" s="1">
        <v>44083</v>
      </c>
      <c r="D8983" t="b">
        <v>1</v>
      </c>
      <c r="E8983" t="s">
        <v>10</v>
      </c>
      <c r="F8983">
        <v>15032</v>
      </c>
    </row>
    <row r="8984" spans="1:6" x14ac:dyDescent="0.25">
      <c r="A8984" t="s">
        <v>16802</v>
      </c>
      <c r="B8984" t="s">
        <v>16803</v>
      </c>
      <c r="C8984" s="1">
        <v>44083</v>
      </c>
      <c r="D8984" t="b">
        <v>1</v>
      </c>
      <c r="E8984" t="s">
        <v>10</v>
      </c>
      <c r="F8984">
        <v>16572</v>
      </c>
    </row>
    <row r="8985" spans="1:6" x14ac:dyDescent="0.25">
      <c r="A8985" t="s">
        <v>16804</v>
      </c>
      <c r="C8985" s="1">
        <v>44083</v>
      </c>
      <c r="D8985" t="b">
        <v>1</v>
      </c>
      <c r="E8985" t="s">
        <v>10</v>
      </c>
      <c r="F8985">
        <v>13389</v>
      </c>
    </row>
    <row r="8986" spans="1:6" x14ac:dyDescent="0.25">
      <c r="A8986" t="s">
        <v>16805</v>
      </c>
      <c r="B8986" t="s">
        <v>16806</v>
      </c>
      <c r="C8986" s="1">
        <v>44083</v>
      </c>
      <c r="D8986" t="b">
        <v>1</v>
      </c>
      <c r="E8986" t="s">
        <v>10</v>
      </c>
      <c r="F8986">
        <v>15732</v>
      </c>
    </row>
    <row r="8987" spans="1:6" x14ac:dyDescent="0.25">
      <c r="A8987" t="s">
        <v>16807</v>
      </c>
      <c r="B8987" t="s">
        <v>16808</v>
      </c>
      <c r="C8987" s="1">
        <v>44083</v>
      </c>
      <c r="D8987" t="b">
        <v>1</v>
      </c>
      <c r="E8987" t="s">
        <v>10</v>
      </c>
      <c r="F8987">
        <v>7690</v>
      </c>
    </row>
    <row r="8988" spans="1:6" x14ac:dyDescent="0.25">
      <c r="A8988" t="s">
        <v>16809</v>
      </c>
      <c r="C8988" s="1">
        <v>44083</v>
      </c>
      <c r="D8988" t="b">
        <v>1</v>
      </c>
      <c r="E8988" t="s">
        <v>10</v>
      </c>
      <c r="F8988">
        <v>7782</v>
      </c>
    </row>
    <row r="8989" spans="1:6" x14ac:dyDescent="0.25">
      <c r="A8989" t="s">
        <v>16810</v>
      </c>
      <c r="C8989" s="1">
        <v>44083</v>
      </c>
      <c r="D8989" t="b">
        <v>1</v>
      </c>
      <c r="E8989" t="s">
        <v>10</v>
      </c>
      <c r="F8989">
        <v>7678</v>
      </c>
    </row>
    <row r="8990" spans="1:6" x14ac:dyDescent="0.25">
      <c r="A8990" t="s">
        <v>16811</v>
      </c>
      <c r="C8990" s="1">
        <v>44083</v>
      </c>
      <c r="D8990" t="b">
        <v>1</v>
      </c>
      <c r="E8990" t="s">
        <v>10</v>
      </c>
      <c r="F8990">
        <v>7677</v>
      </c>
    </row>
    <row r="8991" spans="1:6" x14ac:dyDescent="0.25">
      <c r="A8991" t="s">
        <v>16812</v>
      </c>
      <c r="C8991" s="1">
        <v>44083</v>
      </c>
      <c r="D8991" t="b">
        <v>1</v>
      </c>
      <c r="E8991" t="s">
        <v>10</v>
      </c>
      <c r="F8991">
        <v>7674</v>
      </c>
    </row>
    <row r="8992" spans="1:6" x14ac:dyDescent="0.25">
      <c r="A8992" t="s">
        <v>16813</v>
      </c>
      <c r="B8992" t="s">
        <v>16814</v>
      </c>
      <c r="C8992" s="1">
        <v>44083</v>
      </c>
      <c r="D8992" t="b">
        <v>1</v>
      </c>
      <c r="E8992" t="s">
        <v>10</v>
      </c>
      <c r="F8992">
        <v>7691</v>
      </c>
    </row>
    <row r="8993" spans="1:6" x14ac:dyDescent="0.25">
      <c r="A8993" t="s">
        <v>16815</v>
      </c>
      <c r="B8993" t="s">
        <v>16816</v>
      </c>
      <c r="C8993" s="1">
        <v>44083</v>
      </c>
      <c r="D8993" t="b">
        <v>1</v>
      </c>
      <c r="E8993" t="s">
        <v>10</v>
      </c>
      <c r="F8993">
        <v>7694</v>
      </c>
    </row>
    <row r="8994" spans="1:6" x14ac:dyDescent="0.25">
      <c r="A8994" t="s">
        <v>16817</v>
      </c>
      <c r="B8994" t="s">
        <v>16818</v>
      </c>
      <c r="C8994" s="1">
        <v>44083</v>
      </c>
      <c r="D8994" t="b">
        <v>1</v>
      </c>
      <c r="E8994" t="s">
        <v>10</v>
      </c>
      <c r="F8994">
        <v>8721</v>
      </c>
    </row>
    <row r="8995" spans="1:6" x14ac:dyDescent="0.25">
      <c r="A8995" t="s">
        <v>16819</v>
      </c>
      <c r="C8995" s="1">
        <v>44083</v>
      </c>
      <c r="D8995" t="b">
        <v>1</v>
      </c>
      <c r="E8995" t="s">
        <v>10</v>
      </c>
      <c r="F8995">
        <v>7905</v>
      </c>
    </row>
    <row r="8996" spans="1:6" x14ac:dyDescent="0.25">
      <c r="A8996" t="s">
        <v>16820</v>
      </c>
      <c r="B8996" t="s">
        <v>16821</v>
      </c>
      <c r="C8996" s="1">
        <v>44083</v>
      </c>
      <c r="D8996" t="b">
        <v>1</v>
      </c>
      <c r="E8996" t="s">
        <v>10</v>
      </c>
      <c r="F8996">
        <v>13335</v>
      </c>
    </row>
    <row r="8997" spans="1:6" x14ac:dyDescent="0.25">
      <c r="A8997" t="s">
        <v>16822</v>
      </c>
      <c r="B8997" t="s">
        <v>16823</v>
      </c>
      <c r="C8997" s="1">
        <v>44083</v>
      </c>
      <c r="D8997" t="b">
        <v>1</v>
      </c>
      <c r="E8997" t="s">
        <v>10</v>
      </c>
      <c r="F8997">
        <v>13269</v>
      </c>
    </row>
    <row r="8998" spans="1:6" x14ac:dyDescent="0.25">
      <c r="A8998" t="s">
        <v>16824</v>
      </c>
      <c r="B8998" t="s">
        <v>16825</v>
      </c>
      <c r="C8998" s="1">
        <v>44083</v>
      </c>
      <c r="D8998" t="b">
        <v>1</v>
      </c>
      <c r="E8998" t="s">
        <v>10</v>
      </c>
      <c r="F8998">
        <v>15611</v>
      </c>
    </row>
    <row r="8999" spans="1:6" x14ac:dyDescent="0.25">
      <c r="A8999" t="s">
        <v>16826</v>
      </c>
      <c r="B8999" t="s">
        <v>16827</v>
      </c>
      <c r="C8999" s="1">
        <v>44083</v>
      </c>
      <c r="D8999" t="b">
        <v>1</v>
      </c>
      <c r="E8999" t="s">
        <v>10</v>
      </c>
      <c r="F8999">
        <v>8220</v>
      </c>
    </row>
    <row r="9000" spans="1:6" x14ac:dyDescent="0.25">
      <c r="A9000" t="s">
        <v>16828</v>
      </c>
      <c r="B9000" t="s">
        <v>16829</v>
      </c>
      <c r="C9000" s="1">
        <v>44083</v>
      </c>
      <c r="D9000" t="b">
        <v>1</v>
      </c>
      <c r="E9000" t="s">
        <v>10</v>
      </c>
      <c r="F9000">
        <v>7700</v>
      </c>
    </row>
    <row r="9001" spans="1:6" x14ac:dyDescent="0.25">
      <c r="A9001" t="s">
        <v>16830</v>
      </c>
      <c r="B9001" t="s">
        <v>16831</v>
      </c>
      <c r="C9001" s="1">
        <v>44083</v>
      </c>
      <c r="D9001" t="b">
        <v>1</v>
      </c>
      <c r="E9001" t="s">
        <v>10</v>
      </c>
      <c r="F9001">
        <v>7701</v>
      </c>
    </row>
    <row r="9002" spans="1:6" x14ac:dyDescent="0.25">
      <c r="A9002" t="s">
        <v>16832</v>
      </c>
      <c r="B9002" t="s">
        <v>16833</v>
      </c>
      <c r="C9002" s="1">
        <v>44083</v>
      </c>
      <c r="D9002" t="b">
        <v>1</v>
      </c>
      <c r="E9002" t="s">
        <v>10</v>
      </c>
      <c r="F9002">
        <v>16612</v>
      </c>
    </row>
    <row r="9003" spans="1:6" x14ac:dyDescent="0.25">
      <c r="A9003" t="s">
        <v>16834</v>
      </c>
      <c r="B9003" t="s">
        <v>16835</v>
      </c>
      <c r="C9003" s="1">
        <v>44083</v>
      </c>
      <c r="D9003" t="b">
        <v>1</v>
      </c>
      <c r="E9003" t="s">
        <v>10</v>
      </c>
      <c r="F9003">
        <v>13820</v>
      </c>
    </row>
    <row r="9004" spans="1:6" x14ac:dyDescent="0.25">
      <c r="A9004" t="s">
        <v>16836</v>
      </c>
      <c r="B9004" t="s">
        <v>16837</v>
      </c>
      <c r="C9004" s="1">
        <v>44083</v>
      </c>
      <c r="D9004" t="b">
        <v>1</v>
      </c>
      <c r="E9004" t="s">
        <v>10</v>
      </c>
      <c r="F9004">
        <v>7705</v>
      </c>
    </row>
    <row r="9005" spans="1:6" x14ac:dyDescent="0.25">
      <c r="A9005" t="s">
        <v>16838</v>
      </c>
      <c r="B9005" t="s">
        <v>16839</v>
      </c>
      <c r="C9005" s="1">
        <v>44083</v>
      </c>
      <c r="D9005" t="b">
        <v>1</v>
      </c>
      <c r="E9005" t="s">
        <v>10</v>
      </c>
      <c r="F9005">
        <v>14171</v>
      </c>
    </row>
    <row r="9006" spans="1:6" x14ac:dyDescent="0.25">
      <c r="A9006" t="s">
        <v>16840</v>
      </c>
      <c r="B9006" t="s">
        <v>16841</v>
      </c>
      <c r="C9006" s="1">
        <v>44083</v>
      </c>
      <c r="D9006" t="b">
        <v>1</v>
      </c>
      <c r="E9006" t="s">
        <v>10</v>
      </c>
      <c r="F9006">
        <v>9109</v>
      </c>
    </row>
    <row r="9007" spans="1:6" x14ac:dyDescent="0.25">
      <c r="A9007" t="s">
        <v>16842</v>
      </c>
      <c r="B9007" t="s">
        <v>16843</v>
      </c>
      <c r="C9007" s="1">
        <v>44083</v>
      </c>
      <c r="D9007" t="b">
        <v>1</v>
      </c>
      <c r="E9007" t="s">
        <v>10</v>
      </c>
      <c r="F9007">
        <v>7706</v>
      </c>
    </row>
    <row r="9008" spans="1:6" x14ac:dyDescent="0.25">
      <c r="A9008" t="s">
        <v>16844</v>
      </c>
      <c r="C9008" s="1">
        <v>44083</v>
      </c>
      <c r="D9008" t="b">
        <v>1</v>
      </c>
      <c r="E9008" t="s">
        <v>10</v>
      </c>
      <c r="F9008">
        <v>7906</v>
      </c>
    </row>
    <row r="9009" spans="1:6" x14ac:dyDescent="0.25">
      <c r="A9009" t="s">
        <v>16845</v>
      </c>
      <c r="B9009" t="s">
        <v>16846</v>
      </c>
      <c r="C9009" s="1">
        <v>44083</v>
      </c>
      <c r="D9009" t="b">
        <v>1</v>
      </c>
      <c r="E9009" t="s">
        <v>10</v>
      </c>
      <c r="F9009">
        <v>12013</v>
      </c>
    </row>
    <row r="9010" spans="1:6" x14ac:dyDescent="0.25">
      <c r="A9010" t="s">
        <v>16847</v>
      </c>
      <c r="B9010" t="s">
        <v>16848</v>
      </c>
      <c r="C9010" s="1">
        <v>44083</v>
      </c>
      <c r="D9010" t="b">
        <v>1</v>
      </c>
      <c r="E9010" t="s">
        <v>10</v>
      </c>
      <c r="F9010">
        <v>7707</v>
      </c>
    </row>
    <row r="9011" spans="1:6" x14ac:dyDescent="0.25">
      <c r="A9011" t="s">
        <v>16849</v>
      </c>
      <c r="B9011" t="s">
        <v>16850</v>
      </c>
      <c r="C9011" s="1">
        <v>44083</v>
      </c>
      <c r="D9011" t="b">
        <v>1</v>
      </c>
      <c r="E9011" t="s">
        <v>10</v>
      </c>
      <c r="F9011">
        <v>7708</v>
      </c>
    </row>
    <row r="9012" spans="1:6" x14ac:dyDescent="0.25">
      <c r="A9012" t="s">
        <v>16851</v>
      </c>
      <c r="B9012" t="s">
        <v>16852</v>
      </c>
      <c r="C9012" s="1">
        <v>44083</v>
      </c>
      <c r="D9012" t="b">
        <v>1</v>
      </c>
      <c r="E9012" t="s">
        <v>10</v>
      </c>
      <c r="F9012">
        <v>7709</v>
      </c>
    </row>
    <row r="9013" spans="1:6" x14ac:dyDescent="0.25">
      <c r="A9013" t="s">
        <v>16853</v>
      </c>
      <c r="B9013" t="s">
        <v>16854</v>
      </c>
      <c r="C9013" s="1">
        <v>44083</v>
      </c>
      <c r="D9013" t="b">
        <v>1</v>
      </c>
      <c r="E9013" t="s">
        <v>10</v>
      </c>
      <c r="F9013">
        <v>14265</v>
      </c>
    </row>
    <row r="9014" spans="1:6" x14ac:dyDescent="0.25">
      <c r="A9014" t="s">
        <v>16855</v>
      </c>
      <c r="B9014" t="s">
        <v>16856</v>
      </c>
      <c r="C9014" s="1">
        <v>44083</v>
      </c>
      <c r="D9014" t="b">
        <v>1</v>
      </c>
      <c r="E9014" t="s">
        <v>10</v>
      </c>
      <c r="F9014">
        <v>865</v>
      </c>
    </row>
    <row r="9015" spans="1:6" x14ac:dyDescent="0.25">
      <c r="A9015" t="s">
        <v>16857</v>
      </c>
      <c r="C9015" s="1">
        <v>44083</v>
      </c>
      <c r="D9015" t="b">
        <v>1</v>
      </c>
      <c r="E9015" t="s">
        <v>10</v>
      </c>
      <c r="F9015">
        <v>7907</v>
      </c>
    </row>
    <row r="9016" spans="1:6" x14ac:dyDescent="0.25">
      <c r="A9016" t="s">
        <v>16858</v>
      </c>
      <c r="C9016" s="1">
        <v>44083</v>
      </c>
      <c r="D9016" t="b">
        <v>1</v>
      </c>
      <c r="E9016" t="s">
        <v>10</v>
      </c>
      <c r="F9016">
        <v>7908</v>
      </c>
    </row>
    <row r="9017" spans="1:6" x14ac:dyDescent="0.25">
      <c r="A9017" t="s">
        <v>16859</v>
      </c>
      <c r="C9017" s="1">
        <v>44083</v>
      </c>
      <c r="D9017" t="b">
        <v>1</v>
      </c>
      <c r="E9017" t="s">
        <v>10</v>
      </c>
      <c r="F9017">
        <v>7909</v>
      </c>
    </row>
    <row r="9018" spans="1:6" x14ac:dyDescent="0.25">
      <c r="A9018" t="s">
        <v>16860</v>
      </c>
      <c r="C9018" s="1">
        <v>44083</v>
      </c>
      <c r="D9018" t="b">
        <v>1</v>
      </c>
      <c r="E9018" t="s">
        <v>10</v>
      </c>
      <c r="F9018">
        <v>7910</v>
      </c>
    </row>
    <row r="9019" spans="1:6" x14ac:dyDescent="0.25">
      <c r="A9019" t="s">
        <v>16861</v>
      </c>
      <c r="C9019" s="1">
        <v>44083</v>
      </c>
      <c r="D9019" t="b">
        <v>1</v>
      </c>
      <c r="E9019" t="s">
        <v>10</v>
      </c>
      <c r="F9019">
        <v>13391</v>
      </c>
    </row>
    <row r="9020" spans="1:6" x14ac:dyDescent="0.25">
      <c r="A9020" t="s">
        <v>16862</v>
      </c>
      <c r="C9020" s="1">
        <v>44083</v>
      </c>
      <c r="D9020" t="b">
        <v>1</v>
      </c>
      <c r="E9020" t="s">
        <v>10</v>
      </c>
      <c r="F9020">
        <v>7911</v>
      </c>
    </row>
    <row r="9021" spans="1:6" x14ac:dyDescent="0.25">
      <c r="A9021" t="s">
        <v>16863</v>
      </c>
      <c r="B9021" t="s">
        <v>16864</v>
      </c>
      <c r="C9021" s="1">
        <v>44083</v>
      </c>
      <c r="D9021" t="b">
        <v>1</v>
      </c>
      <c r="E9021" t="s">
        <v>10</v>
      </c>
      <c r="F9021">
        <v>12759</v>
      </c>
    </row>
    <row r="9022" spans="1:6" x14ac:dyDescent="0.25">
      <c r="A9022" t="s">
        <v>16865</v>
      </c>
      <c r="B9022" t="s">
        <v>16866</v>
      </c>
      <c r="C9022" s="1">
        <v>44083</v>
      </c>
      <c r="D9022" t="b">
        <v>1</v>
      </c>
      <c r="E9022" t="s">
        <v>10</v>
      </c>
      <c r="F9022">
        <v>10257</v>
      </c>
    </row>
    <row r="9023" spans="1:6" x14ac:dyDescent="0.25">
      <c r="A9023" t="s">
        <v>16867</v>
      </c>
      <c r="B9023" t="s">
        <v>16868</v>
      </c>
      <c r="C9023" s="1">
        <v>44083</v>
      </c>
      <c r="D9023" t="b">
        <v>1</v>
      </c>
      <c r="E9023" t="s">
        <v>10</v>
      </c>
      <c r="F9023">
        <v>15438</v>
      </c>
    </row>
    <row r="9024" spans="1:6" x14ac:dyDescent="0.25">
      <c r="A9024" t="s">
        <v>16869</v>
      </c>
      <c r="B9024" t="s">
        <v>16870</v>
      </c>
      <c r="C9024" s="1">
        <v>44083</v>
      </c>
      <c r="D9024" t="b">
        <v>1</v>
      </c>
      <c r="E9024" t="s">
        <v>16871</v>
      </c>
      <c r="F9024">
        <v>10000000</v>
      </c>
    </row>
    <row r="9025" spans="1:6" x14ac:dyDescent="0.25">
      <c r="A9025" t="s">
        <v>16872</v>
      </c>
      <c r="B9025" t="s">
        <v>16873</v>
      </c>
      <c r="C9025" s="1">
        <v>44083</v>
      </c>
      <c r="D9025" t="b">
        <v>1</v>
      </c>
      <c r="E9025" t="s">
        <v>16871</v>
      </c>
      <c r="F9025">
        <v>10000001</v>
      </c>
    </row>
    <row r="9026" spans="1:6" x14ac:dyDescent="0.25">
      <c r="A9026" t="s">
        <v>16874</v>
      </c>
      <c r="B9026" t="s">
        <v>16875</v>
      </c>
      <c r="C9026" s="1">
        <v>44083</v>
      </c>
      <c r="D9026" t="b">
        <v>1</v>
      </c>
      <c r="E9026" t="s">
        <v>16871</v>
      </c>
      <c r="F9026">
        <v>10000002</v>
      </c>
    </row>
    <row r="9027" spans="1:6" x14ac:dyDescent="0.25">
      <c r="A9027" t="s">
        <v>16876</v>
      </c>
      <c r="B9027" t="s">
        <v>16877</v>
      </c>
      <c r="C9027" s="1">
        <v>44083</v>
      </c>
      <c r="D9027" t="b">
        <v>1</v>
      </c>
      <c r="E9027" t="s">
        <v>16871</v>
      </c>
      <c r="F9027">
        <v>10000003</v>
      </c>
    </row>
    <row r="9028" spans="1:6" x14ac:dyDescent="0.25">
      <c r="A9028" t="s">
        <v>16878</v>
      </c>
      <c r="B9028" t="s">
        <v>16879</v>
      </c>
      <c r="C9028" s="1">
        <v>44083</v>
      </c>
      <c r="D9028" t="b">
        <v>1</v>
      </c>
      <c r="E9028" t="s">
        <v>16871</v>
      </c>
      <c r="F9028">
        <v>10000004</v>
      </c>
    </row>
    <row r="9029" spans="1:6" x14ac:dyDescent="0.25">
      <c r="A9029" t="s">
        <v>16880</v>
      </c>
      <c r="B9029" t="s">
        <v>16881</v>
      </c>
      <c r="C9029" s="1">
        <v>44083</v>
      </c>
      <c r="D9029" t="b">
        <v>1</v>
      </c>
      <c r="E9029" t="s">
        <v>16871</v>
      </c>
      <c r="F9029">
        <v>10000005</v>
      </c>
    </row>
    <row r="9030" spans="1:6" x14ac:dyDescent="0.25">
      <c r="A9030" t="s">
        <v>16882</v>
      </c>
      <c r="B9030" t="s">
        <v>16883</v>
      </c>
      <c r="C9030" s="1">
        <v>44083</v>
      </c>
      <c r="D9030" t="b">
        <v>1</v>
      </c>
      <c r="E9030" t="s">
        <v>16871</v>
      </c>
      <c r="F9030">
        <v>10000006</v>
      </c>
    </row>
    <row r="9031" spans="1:6" x14ac:dyDescent="0.25">
      <c r="A9031" t="s">
        <v>16884</v>
      </c>
      <c r="B9031" t="s">
        <v>16885</v>
      </c>
      <c r="C9031" s="1">
        <v>44083</v>
      </c>
      <c r="D9031" t="b">
        <v>1</v>
      </c>
      <c r="E9031" t="s">
        <v>16871</v>
      </c>
      <c r="F9031">
        <v>10000007</v>
      </c>
    </row>
    <row r="9032" spans="1:6" x14ac:dyDescent="0.25">
      <c r="A9032" t="s">
        <v>16886</v>
      </c>
      <c r="B9032" t="s">
        <v>16887</v>
      </c>
      <c r="C9032" s="1">
        <v>44083</v>
      </c>
      <c r="D9032" t="b">
        <v>1</v>
      </c>
      <c r="E9032" t="s">
        <v>16871</v>
      </c>
      <c r="F9032">
        <v>10000008</v>
      </c>
    </row>
    <row r="9033" spans="1:6" x14ac:dyDescent="0.25">
      <c r="A9033" t="s">
        <v>16888</v>
      </c>
      <c r="B9033" t="s">
        <v>16889</v>
      </c>
      <c r="C9033" s="1">
        <v>44083</v>
      </c>
      <c r="D9033" t="b">
        <v>1</v>
      </c>
      <c r="E9033" t="s">
        <v>16871</v>
      </c>
      <c r="F9033">
        <v>10000009</v>
      </c>
    </row>
    <row r="9034" spans="1:6" x14ac:dyDescent="0.25">
      <c r="A9034" t="s">
        <v>16890</v>
      </c>
      <c r="B9034" t="s">
        <v>16891</v>
      </c>
      <c r="C9034" s="1">
        <v>44083</v>
      </c>
      <c r="D9034" t="b">
        <v>1</v>
      </c>
      <c r="E9034" t="s">
        <v>16871</v>
      </c>
      <c r="F9034">
        <v>10000010</v>
      </c>
    </row>
    <row r="9035" spans="1:6" x14ac:dyDescent="0.25">
      <c r="A9035" t="s">
        <v>16892</v>
      </c>
      <c r="B9035" t="s">
        <v>16893</v>
      </c>
      <c r="C9035" s="1">
        <v>44083</v>
      </c>
      <c r="D9035" t="b">
        <v>1</v>
      </c>
      <c r="E9035" t="s">
        <v>16871</v>
      </c>
      <c r="F9035">
        <v>10000011</v>
      </c>
    </row>
    <row r="9036" spans="1:6" x14ac:dyDescent="0.25">
      <c r="A9036" t="s">
        <v>16894</v>
      </c>
      <c r="B9036" t="s">
        <v>16895</v>
      </c>
      <c r="C9036" s="1">
        <v>44083</v>
      </c>
      <c r="D9036" t="b">
        <v>1</v>
      </c>
      <c r="E9036" t="s">
        <v>16871</v>
      </c>
      <c r="F9036">
        <v>10000012</v>
      </c>
    </row>
    <row r="9037" spans="1:6" x14ac:dyDescent="0.25">
      <c r="A9037" t="s">
        <v>16896</v>
      </c>
      <c r="B9037" t="s">
        <v>16897</v>
      </c>
      <c r="C9037" s="1">
        <v>44083</v>
      </c>
      <c r="D9037" t="b">
        <v>1</v>
      </c>
      <c r="E9037" t="s">
        <v>16871</v>
      </c>
      <c r="F9037">
        <v>10000013</v>
      </c>
    </row>
    <row r="9038" spans="1:6" x14ac:dyDescent="0.25">
      <c r="A9038" t="s">
        <v>16898</v>
      </c>
      <c r="B9038" t="s">
        <v>16899</v>
      </c>
      <c r="C9038" s="1">
        <v>44083</v>
      </c>
      <c r="D9038" t="b">
        <v>1</v>
      </c>
      <c r="E9038" t="s">
        <v>16871</v>
      </c>
      <c r="F9038">
        <v>10000014</v>
      </c>
    </row>
    <row r="9039" spans="1:6" x14ac:dyDescent="0.25">
      <c r="A9039" t="s">
        <v>16900</v>
      </c>
      <c r="B9039" t="s">
        <v>16901</v>
      </c>
      <c r="C9039" s="1">
        <v>44083</v>
      </c>
      <c r="D9039" t="b">
        <v>1</v>
      </c>
      <c r="E9039" t="s">
        <v>16871</v>
      </c>
      <c r="F9039">
        <v>10000015</v>
      </c>
    </row>
    <row r="9040" spans="1:6" x14ac:dyDescent="0.25">
      <c r="A9040" t="s">
        <v>16902</v>
      </c>
      <c r="B9040" t="s">
        <v>16903</v>
      </c>
      <c r="C9040" s="1">
        <v>44083</v>
      </c>
      <c r="D9040" t="b">
        <v>1</v>
      </c>
      <c r="E9040" t="s">
        <v>16871</v>
      </c>
      <c r="F9040">
        <v>10000016</v>
      </c>
    </row>
    <row r="9041" spans="1:6" x14ac:dyDescent="0.25">
      <c r="A9041" t="s">
        <v>16904</v>
      </c>
      <c r="B9041" t="s">
        <v>16905</v>
      </c>
      <c r="C9041" s="1">
        <v>44083</v>
      </c>
      <c r="D9041" t="b">
        <v>1</v>
      </c>
      <c r="E9041" t="s">
        <v>16871</v>
      </c>
      <c r="F9041">
        <v>10000017</v>
      </c>
    </row>
  </sheetData>
  <autoFilter ref="A1:F9041" xr:uid="{B5D7D6DE-8109-44FA-8E53-A18ACC09BD2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55117-2441-49A5-9A1E-DAC75CE0A6D7}">
  <sheetPr codeName="Blad3"/>
  <dimension ref="A1:F132"/>
  <sheetViews>
    <sheetView workbookViewId="0">
      <selection activeCell="G14" sqref="G14"/>
    </sheetView>
  </sheetViews>
  <sheetFormatPr defaultRowHeight="15" x14ac:dyDescent="0.25"/>
  <cols>
    <col min="1" max="1" width="16.85546875" customWidth="1"/>
    <col min="2" max="2" width="15.140625" customWidth="1"/>
    <col min="3" max="3" width="16" customWidth="1"/>
  </cols>
  <sheetData>
    <row r="1" spans="1:6" x14ac:dyDescent="0.25">
      <c r="A1" t="s">
        <v>16906</v>
      </c>
      <c r="B1" t="str">
        <f t="array" ref="B1:F1">TRANSPOSE(Portfolio!$C$32:$C$36)</f>
        <v>PFE</v>
      </c>
      <c r="C1" t="str">
        <v>Dell</v>
      </c>
      <c r="D1" t="str">
        <v>cemb</v>
      </c>
      <c r="E1" t="str">
        <v>XOM</v>
      </c>
      <c r="F1" t="str">
        <v>GE</v>
      </c>
    </row>
    <row r="2" spans="1:6" x14ac:dyDescent="0.25">
      <c r="A2" t="s">
        <v>16907</v>
      </c>
      <c r="B2" s="34">
        <f t="array" ref="B2:F2">TRANSPOSE(Portfolio!$F$32:$F$36)</f>
        <v>0.2</v>
      </c>
      <c r="C2" s="34">
        <v>0.5</v>
      </c>
      <c r="D2" s="34">
        <v>0.1</v>
      </c>
      <c r="E2" s="34">
        <v>0.1</v>
      </c>
      <c r="F2" s="34">
        <v>0.1</v>
      </c>
    </row>
    <row r="3" spans="1:6" x14ac:dyDescent="0.25">
      <c r="A3" t="s">
        <v>0</v>
      </c>
      <c r="B3" t="s">
        <v>16930</v>
      </c>
      <c r="C3" t="s">
        <v>16930</v>
      </c>
      <c r="D3" t="s">
        <v>16930</v>
      </c>
      <c r="E3" t="s">
        <v>16930</v>
      </c>
      <c r="F3" t="s">
        <v>16930</v>
      </c>
    </row>
    <row r="4" spans="1:6" x14ac:dyDescent="0.25">
      <c r="A4" s="1">
        <v>43900</v>
      </c>
      <c r="B4" s="33">
        <v>34.590000000000003</v>
      </c>
      <c r="C4" s="33">
        <v>160.91999999999999</v>
      </c>
      <c r="D4" s="33">
        <v>184.35</v>
      </c>
      <c r="E4" s="33">
        <v>43.41</v>
      </c>
      <c r="F4" s="33">
        <v>8.85</v>
      </c>
    </row>
    <row r="5" spans="1:6" x14ac:dyDescent="0.25">
      <c r="A5" s="1">
        <v>43901</v>
      </c>
      <c r="B5">
        <v>32.17</v>
      </c>
      <c r="C5">
        <v>153.63</v>
      </c>
      <c r="D5">
        <v>171.89</v>
      </c>
      <c r="E5">
        <v>41.98</v>
      </c>
      <c r="F5">
        <v>8.2100000000000009</v>
      </c>
    </row>
    <row r="6" spans="1:6" x14ac:dyDescent="0.25">
      <c r="A6" s="1">
        <v>43902</v>
      </c>
      <c r="B6">
        <v>30.02</v>
      </c>
      <c r="C6">
        <v>139.06</v>
      </c>
      <c r="D6">
        <v>150.68</v>
      </c>
      <c r="E6">
        <v>37.18</v>
      </c>
      <c r="F6">
        <v>7.23</v>
      </c>
    </row>
    <row r="7" spans="1:6" x14ac:dyDescent="0.25">
      <c r="A7" s="1">
        <v>43903</v>
      </c>
      <c r="B7">
        <v>32.71</v>
      </c>
      <c r="C7">
        <v>158.83000000000001</v>
      </c>
      <c r="D7">
        <v>177.17</v>
      </c>
      <c r="E7">
        <v>38.119999999999997</v>
      </c>
      <c r="F7">
        <v>7.85</v>
      </c>
    </row>
    <row r="8" spans="1:6" x14ac:dyDescent="0.25">
      <c r="A8" s="1">
        <v>43906</v>
      </c>
      <c r="B8">
        <v>30.18</v>
      </c>
      <c r="C8">
        <v>135.41999999999999</v>
      </c>
      <c r="D8">
        <v>154.66</v>
      </c>
      <c r="E8">
        <v>34.49</v>
      </c>
      <c r="F8">
        <v>6.66</v>
      </c>
    </row>
    <row r="9" spans="1:6" x14ac:dyDescent="0.25">
      <c r="A9" s="1">
        <v>43907</v>
      </c>
      <c r="B9">
        <v>32.159999999999997</v>
      </c>
      <c r="C9">
        <v>146.57</v>
      </c>
      <c r="D9">
        <v>158.66999999999999</v>
      </c>
      <c r="E9">
        <v>36.81</v>
      </c>
      <c r="F9">
        <v>7.08</v>
      </c>
    </row>
    <row r="10" spans="1:6" x14ac:dyDescent="0.25">
      <c r="A10" s="1">
        <v>43908</v>
      </c>
      <c r="B10">
        <v>32.36</v>
      </c>
      <c r="C10">
        <v>140.4</v>
      </c>
      <c r="D10">
        <v>140.02000000000001</v>
      </c>
      <c r="E10">
        <v>33.119999999999997</v>
      </c>
      <c r="F10">
        <v>6.6</v>
      </c>
    </row>
    <row r="11" spans="1:6" x14ac:dyDescent="0.25">
      <c r="A11" s="1">
        <v>43909</v>
      </c>
      <c r="B11">
        <v>30.42</v>
      </c>
      <c r="C11">
        <v>142.71</v>
      </c>
      <c r="D11">
        <v>149.49</v>
      </c>
      <c r="E11">
        <v>34.43</v>
      </c>
      <c r="F11">
        <v>6.48</v>
      </c>
    </row>
    <row r="12" spans="1:6" x14ac:dyDescent="0.25">
      <c r="A12" s="1">
        <v>43910</v>
      </c>
      <c r="B12">
        <v>29.01</v>
      </c>
      <c r="C12">
        <v>137.35</v>
      </c>
      <c r="D12">
        <v>138.41</v>
      </c>
      <c r="E12">
        <v>32.74</v>
      </c>
      <c r="F12">
        <v>6.52</v>
      </c>
    </row>
    <row r="13" spans="1:6" x14ac:dyDescent="0.25">
      <c r="A13" s="1">
        <v>43913</v>
      </c>
      <c r="B13">
        <v>28.49</v>
      </c>
      <c r="C13">
        <v>135.97999999999999</v>
      </c>
      <c r="D13">
        <v>134.97</v>
      </c>
      <c r="E13">
        <v>31.45</v>
      </c>
      <c r="F13">
        <v>6.11</v>
      </c>
    </row>
    <row r="14" spans="1:6" x14ac:dyDescent="0.25">
      <c r="A14" s="1">
        <v>43914</v>
      </c>
      <c r="B14">
        <v>29.7</v>
      </c>
      <c r="C14">
        <v>148.34</v>
      </c>
      <c r="D14">
        <v>153.6</v>
      </c>
      <c r="E14">
        <v>35.44</v>
      </c>
      <c r="F14">
        <v>7.01</v>
      </c>
    </row>
    <row r="15" spans="1:6" x14ac:dyDescent="0.25">
      <c r="A15" s="1">
        <v>43915</v>
      </c>
      <c r="B15">
        <v>29.75</v>
      </c>
      <c r="C15">
        <v>146.91999999999999</v>
      </c>
      <c r="D15">
        <v>155.13</v>
      </c>
      <c r="E15">
        <v>37.29</v>
      </c>
      <c r="F15">
        <v>7.56</v>
      </c>
    </row>
    <row r="16" spans="1:6" x14ac:dyDescent="0.25">
      <c r="A16" s="1">
        <v>43916</v>
      </c>
      <c r="B16">
        <v>31.75</v>
      </c>
      <c r="C16">
        <v>156.11000000000001</v>
      </c>
      <c r="D16">
        <v>165.79</v>
      </c>
      <c r="E16">
        <v>38.82</v>
      </c>
      <c r="F16">
        <v>8.1199999999999992</v>
      </c>
    </row>
    <row r="17" spans="1:6" x14ac:dyDescent="0.25">
      <c r="A17" s="1">
        <v>43917</v>
      </c>
      <c r="B17">
        <v>30.9</v>
      </c>
      <c r="C17">
        <v>149.69999999999999</v>
      </c>
      <c r="D17">
        <v>158.34</v>
      </c>
      <c r="E17">
        <v>36.950000000000003</v>
      </c>
      <c r="F17">
        <v>7.62</v>
      </c>
    </row>
    <row r="18" spans="1:6" x14ac:dyDescent="0.25">
      <c r="A18" s="1">
        <v>43920</v>
      </c>
      <c r="B18">
        <v>32.67</v>
      </c>
      <c r="C18">
        <v>160.22999999999999</v>
      </c>
      <c r="D18">
        <v>159.62</v>
      </c>
      <c r="E18">
        <v>37.5</v>
      </c>
      <c r="F18">
        <v>7.89</v>
      </c>
    </row>
    <row r="19" spans="1:6" x14ac:dyDescent="0.25">
      <c r="A19" s="1">
        <v>43921</v>
      </c>
      <c r="B19">
        <v>32.64</v>
      </c>
      <c r="C19">
        <v>157.71</v>
      </c>
      <c r="D19">
        <v>154.59</v>
      </c>
      <c r="E19">
        <v>37.97</v>
      </c>
      <c r="F19">
        <v>7.94</v>
      </c>
    </row>
    <row r="20" spans="1:6" x14ac:dyDescent="0.25">
      <c r="A20" s="1">
        <v>43922</v>
      </c>
      <c r="B20">
        <v>31.75</v>
      </c>
      <c r="C20">
        <v>152.11000000000001</v>
      </c>
      <c r="D20">
        <v>145.29</v>
      </c>
      <c r="E20">
        <v>37.53</v>
      </c>
      <c r="F20">
        <v>7.04</v>
      </c>
    </row>
    <row r="21" spans="1:6" x14ac:dyDescent="0.25">
      <c r="A21" s="1">
        <v>43923</v>
      </c>
      <c r="B21">
        <v>32.869999999999997</v>
      </c>
      <c r="C21">
        <v>155.26</v>
      </c>
      <c r="D21">
        <v>149.93</v>
      </c>
      <c r="E21">
        <v>40.4</v>
      </c>
      <c r="F21">
        <v>6.9</v>
      </c>
    </row>
    <row r="22" spans="1:6" x14ac:dyDescent="0.25">
      <c r="A22" s="1">
        <v>43924</v>
      </c>
      <c r="B22">
        <v>33.64</v>
      </c>
      <c r="C22">
        <v>153.83000000000001</v>
      </c>
      <c r="D22">
        <v>146.93</v>
      </c>
      <c r="E22">
        <v>39.21</v>
      </c>
      <c r="F22">
        <v>6.73</v>
      </c>
    </row>
    <row r="23" spans="1:6" x14ac:dyDescent="0.25">
      <c r="A23" s="1">
        <v>43927</v>
      </c>
      <c r="B23">
        <v>34.57</v>
      </c>
      <c r="C23">
        <v>165.27</v>
      </c>
      <c r="D23">
        <v>158.22999999999999</v>
      </c>
      <c r="E23">
        <v>40.47</v>
      </c>
      <c r="F23">
        <v>7.23</v>
      </c>
    </row>
    <row r="24" spans="1:6" x14ac:dyDescent="0.25">
      <c r="A24" s="1">
        <v>43928</v>
      </c>
      <c r="B24">
        <v>33.61</v>
      </c>
      <c r="C24">
        <v>163.49</v>
      </c>
      <c r="D24">
        <v>166.02</v>
      </c>
      <c r="E24">
        <v>41.24</v>
      </c>
      <c r="F24">
        <v>7.03</v>
      </c>
    </row>
    <row r="25" spans="1:6" x14ac:dyDescent="0.25">
      <c r="A25" s="1">
        <v>43929</v>
      </c>
      <c r="B25">
        <v>34.6</v>
      </c>
      <c r="C25">
        <v>165.13</v>
      </c>
      <c r="D25">
        <v>176.96</v>
      </c>
      <c r="E25">
        <v>43.85</v>
      </c>
      <c r="F25">
        <v>7.3</v>
      </c>
    </row>
    <row r="26" spans="1:6" x14ac:dyDescent="0.25">
      <c r="A26" s="1">
        <v>43930</v>
      </c>
      <c r="B26">
        <v>35.39</v>
      </c>
      <c r="C26">
        <v>165.14</v>
      </c>
      <c r="D26">
        <v>184.26</v>
      </c>
      <c r="E26">
        <v>43.13</v>
      </c>
      <c r="F26">
        <v>7.14</v>
      </c>
    </row>
    <row r="27" spans="1:6" x14ac:dyDescent="0.25">
      <c r="A27" s="1">
        <v>43934</v>
      </c>
      <c r="B27">
        <v>35.14</v>
      </c>
      <c r="C27">
        <v>165.51</v>
      </c>
      <c r="D27">
        <v>179.18</v>
      </c>
      <c r="E27">
        <v>42.76</v>
      </c>
      <c r="F27">
        <v>7.02</v>
      </c>
    </row>
    <row r="28" spans="1:6" x14ac:dyDescent="0.25">
      <c r="A28" s="1">
        <v>43935</v>
      </c>
      <c r="B28">
        <v>36.44</v>
      </c>
      <c r="C28">
        <v>173.7</v>
      </c>
      <c r="D28">
        <v>178.23</v>
      </c>
      <c r="E28">
        <v>42.43</v>
      </c>
      <c r="F28">
        <v>6.93</v>
      </c>
    </row>
    <row r="29" spans="1:6" x14ac:dyDescent="0.25">
      <c r="A29" s="1">
        <v>43936</v>
      </c>
      <c r="B29">
        <v>35.97</v>
      </c>
      <c r="C29">
        <v>171.88</v>
      </c>
      <c r="D29">
        <v>178.52</v>
      </c>
      <c r="E29">
        <v>40.479999999999997</v>
      </c>
      <c r="F29">
        <v>6.5</v>
      </c>
    </row>
    <row r="30" spans="1:6" x14ac:dyDescent="0.25">
      <c r="A30" s="1">
        <v>43937</v>
      </c>
      <c r="B30">
        <v>35.880000000000003</v>
      </c>
      <c r="C30">
        <v>177.04</v>
      </c>
      <c r="D30">
        <v>177.04</v>
      </c>
      <c r="E30">
        <v>39.15</v>
      </c>
      <c r="F30">
        <v>6.24</v>
      </c>
    </row>
    <row r="31" spans="1:6" x14ac:dyDescent="0.25">
      <c r="A31" s="1">
        <v>43938</v>
      </c>
      <c r="B31">
        <v>36.909999999999997</v>
      </c>
      <c r="C31">
        <v>178.6</v>
      </c>
      <c r="D31">
        <v>183.49</v>
      </c>
      <c r="E31">
        <v>43.22</v>
      </c>
      <c r="F31">
        <v>6.84</v>
      </c>
    </row>
    <row r="32" spans="1:6" x14ac:dyDescent="0.25">
      <c r="A32" s="1">
        <v>43941</v>
      </c>
      <c r="B32">
        <v>36.08</v>
      </c>
      <c r="C32">
        <v>175.06</v>
      </c>
      <c r="D32">
        <v>180.4</v>
      </c>
      <c r="E32">
        <v>41.18</v>
      </c>
      <c r="F32">
        <v>6.51</v>
      </c>
    </row>
    <row r="33" spans="1:6" x14ac:dyDescent="0.25">
      <c r="A33" s="1">
        <v>43942</v>
      </c>
      <c r="B33">
        <v>35.619999999999997</v>
      </c>
      <c r="C33">
        <v>167.82</v>
      </c>
      <c r="D33">
        <v>173.81</v>
      </c>
      <c r="E33">
        <v>40.96</v>
      </c>
      <c r="F33">
        <v>6.48</v>
      </c>
    </row>
    <row r="34" spans="1:6" x14ac:dyDescent="0.25">
      <c r="A34" s="1">
        <v>43943</v>
      </c>
      <c r="B34">
        <v>36.25</v>
      </c>
      <c r="C34">
        <v>173.52</v>
      </c>
      <c r="D34">
        <v>175.98</v>
      </c>
      <c r="E34">
        <v>42.13</v>
      </c>
      <c r="F34">
        <v>6.43</v>
      </c>
    </row>
    <row r="35" spans="1:6" x14ac:dyDescent="0.25">
      <c r="A35" s="1">
        <v>43944</v>
      </c>
      <c r="B35">
        <v>36.69</v>
      </c>
      <c r="C35">
        <v>171.42</v>
      </c>
      <c r="D35">
        <v>175.05</v>
      </c>
      <c r="E35">
        <v>43.45</v>
      </c>
      <c r="F35">
        <v>6.52</v>
      </c>
    </row>
    <row r="36" spans="1:6" x14ac:dyDescent="0.25">
      <c r="A36" s="1">
        <v>43945</v>
      </c>
      <c r="B36">
        <v>37.380000000000003</v>
      </c>
      <c r="C36">
        <v>174.55</v>
      </c>
      <c r="D36">
        <v>177</v>
      </c>
      <c r="E36">
        <v>43.73</v>
      </c>
      <c r="F36">
        <v>6.26</v>
      </c>
    </row>
    <row r="37" spans="1:6" x14ac:dyDescent="0.25">
      <c r="A37" s="1">
        <v>43948</v>
      </c>
      <c r="B37">
        <v>38.33</v>
      </c>
      <c r="C37">
        <v>174.05</v>
      </c>
      <c r="D37">
        <v>183.54</v>
      </c>
      <c r="E37">
        <v>43.94</v>
      </c>
      <c r="F37">
        <v>6.43</v>
      </c>
    </row>
    <row r="38" spans="1:6" x14ac:dyDescent="0.25">
      <c r="A38" s="1">
        <v>43949</v>
      </c>
      <c r="B38">
        <v>37.909999999999997</v>
      </c>
      <c r="C38">
        <v>169.81</v>
      </c>
      <c r="D38">
        <v>187.01</v>
      </c>
      <c r="E38">
        <v>44.97</v>
      </c>
      <c r="F38">
        <v>6.8</v>
      </c>
    </row>
    <row r="39" spans="1:6" x14ac:dyDescent="0.25">
      <c r="A39" s="1">
        <v>43950</v>
      </c>
      <c r="B39">
        <v>38.119999999999997</v>
      </c>
      <c r="C39">
        <v>177.43</v>
      </c>
      <c r="D39">
        <v>190.03</v>
      </c>
      <c r="E39">
        <v>47.46</v>
      </c>
      <c r="F39">
        <v>6.58</v>
      </c>
    </row>
    <row r="40" spans="1:6" x14ac:dyDescent="0.25">
      <c r="A40" s="1">
        <v>43951</v>
      </c>
      <c r="B40">
        <v>38.36</v>
      </c>
      <c r="C40">
        <v>179.21</v>
      </c>
      <c r="D40">
        <v>183.42</v>
      </c>
      <c r="E40">
        <v>46.47</v>
      </c>
      <c r="F40">
        <v>6.8</v>
      </c>
    </row>
    <row r="41" spans="1:6" x14ac:dyDescent="0.25">
      <c r="A41" s="1">
        <v>43952</v>
      </c>
      <c r="B41">
        <v>37.64</v>
      </c>
      <c r="C41">
        <v>174.57</v>
      </c>
      <c r="D41">
        <v>177.1</v>
      </c>
      <c r="E41">
        <v>43.14</v>
      </c>
      <c r="F41">
        <v>6.5</v>
      </c>
    </row>
    <row r="42" spans="1:6" x14ac:dyDescent="0.25">
      <c r="A42" s="1">
        <v>43955</v>
      </c>
      <c r="B42">
        <v>37.619999999999997</v>
      </c>
      <c r="C42">
        <v>178.84</v>
      </c>
      <c r="D42">
        <v>176.03</v>
      </c>
      <c r="E42">
        <v>44.88</v>
      </c>
      <c r="F42">
        <v>6.21</v>
      </c>
    </row>
    <row r="43" spans="1:6" x14ac:dyDescent="0.25">
      <c r="A43" s="1">
        <v>43956</v>
      </c>
      <c r="B43">
        <v>38.51</v>
      </c>
      <c r="C43">
        <v>180.76</v>
      </c>
      <c r="D43">
        <v>178.3</v>
      </c>
      <c r="E43">
        <v>44.83</v>
      </c>
      <c r="F43">
        <v>6.2</v>
      </c>
    </row>
    <row r="44" spans="1:6" x14ac:dyDescent="0.25">
      <c r="A44" s="1">
        <v>43957</v>
      </c>
      <c r="B44">
        <v>38.51</v>
      </c>
      <c r="C44">
        <v>182.54</v>
      </c>
      <c r="D44">
        <v>176.92</v>
      </c>
      <c r="E44">
        <v>43.99</v>
      </c>
      <c r="F44">
        <v>5.98</v>
      </c>
    </row>
    <row r="45" spans="1:6" x14ac:dyDescent="0.25">
      <c r="A45" s="1">
        <v>43958</v>
      </c>
      <c r="B45">
        <v>36.96</v>
      </c>
      <c r="C45">
        <v>183.6</v>
      </c>
      <c r="D45">
        <v>182.32</v>
      </c>
      <c r="E45">
        <v>44.24</v>
      </c>
      <c r="F45">
        <v>6.11</v>
      </c>
    </row>
    <row r="46" spans="1:6" x14ac:dyDescent="0.25">
      <c r="A46" s="1">
        <v>43959</v>
      </c>
      <c r="B46">
        <v>37.22</v>
      </c>
      <c r="C46">
        <v>184.68</v>
      </c>
      <c r="D46">
        <v>185.39</v>
      </c>
      <c r="E46">
        <v>46.18</v>
      </c>
      <c r="F46">
        <v>6.29</v>
      </c>
    </row>
    <row r="47" spans="1:6" x14ac:dyDescent="0.25">
      <c r="A47" s="1">
        <v>43962</v>
      </c>
      <c r="B47">
        <v>38.1</v>
      </c>
      <c r="C47">
        <v>186.74</v>
      </c>
      <c r="D47">
        <v>183.16</v>
      </c>
      <c r="E47">
        <v>45.74</v>
      </c>
      <c r="F47">
        <v>6.19</v>
      </c>
    </row>
    <row r="48" spans="1:6" x14ac:dyDescent="0.25">
      <c r="A48" s="1">
        <v>43963</v>
      </c>
      <c r="B48">
        <v>37.36</v>
      </c>
      <c r="C48">
        <v>182.51</v>
      </c>
      <c r="D48">
        <v>177.21</v>
      </c>
      <c r="E48">
        <v>44.12</v>
      </c>
      <c r="F48">
        <v>6</v>
      </c>
    </row>
    <row r="49" spans="1:6" x14ac:dyDescent="0.25">
      <c r="A49" s="1">
        <v>43964</v>
      </c>
      <c r="B49">
        <v>37.049999999999997</v>
      </c>
      <c r="C49">
        <v>179.75</v>
      </c>
      <c r="D49">
        <v>171.8</v>
      </c>
      <c r="E49">
        <v>41.93</v>
      </c>
      <c r="F49">
        <v>5.79</v>
      </c>
    </row>
    <row r="50" spans="1:6" x14ac:dyDescent="0.25">
      <c r="A50" s="1">
        <v>43965</v>
      </c>
      <c r="B50">
        <v>37.92</v>
      </c>
      <c r="C50">
        <v>180.53</v>
      </c>
      <c r="D50">
        <v>174.45</v>
      </c>
      <c r="E50">
        <v>42.3</v>
      </c>
      <c r="F50">
        <v>5.7</v>
      </c>
    </row>
    <row r="51" spans="1:6" x14ac:dyDescent="0.25">
      <c r="A51" s="1">
        <v>43966</v>
      </c>
      <c r="B51">
        <v>37.76</v>
      </c>
      <c r="C51">
        <v>183.16</v>
      </c>
      <c r="D51">
        <v>171.87</v>
      </c>
      <c r="E51">
        <v>42</v>
      </c>
      <c r="F51">
        <v>5.49</v>
      </c>
    </row>
    <row r="52" spans="1:6" x14ac:dyDescent="0.25">
      <c r="A52" s="1">
        <v>43969</v>
      </c>
      <c r="B52">
        <v>38.07</v>
      </c>
      <c r="C52">
        <v>184.91</v>
      </c>
      <c r="D52">
        <v>181.88</v>
      </c>
      <c r="E52">
        <v>45.34</v>
      </c>
      <c r="F52">
        <v>6.27</v>
      </c>
    </row>
    <row r="53" spans="1:6" x14ac:dyDescent="0.25">
      <c r="A53" s="1">
        <v>43970</v>
      </c>
      <c r="B53">
        <v>37.68</v>
      </c>
      <c r="C53">
        <v>183.63</v>
      </c>
      <c r="D53">
        <v>177.83</v>
      </c>
      <c r="E53">
        <v>43.94</v>
      </c>
      <c r="F53">
        <v>6.21</v>
      </c>
    </row>
    <row r="54" spans="1:6" x14ac:dyDescent="0.25">
      <c r="A54" s="1">
        <v>43971</v>
      </c>
      <c r="B54">
        <v>37.630000000000003</v>
      </c>
      <c r="C54">
        <v>185.66</v>
      </c>
      <c r="D54">
        <v>181.44</v>
      </c>
      <c r="E54">
        <v>45.37</v>
      </c>
      <c r="F54">
        <v>6.42</v>
      </c>
    </row>
    <row r="55" spans="1:6" x14ac:dyDescent="0.25">
      <c r="A55" s="1">
        <v>43972</v>
      </c>
      <c r="B55">
        <v>37.26</v>
      </c>
      <c r="C55">
        <v>183.43</v>
      </c>
      <c r="D55">
        <v>180.1</v>
      </c>
      <c r="E55">
        <v>44.56</v>
      </c>
      <c r="F55">
        <v>6.48</v>
      </c>
    </row>
    <row r="56" spans="1:6" x14ac:dyDescent="0.25">
      <c r="A56" s="1">
        <v>43973</v>
      </c>
      <c r="B56">
        <v>37.5</v>
      </c>
      <c r="C56">
        <v>183.51</v>
      </c>
      <c r="D56">
        <v>179.93</v>
      </c>
      <c r="E56">
        <v>44.6</v>
      </c>
      <c r="F56">
        <v>6.41</v>
      </c>
    </row>
    <row r="57" spans="1:6" x14ac:dyDescent="0.25">
      <c r="A57" s="1">
        <v>43977</v>
      </c>
      <c r="B57">
        <v>37.49</v>
      </c>
      <c r="C57">
        <v>181.57</v>
      </c>
      <c r="D57">
        <v>196.06</v>
      </c>
      <c r="E57">
        <v>45.91</v>
      </c>
      <c r="F57">
        <v>6.8</v>
      </c>
    </row>
    <row r="58" spans="1:6" x14ac:dyDescent="0.25">
      <c r="A58" s="1">
        <v>43978</v>
      </c>
      <c r="B58">
        <v>37.409999999999997</v>
      </c>
      <c r="C58">
        <v>181.81</v>
      </c>
      <c r="D58">
        <v>209.66</v>
      </c>
      <c r="E58">
        <v>46.24</v>
      </c>
      <c r="F58">
        <v>7.29</v>
      </c>
    </row>
    <row r="59" spans="1:6" x14ac:dyDescent="0.25">
      <c r="A59" s="1">
        <v>43979</v>
      </c>
      <c r="B59">
        <v>38.18</v>
      </c>
      <c r="C59">
        <v>181.4</v>
      </c>
      <c r="D59">
        <v>201.22</v>
      </c>
      <c r="E59">
        <v>45.04</v>
      </c>
      <c r="F59">
        <v>6.78</v>
      </c>
    </row>
    <row r="60" spans="1:6" x14ac:dyDescent="0.25">
      <c r="A60" s="1">
        <v>43980</v>
      </c>
      <c r="B60">
        <v>38.19</v>
      </c>
      <c r="C60">
        <v>183.25</v>
      </c>
      <c r="D60">
        <v>196.49</v>
      </c>
      <c r="E60">
        <v>45.47</v>
      </c>
      <c r="F60">
        <v>6.57</v>
      </c>
    </row>
    <row r="61" spans="1:6" x14ac:dyDescent="0.25">
      <c r="A61" s="1">
        <v>43983</v>
      </c>
      <c r="B61">
        <v>35.46</v>
      </c>
      <c r="C61">
        <v>182.83</v>
      </c>
      <c r="D61">
        <v>199.93</v>
      </c>
      <c r="E61">
        <v>46.28</v>
      </c>
      <c r="F61">
        <v>6.76</v>
      </c>
    </row>
    <row r="62" spans="1:6" x14ac:dyDescent="0.25">
      <c r="A62" s="1">
        <v>43984</v>
      </c>
      <c r="B62">
        <v>36.159999999999997</v>
      </c>
      <c r="C62">
        <v>184.91</v>
      </c>
      <c r="D62">
        <v>204.14</v>
      </c>
      <c r="E62">
        <v>47.31</v>
      </c>
      <c r="F62">
        <v>7.05</v>
      </c>
    </row>
    <row r="63" spans="1:6" x14ac:dyDescent="0.25">
      <c r="A63" s="1">
        <v>43985</v>
      </c>
      <c r="B63">
        <v>36.159999999999997</v>
      </c>
      <c r="C63">
        <v>185.36</v>
      </c>
      <c r="D63">
        <v>210.57</v>
      </c>
      <c r="E63">
        <v>49.24</v>
      </c>
      <c r="F63">
        <v>7.36</v>
      </c>
    </row>
    <row r="64" spans="1:6" x14ac:dyDescent="0.25">
      <c r="A64" s="1">
        <v>43986</v>
      </c>
      <c r="B64">
        <v>36.01</v>
      </c>
      <c r="C64">
        <v>182.92</v>
      </c>
      <c r="D64">
        <v>214.82</v>
      </c>
      <c r="E64">
        <v>49.1</v>
      </c>
      <c r="F64">
        <v>7.74</v>
      </c>
    </row>
    <row r="65" spans="1:6" x14ac:dyDescent="0.25">
      <c r="A65" s="1">
        <v>43987</v>
      </c>
      <c r="B65">
        <v>35.99</v>
      </c>
      <c r="C65">
        <v>187.2</v>
      </c>
      <c r="D65">
        <v>217.92</v>
      </c>
      <c r="E65">
        <v>53.08</v>
      </c>
      <c r="F65">
        <v>7.88</v>
      </c>
    </row>
    <row r="66" spans="1:6" x14ac:dyDescent="0.25">
      <c r="A66" s="1">
        <v>43990</v>
      </c>
      <c r="B66">
        <v>36.590000000000003</v>
      </c>
      <c r="C66">
        <v>188.36</v>
      </c>
      <c r="D66">
        <v>220.81</v>
      </c>
      <c r="E66">
        <v>54.74</v>
      </c>
      <c r="F66">
        <v>8.4600000000000009</v>
      </c>
    </row>
    <row r="67" spans="1:6" x14ac:dyDescent="0.25">
      <c r="A67" s="1">
        <v>43991</v>
      </c>
      <c r="B67">
        <v>36.21</v>
      </c>
      <c r="C67">
        <v>189.8</v>
      </c>
      <c r="D67">
        <v>218.1</v>
      </c>
      <c r="E67">
        <v>53.52</v>
      </c>
      <c r="F67">
        <v>8.02</v>
      </c>
    </row>
    <row r="68" spans="1:6" x14ac:dyDescent="0.25">
      <c r="A68" s="1">
        <v>43992</v>
      </c>
      <c r="B68">
        <v>35.92</v>
      </c>
      <c r="C68">
        <v>196.84</v>
      </c>
      <c r="D68">
        <v>213.52</v>
      </c>
      <c r="E68">
        <v>50.65</v>
      </c>
      <c r="F68">
        <v>7.61</v>
      </c>
    </row>
    <row r="69" spans="1:6" x14ac:dyDescent="0.25">
      <c r="A69" s="1">
        <v>43993</v>
      </c>
      <c r="B69">
        <v>33.299999999999997</v>
      </c>
      <c r="C69">
        <v>186.27</v>
      </c>
      <c r="D69">
        <v>194.13</v>
      </c>
      <c r="E69">
        <v>46.18</v>
      </c>
      <c r="F69">
        <v>6.95</v>
      </c>
    </row>
    <row r="70" spans="1:6" x14ac:dyDescent="0.25">
      <c r="A70" s="1">
        <v>43994</v>
      </c>
      <c r="B70">
        <v>33.75</v>
      </c>
      <c r="C70">
        <v>187.74</v>
      </c>
      <c r="D70">
        <v>201.78</v>
      </c>
      <c r="E70">
        <v>47.17</v>
      </c>
      <c r="F70">
        <v>7.25</v>
      </c>
    </row>
    <row r="71" spans="1:6" x14ac:dyDescent="0.25">
      <c r="A71" s="1">
        <v>43997</v>
      </c>
      <c r="B71">
        <v>33.36</v>
      </c>
      <c r="C71">
        <v>188.94</v>
      </c>
      <c r="D71">
        <v>206.31</v>
      </c>
      <c r="E71">
        <v>47.14</v>
      </c>
      <c r="F71">
        <v>7.24</v>
      </c>
    </row>
    <row r="72" spans="1:6" x14ac:dyDescent="0.25">
      <c r="A72" s="1">
        <v>43998</v>
      </c>
      <c r="B72">
        <v>33.4</v>
      </c>
      <c r="C72">
        <v>193.57</v>
      </c>
      <c r="D72">
        <v>209.59</v>
      </c>
      <c r="E72">
        <v>48.2</v>
      </c>
      <c r="F72">
        <v>7.47</v>
      </c>
    </row>
    <row r="73" spans="1:6" x14ac:dyDescent="0.25">
      <c r="A73" s="1">
        <v>43999</v>
      </c>
      <c r="B73">
        <v>33.56</v>
      </c>
      <c r="C73">
        <v>194.24</v>
      </c>
      <c r="D73">
        <v>206.19</v>
      </c>
      <c r="E73">
        <v>46.63</v>
      </c>
      <c r="F73">
        <v>7.24</v>
      </c>
    </row>
    <row r="74" spans="1:6" x14ac:dyDescent="0.25">
      <c r="A74" s="1">
        <v>44000</v>
      </c>
      <c r="B74">
        <v>33.24</v>
      </c>
      <c r="C74">
        <v>196.32</v>
      </c>
      <c r="D74">
        <v>203.84</v>
      </c>
      <c r="E74">
        <v>46.92</v>
      </c>
      <c r="F74">
        <v>7.28</v>
      </c>
    </row>
    <row r="75" spans="1:6" x14ac:dyDescent="0.25">
      <c r="A75" s="1">
        <v>44001</v>
      </c>
      <c r="B75">
        <v>33.42</v>
      </c>
      <c r="C75">
        <v>195.15</v>
      </c>
      <c r="D75">
        <v>201.63</v>
      </c>
      <c r="E75">
        <v>45.98</v>
      </c>
      <c r="F75">
        <v>7.15</v>
      </c>
    </row>
    <row r="76" spans="1:6" x14ac:dyDescent="0.25">
      <c r="A76" s="1">
        <v>44004</v>
      </c>
      <c r="B76">
        <v>33.11</v>
      </c>
      <c r="C76">
        <v>200.57</v>
      </c>
      <c r="D76">
        <v>203.42</v>
      </c>
      <c r="E76">
        <v>46.42</v>
      </c>
      <c r="F76">
        <v>7.04</v>
      </c>
    </row>
    <row r="77" spans="1:6" x14ac:dyDescent="0.25">
      <c r="A77" s="1">
        <v>44005</v>
      </c>
      <c r="B77">
        <v>32.770000000000003</v>
      </c>
      <c r="C77">
        <v>201.91</v>
      </c>
      <c r="D77">
        <v>204.78</v>
      </c>
      <c r="E77">
        <v>46.7</v>
      </c>
      <c r="F77">
        <v>7</v>
      </c>
    </row>
    <row r="78" spans="1:6" x14ac:dyDescent="0.25">
      <c r="A78" s="1">
        <v>44006</v>
      </c>
      <c r="B78">
        <v>32.19</v>
      </c>
      <c r="C78">
        <v>197.84</v>
      </c>
      <c r="D78">
        <v>198.02</v>
      </c>
      <c r="E78">
        <v>44.5</v>
      </c>
      <c r="F78">
        <v>6.53</v>
      </c>
    </row>
    <row r="79" spans="1:6" x14ac:dyDescent="0.25">
      <c r="A79" s="1">
        <v>44007</v>
      </c>
      <c r="B79">
        <v>32.32</v>
      </c>
      <c r="C79">
        <v>200.34</v>
      </c>
      <c r="D79">
        <v>207.1</v>
      </c>
      <c r="E79">
        <v>45.17</v>
      </c>
      <c r="F79">
        <v>6.68</v>
      </c>
    </row>
    <row r="80" spans="1:6" x14ac:dyDescent="0.25">
      <c r="A80" s="1">
        <v>44008</v>
      </c>
      <c r="B80">
        <v>32.04</v>
      </c>
      <c r="C80">
        <v>196.33</v>
      </c>
      <c r="D80">
        <v>189.19</v>
      </c>
      <c r="E80">
        <v>43.62</v>
      </c>
      <c r="F80">
        <v>6.48</v>
      </c>
    </row>
    <row r="81" spans="1:6" x14ac:dyDescent="0.25">
      <c r="A81" s="1">
        <v>44011</v>
      </c>
      <c r="B81">
        <v>32.64</v>
      </c>
      <c r="C81">
        <v>198.44</v>
      </c>
      <c r="D81">
        <v>193.47</v>
      </c>
      <c r="E81">
        <v>44.32</v>
      </c>
      <c r="F81">
        <v>6.8</v>
      </c>
    </row>
    <row r="82" spans="1:6" x14ac:dyDescent="0.25">
      <c r="A82" s="1">
        <v>44012</v>
      </c>
      <c r="B82">
        <v>32.700000000000003</v>
      </c>
      <c r="C82">
        <v>203.51</v>
      </c>
      <c r="D82">
        <v>197.62</v>
      </c>
      <c r="E82">
        <v>44.72</v>
      </c>
      <c r="F82">
        <v>6.83</v>
      </c>
    </row>
    <row r="83" spans="1:6" x14ac:dyDescent="0.25">
      <c r="A83" s="1">
        <v>44013</v>
      </c>
      <c r="B83">
        <v>33.74</v>
      </c>
      <c r="C83">
        <v>204.7</v>
      </c>
      <c r="D83">
        <v>197.57</v>
      </c>
      <c r="E83">
        <v>43.71</v>
      </c>
      <c r="F83">
        <v>6.74</v>
      </c>
    </row>
    <row r="84" spans="1:6" x14ac:dyDescent="0.25">
      <c r="A84" s="1">
        <v>44014</v>
      </c>
      <c r="B84">
        <v>34.51</v>
      </c>
      <c r="C84">
        <v>206.26</v>
      </c>
      <c r="D84">
        <v>197.4</v>
      </c>
      <c r="E84">
        <v>44.08</v>
      </c>
      <c r="F84">
        <v>6.82</v>
      </c>
    </row>
    <row r="85" spans="1:6" x14ac:dyDescent="0.25">
      <c r="A85" s="1">
        <v>44018</v>
      </c>
      <c r="B85">
        <v>34.51</v>
      </c>
      <c r="C85">
        <v>210.7</v>
      </c>
      <c r="D85">
        <v>207.36</v>
      </c>
      <c r="E85">
        <v>44.39</v>
      </c>
      <c r="F85">
        <v>7</v>
      </c>
    </row>
    <row r="86" spans="1:6" x14ac:dyDescent="0.25">
      <c r="A86" s="1">
        <v>44019</v>
      </c>
      <c r="B86">
        <v>34.03</v>
      </c>
      <c r="C86">
        <v>208.25</v>
      </c>
      <c r="D86">
        <v>199.36</v>
      </c>
      <c r="E86">
        <v>43.24</v>
      </c>
      <c r="F86">
        <v>6.76</v>
      </c>
    </row>
    <row r="87" spans="1:6" x14ac:dyDescent="0.25">
      <c r="A87" s="1">
        <v>44020</v>
      </c>
      <c r="B87">
        <v>33.75</v>
      </c>
      <c r="C87">
        <v>212.83</v>
      </c>
      <c r="D87">
        <v>202.25</v>
      </c>
      <c r="E87">
        <v>43.14</v>
      </c>
      <c r="F87">
        <v>6.86</v>
      </c>
    </row>
    <row r="88" spans="1:6" x14ac:dyDescent="0.25">
      <c r="A88" s="1">
        <v>44021</v>
      </c>
      <c r="B88">
        <v>33.46</v>
      </c>
      <c r="C88">
        <v>214.32</v>
      </c>
      <c r="D88">
        <v>196.83</v>
      </c>
      <c r="E88">
        <v>41.36</v>
      </c>
      <c r="F88">
        <v>6.58</v>
      </c>
    </row>
    <row r="89" spans="1:6" x14ac:dyDescent="0.25">
      <c r="A89" s="1">
        <v>44022</v>
      </c>
      <c r="B89">
        <v>33.83</v>
      </c>
      <c r="C89">
        <v>213.67</v>
      </c>
      <c r="D89">
        <v>205.56</v>
      </c>
      <c r="E89">
        <v>42.65</v>
      </c>
      <c r="F89">
        <v>6.69</v>
      </c>
    </row>
    <row r="90" spans="1:6" x14ac:dyDescent="0.25">
      <c r="A90" s="1">
        <v>44025</v>
      </c>
      <c r="B90">
        <v>35.21</v>
      </c>
      <c r="C90">
        <v>207.07</v>
      </c>
      <c r="D90">
        <v>208.88</v>
      </c>
      <c r="E90">
        <v>42.66</v>
      </c>
      <c r="F90">
        <v>6.7</v>
      </c>
    </row>
    <row r="91" spans="1:6" x14ac:dyDescent="0.25">
      <c r="A91" s="1">
        <v>44026</v>
      </c>
      <c r="B91">
        <v>35.229999999999997</v>
      </c>
      <c r="C91">
        <v>208.35</v>
      </c>
      <c r="D91">
        <v>214.01</v>
      </c>
      <c r="E91">
        <v>44.07</v>
      </c>
      <c r="F91">
        <v>6.88</v>
      </c>
    </row>
    <row r="92" spans="1:6" x14ac:dyDescent="0.25">
      <c r="A92" s="1">
        <v>44027</v>
      </c>
      <c r="B92">
        <v>35.72</v>
      </c>
      <c r="C92">
        <v>208.04</v>
      </c>
      <c r="D92">
        <v>216.9</v>
      </c>
      <c r="E92">
        <v>44.63</v>
      </c>
      <c r="F92">
        <v>7.14</v>
      </c>
    </row>
    <row r="93" spans="1:6" x14ac:dyDescent="0.25">
      <c r="A93" s="1">
        <v>44028</v>
      </c>
      <c r="B93">
        <v>35.6</v>
      </c>
      <c r="C93">
        <v>203.92</v>
      </c>
      <c r="D93">
        <v>214.67</v>
      </c>
      <c r="E93">
        <v>44.28</v>
      </c>
      <c r="F93">
        <v>7.05</v>
      </c>
    </row>
    <row r="94" spans="1:6" x14ac:dyDescent="0.25">
      <c r="A94" s="1">
        <v>44029</v>
      </c>
      <c r="B94">
        <v>36.25</v>
      </c>
      <c r="C94">
        <v>202.88</v>
      </c>
      <c r="D94">
        <v>211.41</v>
      </c>
      <c r="E94">
        <v>43.52</v>
      </c>
      <c r="F94">
        <v>7.07</v>
      </c>
    </row>
    <row r="95" spans="1:6" x14ac:dyDescent="0.25">
      <c r="A95" s="1">
        <v>44032</v>
      </c>
      <c r="B95">
        <v>36.5</v>
      </c>
      <c r="C95">
        <v>211.6</v>
      </c>
      <c r="D95">
        <v>211.71</v>
      </c>
      <c r="E95">
        <v>42.5</v>
      </c>
      <c r="F95">
        <v>6.87</v>
      </c>
    </row>
    <row r="96" spans="1:6" x14ac:dyDescent="0.25">
      <c r="A96" s="1">
        <v>44033</v>
      </c>
      <c r="B96">
        <v>36.69</v>
      </c>
      <c r="C96">
        <v>208.75</v>
      </c>
      <c r="D96">
        <v>212.02</v>
      </c>
      <c r="E96">
        <v>44.65</v>
      </c>
      <c r="F96">
        <v>7.04</v>
      </c>
    </row>
    <row r="97" spans="1:6" x14ac:dyDescent="0.25">
      <c r="A97" s="1">
        <v>44034</v>
      </c>
      <c r="B97">
        <v>38.56</v>
      </c>
      <c r="C97">
        <v>211.75</v>
      </c>
      <c r="D97">
        <v>206</v>
      </c>
      <c r="E97">
        <v>43.61</v>
      </c>
      <c r="F97">
        <v>7.06</v>
      </c>
    </row>
    <row r="98" spans="1:6" x14ac:dyDescent="0.25">
      <c r="A98" s="1">
        <v>44035</v>
      </c>
      <c r="B98">
        <v>38.409999999999997</v>
      </c>
      <c r="C98">
        <v>202.54</v>
      </c>
      <c r="D98">
        <v>203.02</v>
      </c>
      <c r="E98">
        <v>43.7</v>
      </c>
      <c r="F98">
        <v>7.04</v>
      </c>
    </row>
    <row r="99" spans="1:6" x14ac:dyDescent="0.25">
      <c r="A99" s="1">
        <v>44036</v>
      </c>
      <c r="B99">
        <v>37.659999999999997</v>
      </c>
      <c r="C99">
        <v>201.3</v>
      </c>
      <c r="D99">
        <v>201.47</v>
      </c>
      <c r="E99">
        <v>43.43</v>
      </c>
      <c r="F99">
        <v>6.86</v>
      </c>
    </row>
    <row r="100" spans="1:6" x14ac:dyDescent="0.25">
      <c r="A100" s="1">
        <v>44039</v>
      </c>
      <c r="B100">
        <v>37.54</v>
      </c>
      <c r="C100">
        <v>203.85</v>
      </c>
      <c r="D100">
        <v>203.02</v>
      </c>
      <c r="E100">
        <v>44.07</v>
      </c>
      <c r="F100">
        <v>6.71</v>
      </c>
    </row>
    <row r="101" spans="1:6" x14ac:dyDescent="0.25">
      <c r="A101" s="1">
        <v>44040</v>
      </c>
      <c r="B101">
        <v>39.020000000000003</v>
      </c>
      <c r="C101">
        <v>202.02</v>
      </c>
      <c r="D101">
        <v>201.62</v>
      </c>
      <c r="E101">
        <v>43.55</v>
      </c>
      <c r="F101">
        <v>6.89</v>
      </c>
    </row>
    <row r="102" spans="1:6" x14ac:dyDescent="0.25">
      <c r="A102" s="1">
        <v>44041</v>
      </c>
      <c r="B102">
        <v>39.26</v>
      </c>
      <c r="C102">
        <v>204.06</v>
      </c>
      <c r="D102">
        <v>202.58</v>
      </c>
      <c r="E102">
        <v>44.03</v>
      </c>
      <c r="F102">
        <v>6.59</v>
      </c>
    </row>
    <row r="103" spans="1:6" x14ac:dyDescent="0.25">
      <c r="A103" s="1">
        <v>44042</v>
      </c>
      <c r="B103">
        <v>38.74</v>
      </c>
      <c r="C103">
        <v>203.9</v>
      </c>
      <c r="D103">
        <v>199.53</v>
      </c>
      <c r="E103">
        <v>41.87</v>
      </c>
      <c r="F103">
        <v>6.26</v>
      </c>
    </row>
    <row r="104" spans="1:6" x14ac:dyDescent="0.25">
      <c r="A104" s="1">
        <v>44043</v>
      </c>
      <c r="B104">
        <v>38.479999999999997</v>
      </c>
      <c r="C104">
        <v>205.01</v>
      </c>
      <c r="D104">
        <v>197.96</v>
      </c>
      <c r="E104">
        <v>42.08</v>
      </c>
      <c r="F104">
        <v>6.07</v>
      </c>
    </row>
    <row r="105" spans="1:6" x14ac:dyDescent="0.25">
      <c r="A105" s="1">
        <v>44046</v>
      </c>
      <c r="B105">
        <v>38.35</v>
      </c>
      <c r="C105">
        <v>216.54</v>
      </c>
      <c r="D105">
        <v>199.39</v>
      </c>
      <c r="E105">
        <v>42.25</v>
      </c>
      <c r="F105">
        <v>6.11</v>
      </c>
    </row>
    <row r="106" spans="1:6" x14ac:dyDescent="0.25">
      <c r="A106" s="1">
        <v>44047</v>
      </c>
      <c r="B106">
        <v>38.39</v>
      </c>
      <c r="C106">
        <v>213.29</v>
      </c>
      <c r="D106">
        <v>201.64</v>
      </c>
      <c r="E106">
        <v>43.47</v>
      </c>
      <c r="F106">
        <v>6.14</v>
      </c>
    </row>
    <row r="107" spans="1:6" x14ac:dyDescent="0.25">
      <c r="A107" s="1">
        <v>44048</v>
      </c>
      <c r="B107">
        <v>38.450000000000003</v>
      </c>
      <c r="C107">
        <v>212.94</v>
      </c>
      <c r="D107">
        <v>204.52</v>
      </c>
      <c r="E107">
        <v>43.85</v>
      </c>
      <c r="F107">
        <v>6.4</v>
      </c>
    </row>
    <row r="108" spans="1:6" x14ac:dyDescent="0.25">
      <c r="A108" s="1">
        <v>44049</v>
      </c>
      <c r="B108">
        <v>38.270000000000003</v>
      </c>
      <c r="C108">
        <v>216.35</v>
      </c>
      <c r="D108">
        <v>204.25</v>
      </c>
      <c r="E108">
        <v>43.64</v>
      </c>
      <c r="F108">
        <v>6.33</v>
      </c>
    </row>
    <row r="109" spans="1:6" x14ac:dyDescent="0.25">
      <c r="A109" s="1">
        <v>44050</v>
      </c>
      <c r="B109">
        <v>38.450000000000003</v>
      </c>
      <c r="C109">
        <v>212.48</v>
      </c>
      <c r="D109">
        <v>208.27</v>
      </c>
      <c r="E109">
        <v>43.44</v>
      </c>
      <c r="F109">
        <v>6.4</v>
      </c>
    </row>
    <row r="110" spans="1:6" x14ac:dyDescent="0.25">
      <c r="A110" s="1">
        <v>44053</v>
      </c>
      <c r="B110">
        <v>38.39</v>
      </c>
      <c r="C110">
        <v>208.25</v>
      </c>
      <c r="D110">
        <v>209.38</v>
      </c>
      <c r="E110">
        <v>44.51</v>
      </c>
      <c r="F110">
        <v>6.67</v>
      </c>
    </row>
    <row r="111" spans="1:6" x14ac:dyDescent="0.25">
      <c r="A111" s="1">
        <v>44054</v>
      </c>
      <c r="B111">
        <v>37.79</v>
      </c>
      <c r="C111">
        <v>203.38</v>
      </c>
      <c r="D111">
        <v>211.06</v>
      </c>
      <c r="E111">
        <v>44.97</v>
      </c>
      <c r="F111">
        <v>6.73</v>
      </c>
    </row>
    <row r="112" spans="1:6" x14ac:dyDescent="0.25">
      <c r="A112" s="1">
        <v>44055</v>
      </c>
      <c r="B112">
        <v>38.33</v>
      </c>
      <c r="C112">
        <v>209.19</v>
      </c>
      <c r="D112">
        <v>212.13</v>
      </c>
      <c r="E112">
        <v>44.09</v>
      </c>
      <c r="F112">
        <v>6.72</v>
      </c>
    </row>
    <row r="113" spans="1:6" x14ac:dyDescent="0.25">
      <c r="A113" s="1">
        <v>44056</v>
      </c>
      <c r="B113">
        <v>38.17</v>
      </c>
      <c r="C113">
        <v>208.7</v>
      </c>
      <c r="D113">
        <v>208.39</v>
      </c>
      <c r="E113">
        <v>43.01</v>
      </c>
      <c r="F113">
        <v>6.6</v>
      </c>
    </row>
    <row r="114" spans="1:6" x14ac:dyDescent="0.25">
      <c r="A114" s="1">
        <v>44057</v>
      </c>
      <c r="B114">
        <v>38.06</v>
      </c>
      <c r="C114">
        <v>208.9</v>
      </c>
      <c r="D114">
        <v>207.97</v>
      </c>
      <c r="E114">
        <v>43.2</v>
      </c>
      <c r="F114">
        <v>6.66</v>
      </c>
    </row>
    <row r="115" spans="1:6" x14ac:dyDescent="0.25">
      <c r="A115" s="1">
        <v>44060</v>
      </c>
      <c r="B115">
        <v>38.35</v>
      </c>
      <c r="C115">
        <v>210.28</v>
      </c>
      <c r="D115">
        <v>203.07</v>
      </c>
      <c r="E115">
        <v>42.64</v>
      </c>
      <c r="F115">
        <v>6.47</v>
      </c>
    </row>
    <row r="116" spans="1:6" x14ac:dyDescent="0.25">
      <c r="A116" s="1">
        <v>44061</v>
      </c>
      <c r="B116">
        <v>38.36</v>
      </c>
      <c r="C116">
        <v>211.49</v>
      </c>
      <c r="D116">
        <v>201.31</v>
      </c>
      <c r="E116">
        <v>42.43</v>
      </c>
      <c r="F116">
        <v>6.44</v>
      </c>
    </row>
    <row r="117" spans="1:6" x14ac:dyDescent="0.25">
      <c r="A117" s="1">
        <v>44062</v>
      </c>
      <c r="B117">
        <v>38.26</v>
      </c>
      <c r="C117">
        <v>209.7</v>
      </c>
      <c r="D117">
        <v>203.02</v>
      </c>
      <c r="E117">
        <v>41.96</v>
      </c>
      <c r="F117">
        <v>6.38</v>
      </c>
    </row>
    <row r="118" spans="1:6" x14ac:dyDescent="0.25">
      <c r="A118" s="1">
        <v>44063</v>
      </c>
      <c r="B118">
        <v>38.72</v>
      </c>
      <c r="C118">
        <v>214.58</v>
      </c>
      <c r="D118">
        <v>201.85</v>
      </c>
      <c r="E118">
        <v>41.32</v>
      </c>
      <c r="F118">
        <v>6.27</v>
      </c>
    </row>
    <row r="119" spans="1:6" x14ac:dyDescent="0.25">
      <c r="A119" s="1">
        <v>44064</v>
      </c>
      <c r="B119">
        <v>38.880000000000003</v>
      </c>
      <c r="C119">
        <v>213.02</v>
      </c>
      <c r="D119">
        <v>202.43</v>
      </c>
      <c r="E119">
        <v>41.01</v>
      </c>
      <c r="F119">
        <v>6.31</v>
      </c>
    </row>
    <row r="120" spans="1:6" x14ac:dyDescent="0.25">
      <c r="A120" s="1">
        <v>44067</v>
      </c>
      <c r="B120">
        <v>38.840000000000003</v>
      </c>
      <c r="C120">
        <v>213.69</v>
      </c>
      <c r="D120">
        <v>207.34</v>
      </c>
      <c r="E120">
        <v>42.22</v>
      </c>
      <c r="F120">
        <v>6.63</v>
      </c>
    </row>
    <row r="121" spans="1:6" x14ac:dyDescent="0.25">
      <c r="A121" s="1">
        <v>44068</v>
      </c>
      <c r="B121">
        <v>38.409999999999997</v>
      </c>
      <c r="C121">
        <v>216.47</v>
      </c>
      <c r="D121">
        <v>206</v>
      </c>
      <c r="E121">
        <v>40.880000000000003</v>
      </c>
      <c r="F121">
        <v>6.59</v>
      </c>
    </row>
    <row r="122" spans="1:6" x14ac:dyDescent="0.25">
      <c r="A122" s="1">
        <v>44069</v>
      </c>
      <c r="B122">
        <v>38.049999999999997</v>
      </c>
      <c r="C122">
        <v>221.15</v>
      </c>
      <c r="D122">
        <v>207.22</v>
      </c>
      <c r="E122">
        <v>40.01</v>
      </c>
      <c r="F122">
        <v>6.48</v>
      </c>
    </row>
    <row r="123" spans="1:6" x14ac:dyDescent="0.25">
      <c r="A123" s="1">
        <v>44070</v>
      </c>
      <c r="B123">
        <v>37.86</v>
      </c>
      <c r="C123">
        <v>226.58</v>
      </c>
      <c r="D123">
        <v>210.15</v>
      </c>
      <c r="E123">
        <v>39.74</v>
      </c>
      <c r="F123">
        <v>6.48</v>
      </c>
    </row>
    <row r="124" spans="1:6" x14ac:dyDescent="0.25">
      <c r="A124" s="1">
        <v>44071</v>
      </c>
      <c r="B124">
        <v>37.909999999999997</v>
      </c>
      <c r="C124">
        <v>228.91</v>
      </c>
      <c r="D124">
        <v>207.71</v>
      </c>
      <c r="E124">
        <v>40.69</v>
      </c>
      <c r="F124">
        <v>6.61</v>
      </c>
    </row>
    <row r="125" spans="1:6" x14ac:dyDescent="0.25">
      <c r="A125" s="1">
        <v>44074</v>
      </c>
      <c r="B125">
        <v>37.79</v>
      </c>
      <c r="C125">
        <v>225.53</v>
      </c>
      <c r="D125">
        <v>204.87</v>
      </c>
      <c r="E125">
        <v>39.94</v>
      </c>
      <c r="F125">
        <v>6.34</v>
      </c>
    </row>
    <row r="126" spans="1:6" x14ac:dyDescent="0.25">
      <c r="A126" s="1">
        <v>44075</v>
      </c>
      <c r="B126">
        <v>36.880000000000003</v>
      </c>
      <c r="C126">
        <v>227.27</v>
      </c>
      <c r="D126">
        <v>205.46</v>
      </c>
      <c r="E126">
        <v>39.43</v>
      </c>
      <c r="F126">
        <v>6.19</v>
      </c>
    </row>
    <row r="127" spans="1:6" x14ac:dyDescent="0.25">
      <c r="A127" s="1">
        <v>44076</v>
      </c>
      <c r="B127">
        <v>37.200000000000003</v>
      </c>
      <c r="C127">
        <v>231.65</v>
      </c>
      <c r="D127">
        <v>210.04</v>
      </c>
      <c r="E127">
        <v>39.19</v>
      </c>
      <c r="F127">
        <v>6.44</v>
      </c>
    </row>
    <row r="128" spans="1:6" x14ac:dyDescent="0.25">
      <c r="A128" s="1">
        <v>44077</v>
      </c>
      <c r="B128">
        <v>36.4</v>
      </c>
      <c r="C128">
        <v>217.3</v>
      </c>
      <c r="D128">
        <v>207.56</v>
      </c>
      <c r="E128">
        <v>39.11</v>
      </c>
      <c r="F128">
        <v>6.32</v>
      </c>
    </row>
    <row r="129" spans="1:6" x14ac:dyDescent="0.25">
      <c r="A129" s="1">
        <v>44078</v>
      </c>
      <c r="B129">
        <v>36.36</v>
      </c>
      <c r="C129">
        <v>214.25</v>
      </c>
      <c r="D129">
        <v>210.94</v>
      </c>
      <c r="E129">
        <v>39.08</v>
      </c>
      <c r="F129">
        <v>6.42</v>
      </c>
    </row>
    <row r="130" spans="1:6" x14ac:dyDescent="0.25">
      <c r="A130" s="1">
        <v>44082</v>
      </c>
      <c r="B130">
        <v>35.93</v>
      </c>
      <c r="C130">
        <v>202.66</v>
      </c>
      <c r="D130">
        <v>202.48</v>
      </c>
      <c r="E130">
        <v>38.18</v>
      </c>
      <c r="F130">
        <v>6.14</v>
      </c>
    </row>
    <row r="131" spans="1:6" x14ac:dyDescent="0.25">
      <c r="A131" s="1">
        <v>44083</v>
      </c>
      <c r="B131">
        <v>36.18</v>
      </c>
      <c r="C131">
        <v>211.29</v>
      </c>
      <c r="D131">
        <v>202.22</v>
      </c>
      <c r="E131">
        <v>37.950000000000003</v>
      </c>
      <c r="F131">
        <v>6.16</v>
      </c>
    </row>
    <row r="132" spans="1:6" x14ac:dyDescent="0.25">
      <c r="A132" s="1">
        <v>44084</v>
      </c>
      <c r="B132">
        <v>35.65</v>
      </c>
      <c r="C132">
        <v>205.37</v>
      </c>
      <c r="D132">
        <v>200.01</v>
      </c>
      <c r="E132">
        <v>37</v>
      </c>
      <c r="F132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F5A92-F8ED-4EEA-A02B-E70E2873D1C8}">
  <sheetPr codeName="Blad2"/>
  <dimension ref="A1:O131"/>
  <sheetViews>
    <sheetView workbookViewId="0">
      <selection activeCell="E2" sqref="E2"/>
    </sheetView>
  </sheetViews>
  <sheetFormatPr defaultRowHeight="15" x14ac:dyDescent="0.25"/>
  <cols>
    <col min="1" max="1" width="12.28515625" customWidth="1"/>
    <col min="2" max="2" width="12.7109375" bestFit="1" customWidth="1"/>
    <col min="3" max="3" width="14.42578125" customWidth="1"/>
    <col min="4" max="4" width="14.85546875" customWidth="1"/>
    <col min="5" max="5" width="12.7109375" bestFit="1" customWidth="1"/>
    <col min="6" max="6" width="16.28515625" customWidth="1"/>
    <col min="7" max="7" width="18.42578125" customWidth="1"/>
  </cols>
  <sheetData>
    <row r="1" spans="1:15" x14ac:dyDescent="0.25">
      <c r="A1" t="s">
        <v>16917</v>
      </c>
      <c r="B1">
        <f>B131/B6</f>
        <v>1.0511708586296615</v>
      </c>
      <c r="C1">
        <f>C131/C6</f>
        <v>1.3314069102659707</v>
      </c>
      <c r="D1">
        <f>D131/D6</f>
        <v>1.1442365066449689</v>
      </c>
      <c r="E1">
        <f>E131/E6</f>
        <v>0.90025339783460034</v>
      </c>
      <c r="F1">
        <f>F131/F6</f>
        <v>0.72542372881355932</v>
      </c>
      <c r="G1" t="s">
        <v>16918</v>
      </c>
      <c r="H1" t="s">
        <v>16908</v>
      </c>
      <c r="N1" t="s">
        <v>16942</v>
      </c>
      <c r="O1" t="s">
        <v>16943</v>
      </c>
    </row>
    <row r="2" spans="1:15" x14ac:dyDescent="0.25">
      <c r="A2" t="s">
        <v>16940</v>
      </c>
      <c r="B2">
        <f>MIN(B6:B131)/B$6</f>
        <v>0.82364845331020509</v>
      </c>
      <c r="C2">
        <f t="shared" ref="C2:F2" si="0">MIN(C6:C131)/C$6</f>
        <v>0.84153616703952272</v>
      </c>
      <c r="D2">
        <f t="shared" si="0"/>
        <v>0.732139951179821</v>
      </c>
      <c r="E2">
        <f t="shared" si="0"/>
        <v>0.72448744528910392</v>
      </c>
      <c r="F2">
        <f t="shared" si="0"/>
        <v>0.62033898305084756</v>
      </c>
      <c r="G2">
        <f>MIN(G6:G131)</f>
        <v>0.80194005687987935</v>
      </c>
      <c r="H2">
        <f>VLOOKUP(G2,$G$6:$H$131,2,0)</f>
        <v>43913</v>
      </c>
      <c r="K2" t="s">
        <v>16936</v>
      </c>
      <c r="L2">
        <f>MIN(B1:F1)</f>
        <v>0.72542372881355932</v>
      </c>
      <c r="M2" t="str">
        <f>HLOOKUP(L2,$B$1:$F$5,5,0)</f>
        <v>GE</v>
      </c>
      <c r="N2">
        <f>HLOOKUP(L2,$B$1:$F$5,2,0)</f>
        <v>0.62033898305084756</v>
      </c>
      <c r="O2">
        <f>HLOOKUP(L2,$B$1:$F$5,3,0)</f>
        <v>1</v>
      </c>
    </row>
    <row r="3" spans="1:15" x14ac:dyDescent="0.25">
      <c r="A3" t="s">
        <v>16941</v>
      </c>
      <c r="B3">
        <f>MAX(B6:B131)/B6</f>
        <v>1.1350101185313672</v>
      </c>
      <c r="C3">
        <f t="shared" ref="C3:F3" si="1">MAX(C6:C131)/C6</f>
        <v>1.4395351727566494</v>
      </c>
      <c r="D3">
        <f t="shared" si="1"/>
        <v>1.1977759696229997</v>
      </c>
      <c r="E3">
        <f t="shared" si="1"/>
        <v>1.2609997696383324</v>
      </c>
      <c r="F3">
        <f t="shared" si="1"/>
        <v>1</v>
      </c>
      <c r="G3">
        <f>MAX(G6:G131)</f>
        <v>1.2118412012350368</v>
      </c>
      <c r="H3">
        <f>VLOOKUP(G3,$G$6:$H$131,2,0)</f>
        <v>44076</v>
      </c>
      <c r="K3" t="s">
        <v>16937</v>
      </c>
      <c r="L3">
        <f>MAX(B1:F1)</f>
        <v>1.3314069102659707</v>
      </c>
      <c r="M3" t="str">
        <f>HLOOKUP(L3,$B$1:$F$5,5,0)</f>
        <v>Dell</v>
      </c>
      <c r="N3">
        <f>HLOOKUP(L3,$B$1:$F$5,2,0)</f>
        <v>0.84153616703952272</v>
      </c>
      <c r="O3">
        <f>HLOOKUP(L3,$B$1:$F$5,3,0)</f>
        <v>1.4395351727566494</v>
      </c>
    </row>
    <row r="5" spans="1:15" x14ac:dyDescent="0.25">
      <c r="A5" t="s">
        <v>16908</v>
      </c>
      <c r="B5" t="str">
        <f>Assets!B1</f>
        <v>PFE</v>
      </c>
      <c r="C5" t="str">
        <f>Assets!C1</f>
        <v>Dell</v>
      </c>
      <c r="D5" t="str">
        <f>Assets!D1</f>
        <v>cemb</v>
      </c>
      <c r="E5" t="str">
        <f>Assets!E1</f>
        <v>XOM</v>
      </c>
      <c r="F5" t="str">
        <f>Assets!F1</f>
        <v>GE</v>
      </c>
      <c r="G5" t="s">
        <v>16934</v>
      </c>
      <c r="H5" t="s">
        <v>16908</v>
      </c>
    </row>
    <row r="6" spans="1:15" x14ac:dyDescent="0.25">
      <c r="A6" s="1">
        <f>Assets!A4</f>
        <v>43900</v>
      </c>
      <c r="B6">
        <f>Assets!B4/Assets!B$4*Assets!B$2</f>
        <v>0.2</v>
      </c>
      <c r="C6">
        <f>Assets!C4/Assets!C$4*Assets!C$2</f>
        <v>0.5</v>
      </c>
      <c r="D6">
        <f>Assets!D4/Assets!D$4*Assets!D$2</f>
        <v>0.1</v>
      </c>
      <c r="E6">
        <f>Assets!E4/Assets!E$4*Assets!E$2</f>
        <v>0.1</v>
      </c>
      <c r="F6">
        <f>Assets!F4/Assets!F$4*Assets!F$2</f>
        <v>0.1</v>
      </c>
      <c r="G6">
        <f>SUM(B6:F6)</f>
        <v>0.99999999999999989</v>
      </c>
      <c r="H6" s="1">
        <f>A6</f>
        <v>43900</v>
      </c>
    </row>
    <row r="7" spans="1:15" x14ac:dyDescent="0.25">
      <c r="A7" s="1">
        <f>Assets!A5</f>
        <v>43901</v>
      </c>
      <c r="B7">
        <f>Assets!B5/Assets!B$4*Assets!B$2</f>
        <v>0.18600751662330153</v>
      </c>
      <c r="C7">
        <f>Assets!C5/Assets!C$4*Assets!C$2</f>
        <v>0.47734899328859065</v>
      </c>
      <c r="D7">
        <f>Assets!D5/Assets!D$4*Assets!D$2</f>
        <v>9.324111743965284E-2</v>
      </c>
      <c r="E7">
        <f>Assets!E5/Assets!E$4*Assets!E$2</f>
        <v>9.6705828150195808E-2</v>
      </c>
      <c r="F7">
        <f>Assets!F5/Assets!F$4*Assets!F$2</f>
        <v>9.2768361581920922E-2</v>
      </c>
      <c r="G7">
        <f t="shared" ref="G7:G70" si="2">SUM(B7:F7)</f>
        <v>0.94607181708366173</v>
      </c>
      <c r="H7" s="1">
        <f t="shared" ref="H7:H70" si="3">A7</f>
        <v>43901</v>
      </c>
    </row>
    <row r="8" spans="1:15" x14ac:dyDescent="0.25">
      <c r="A8" s="1">
        <f>Assets!A6</f>
        <v>43902</v>
      </c>
      <c r="B8">
        <f>Assets!B6/Assets!B$4*Assets!B$2</f>
        <v>0.17357617808615206</v>
      </c>
      <c r="C8">
        <f>Assets!C6/Assets!C$4*Assets!C$2</f>
        <v>0.43207805120556803</v>
      </c>
      <c r="D8">
        <f>Assets!D6/Assets!D$4*Assets!D$2</f>
        <v>8.1735828586927059E-2</v>
      </c>
      <c r="E8">
        <f>Assets!E6/Assets!E$4*Assets!E$2</f>
        <v>8.5648468094909017E-2</v>
      </c>
      <c r="F8">
        <f>Assets!F6/Assets!F$4*Assets!F$2</f>
        <v>8.1694915254237305E-2</v>
      </c>
      <c r="G8">
        <f t="shared" si="2"/>
        <v>0.85473344122779349</v>
      </c>
      <c r="H8" s="1">
        <f t="shared" si="3"/>
        <v>43902</v>
      </c>
    </row>
    <row r="9" spans="1:15" x14ac:dyDescent="0.25">
      <c r="A9" s="1">
        <f>Assets!A7</f>
        <v>43903</v>
      </c>
      <c r="B9">
        <f>Assets!B7/Assets!B$4*Assets!B$2</f>
        <v>0.18912980630239953</v>
      </c>
      <c r="C9">
        <f>Assets!C7/Assets!C$4*Assets!C$2</f>
        <v>0.49350608998260015</v>
      </c>
      <c r="D9">
        <f>Assets!D7/Assets!D$4*Assets!D$2</f>
        <v>9.6105234608082457E-2</v>
      </c>
      <c r="E9">
        <f>Assets!E7/Assets!E$4*Assets!E$2</f>
        <v>8.7813867772402687E-2</v>
      </c>
      <c r="F9">
        <f>Assets!F7/Assets!F$4*Assets!F$2</f>
        <v>8.8700564971751425E-2</v>
      </c>
      <c r="G9">
        <f t="shared" si="2"/>
        <v>0.95525556363723618</v>
      </c>
      <c r="H9" s="1">
        <f t="shared" si="3"/>
        <v>43903</v>
      </c>
    </row>
    <row r="10" spans="1:15" x14ac:dyDescent="0.25">
      <c r="A10" s="1">
        <f>Assets!A8</f>
        <v>43906</v>
      </c>
      <c r="B10">
        <f>Assets!B8/Assets!B$4*Assets!B$2</f>
        <v>0.17450130095403293</v>
      </c>
      <c r="C10">
        <f>Assets!C8/Assets!C$4*Assets!C$2</f>
        <v>0.42076808351976136</v>
      </c>
      <c r="D10">
        <f>Assets!D8/Assets!D$4*Assets!D$2</f>
        <v>8.389476539191755E-2</v>
      </c>
      <c r="E10">
        <f>Assets!E8/Assets!E$4*Assets!E$2</f>
        <v>7.9451739230592053E-2</v>
      </c>
      <c r="F10">
        <f>Assets!F8/Assets!F$4*Assets!F$2</f>
        <v>7.52542372881356E-2</v>
      </c>
      <c r="G10">
        <f t="shared" si="2"/>
        <v>0.83387012638443947</v>
      </c>
      <c r="H10" s="1">
        <f t="shared" si="3"/>
        <v>43906</v>
      </c>
    </row>
    <row r="11" spans="1:15" x14ac:dyDescent="0.25">
      <c r="A11" s="1">
        <f>Assets!A9</f>
        <v>43907</v>
      </c>
      <c r="B11">
        <f>Assets!B9/Assets!B$4*Assets!B$2</f>
        <v>0.18594969644405895</v>
      </c>
      <c r="C11">
        <f>Assets!C9/Assets!C$4*Assets!C$2</f>
        <v>0.45541262739249316</v>
      </c>
      <c r="D11">
        <f>Assets!D9/Assets!D$4*Assets!D$2</f>
        <v>8.6069975589910502E-2</v>
      </c>
      <c r="E11">
        <f>Assets!E9/Assets!E$4*Assets!E$2</f>
        <v>8.4796129923980668E-2</v>
      </c>
      <c r="F11">
        <f>Assets!F9/Assets!F$4*Assets!F$2</f>
        <v>8.0000000000000016E-2</v>
      </c>
      <c r="G11">
        <f t="shared" si="2"/>
        <v>0.89222842935044322</v>
      </c>
      <c r="H11" s="1">
        <f t="shared" si="3"/>
        <v>43907</v>
      </c>
    </row>
    <row r="12" spans="1:15" x14ac:dyDescent="0.25">
      <c r="A12" s="1">
        <f>Assets!A10</f>
        <v>43908</v>
      </c>
      <c r="B12">
        <f>Assets!B10/Assets!B$4*Assets!B$2</f>
        <v>0.18710610002891007</v>
      </c>
      <c r="C12">
        <f>Assets!C10/Assets!C$4*Assets!C$2</f>
        <v>0.43624161073825507</v>
      </c>
      <c r="D12">
        <f>Assets!D10/Assets!D$4*Assets!D$2</f>
        <v>7.5953349606726339E-2</v>
      </c>
      <c r="E12">
        <f>Assets!E10/Assets!E$4*Assets!E$2</f>
        <v>7.6295784381478937E-2</v>
      </c>
      <c r="F12">
        <f>Assets!F10/Assets!F$4*Assets!F$2</f>
        <v>7.4576271186440682E-2</v>
      </c>
      <c r="G12">
        <f t="shared" si="2"/>
        <v>0.850173115941811</v>
      </c>
      <c r="H12" s="1">
        <f t="shared" si="3"/>
        <v>43908</v>
      </c>
    </row>
    <row r="13" spans="1:15" x14ac:dyDescent="0.25">
      <c r="A13" s="1">
        <f>Assets!A11</f>
        <v>43909</v>
      </c>
      <c r="B13">
        <f>Assets!B11/Assets!B$4*Assets!B$2</f>
        <v>0.17588898525585428</v>
      </c>
      <c r="C13">
        <f>Assets!C11/Assets!C$4*Assets!C$2</f>
        <v>0.44341909023117082</v>
      </c>
      <c r="D13">
        <f>Assets!D11/Assets!D$4*Assets!D$2</f>
        <v>8.1090317331163564E-2</v>
      </c>
      <c r="E13">
        <f>Assets!E11/Assets!E$4*Assets!E$2</f>
        <v>7.9313522229900957E-2</v>
      </c>
      <c r="F13">
        <f>Assets!F11/Assets!F$4*Assets!F$2</f>
        <v>7.3220338983050859E-2</v>
      </c>
      <c r="G13">
        <f t="shared" si="2"/>
        <v>0.85293225403114037</v>
      </c>
      <c r="H13" s="1">
        <f t="shared" si="3"/>
        <v>43909</v>
      </c>
    </row>
    <row r="14" spans="1:15" x14ac:dyDescent="0.25">
      <c r="A14" s="1">
        <f>Assets!A12</f>
        <v>43910</v>
      </c>
      <c r="B14">
        <f>Assets!B12/Assets!B$4*Assets!B$2</f>
        <v>0.16773633998265394</v>
      </c>
      <c r="C14">
        <f>Assets!C12/Assets!C$4*Assets!C$2</f>
        <v>0.42676485210042259</v>
      </c>
      <c r="D14">
        <f>Assets!D12/Assets!D$4*Assets!D$2</f>
        <v>7.508001084892868E-2</v>
      </c>
      <c r="E14">
        <f>Assets!E12/Assets!E$4*Assets!E$2</f>
        <v>7.5420410043768732E-2</v>
      </c>
      <c r="F14">
        <f>Assets!F12/Assets!F$4*Assets!F$2</f>
        <v>7.36723163841808E-2</v>
      </c>
      <c r="G14">
        <f t="shared" si="2"/>
        <v>0.81867392935995476</v>
      </c>
      <c r="H14" s="1">
        <f t="shared" si="3"/>
        <v>43910</v>
      </c>
    </row>
    <row r="15" spans="1:15" x14ac:dyDescent="0.25">
      <c r="A15" s="1">
        <f>Assets!A13</f>
        <v>43913</v>
      </c>
      <c r="B15">
        <f>Assets!B13/Assets!B$4*Assets!B$2</f>
        <v>0.16472969066204102</v>
      </c>
      <c r="C15">
        <f>Assets!C13/Assets!C$4*Assets!C$2</f>
        <v>0.42250807854834699</v>
      </c>
      <c r="D15">
        <f>Assets!D13/Assets!D$4*Assets!D$2</f>
        <v>7.32139951179821E-2</v>
      </c>
      <c r="E15">
        <f>Assets!E13/Assets!E$4*Assets!E$2</f>
        <v>7.2448744528910397E-2</v>
      </c>
      <c r="F15">
        <f>Assets!F13/Assets!F$4*Assets!F$2</f>
        <v>6.9039548022598873E-2</v>
      </c>
      <c r="G15">
        <f t="shared" si="2"/>
        <v>0.80194005687987935</v>
      </c>
      <c r="H15" s="1">
        <f t="shared" si="3"/>
        <v>43913</v>
      </c>
    </row>
    <row r="16" spans="1:15" x14ac:dyDescent="0.25">
      <c r="A16" s="1">
        <f>Assets!A14</f>
        <v>43914</v>
      </c>
      <c r="B16">
        <f>Assets!B14/Assets!B$4*Assets!B$2</f>
        <v>0.17172593235039027</v>
      </c>
      <c r="C16">
        <f>Assets!C14/Assets!C$4*Assets!C$2</f>
        <v>0.46091225453641566</v>
      </c>
      <c r="D16">
        <f>Assets!D14/Assets!D$4*Assets!D$2</f>
        <v>8.3319772172497975E-2</v>
      </c>
      <c r="E16">
        <f>Assets!E14/Assets!E$4*Assets!E$2</f>
        <v>8.1640175074867538E-2</v>
      </c>
      <c r="F16">
        <f>Assets!F14/Assets!F$4*Assets!F$2</f>
        <v>7.9209039548022608E-2</v>
      </c>
      <c r="G16">
        <f t="shared" si="2"/>
        <v>0.87680717368219407</v>
      </c>
      <c r="H16" s="1">
        <f t="shared" si="3"/>
        <v>43914</v>
      </c>
    </row>
    <row r="17" spans="1:8" x14ac:dyDescent="0.25">
      <c r="A17" s="1">
        <f>Assets!A15</f>
        <v>43915</v>
      </c>
      <c r="B17">
        <f>Assets!B15/Assets!B$4*Assets!B$2</f>
        <v>0.17201503324660306</v>
      </c>
      <c r="C17">
        <f>Assets!C15/Assets!C$4*Assets!C$2</f>
        <v>0.45650012428535919</v>
      </c>
      <c r="D17">
        <f>Assets!D15/Assets!D$4*Assets!D$2</f>
        <v>8.4149715215622464E-2</v>
      </c>
      <c r="E17">
        <f>Assets!E15/Assets!E$4*Assets!E$2</f>
        <v>8.5901865929509338E-2</v>
      </c>
      <c r="F17">
        <f>Assets!F15/Assets!F$4*Assets!F$2</f>
        <v>8.5423728813559321E-2</v>
      </c>
      <c r="G17">
        <f t="shared" si="2"/>
        <v>0.88399046749065335</v>
      </c>
      <c r="H17" s="1">
        <f t="shared" si="3"/>
        <v>43915</v>
      </c>
    </row>
    <row r="18" spans="1:8" x14ac:dyDescent="0.25">
      <c r="A18" s="1">
        <f>Assets!A16</f>
        <v>43916</v>
      </c>
      <c r="B18">
        <f>Assets!B16/Assets!B$4*Assets!B$2</f>
        <v>0.18357906909511418</v>
      </c>
      <c r="C18">
        <f>Assets!C16/Assets!C$4*Assets!C$2</f>
        <v>0.48505468555804132</v>
      </c>
      <c r="D18">
        <f>Assets!D16/Assets!D$4*Assets!D$2</f>
        <v>8.9932194195823156E-2</v>
      </c>
      <c r="E18">
        <f>Assets!E16/Assets!E$4*Assets!E$2</f>
        <v>8.9426399447132016E-2</v>
      </c>
      <c r="F18">
        <f>Assets!F16/Assets!F$4*Assets!F$2</f>
        <v>9.1751412429378523E-2</v>
      </c>
      <c r="G18">
        <f t="shared" si="2"/>
        <v>0.93974376072548926</v>
      </c>
      <c r="H18" s="1">
        <f t="shared" si="3"/>
        <v>43916</v>
      </c>
    </row>
    <row r="19" spans="1:8" x14ac:dyDescent="0.25">
      <c r="A19" s="1">
        <f>Assets!A17</f>
        <v>43917</v>
      </c>
      <c r="B19">
        <f>Assets!B17/Assets!B$4*Assets!B$2</f>
        <v>0.17866435385949697</v>
      </c>
      <c r="C19">
        <f>Assets!C17/Assets!C$4*Assets!C$2</f>
        <v>0.46513795674869501</v>
      </c>
      <c r="D19">
        <f>Assets!D17/Assets!D$4*Assets!D$2</f>
        <v>8.5890968266883652E-2</v>
      </c>
      <c r="E19">
        <f>Assets!E17/Assets!E$4*Assets!E$2</f>
        <v>8.5118636258926531E-2</v>
      </c>
      <c r="F19">
        <f>Assets!F17/Assets!F$4*Assets!F$2</f>
        <v>8.6101694915254254E-2</v>
      </c>
      <c r="G19">
        <f t="shared" si="2"/>
        <v>0.90091361004925652</v>
      </c>
      <c r="H19" s="1">
        <f t="shared" si="3"/>
        <v>43917</v>
      </c>
    </row>
    <row r="20" spans="1:8" x14ac:dyDescent="0.25">
      <c r="A20" s="1">
        <f>Assets!A18</f>
        <v>43920</v>
      </c>
      <c r="B20">
        <f>Assets!B18/Assets!B$4*Assets!B$2</f>
        <v>0.1888985255854293</v>
      </c>
      <c r="C20">
        <f>Assets!C18/Assets!C$4*Assets!C$2</f>
        <v>0.49785607755406414</v>
      </c>
      <c r="D20">
        <f>Assets!D18/Assets!D$4*Assets!D$2</f>
        <v>8.6585299701654461E-2</v>
      </c>
      <c r="E20">
        <f>Assets!E18/Assets!E$4*Assets!E$2</f>
        <v>8.638562543192814E-2</v>
      </c>
      <c r="F20">
        <f>Assets!F18/Assets!F$4*Assets!F$2</f>
        <v>8.9152542372881366E-2</v>
      </c>
      <c r="G20">
        <f t="shared" si="2"/>
        <v>0.94887807064595742</v>
      </c>
      <c r="H20" s="1">
        <f t="shared" si="3"/>
        <v>43920</v>
      </c>
    </row>
    <row r="21" spans="1:8" x14ac:dyDescent="0.25">
      <c r="A21" s="1">
        <f>Assets!A19</f>
        <v>43921</v>
      </c>
      <c r="B21">
        <f>Assets!B19/Assets!B$4*Assets!B$2</f>
        <v>0.18872506504770165</v>
      </c>
      <c r="C21">
        <f>Assets!C19/Assets!C$4*Assets!C$2</f>
        <v>0.49002609992542884</v>
      </c>
      <c r="D21">
        <f>Assets!D19/Assets!D$4*Assets!D$2</f>
        <v>8.3856794141578539E-2</v>
      </c>
      <c r="E21">
        <f>Assets!E19/Assets!E$4*Assets!E$2</f>
        <v>8.7468325270674968E-2</v>
      </c>
      <c r="F21">
        <f>Assets!F19/Assets!F$4*Assets!F$2</f>
        <v>8.9717514124293796E-2</v>
      </c>
      <c r="G21">
        <f t="shared" si="2"/>
        <v>0.93979379850967781</v>
      </c>
      <c r="H21" s="1">
        <f t="shared" si="3"/>
        <v>43921</v>
      </c>
    </row>
    <row r="22" spans="1:8" x14ac:dyDescent="0.25">
      <c r="A22" s="1">
        <f>Assets!A20</f>
        <v>43922</v>
      </c>
      <c r="B22">
        <f>Assets!B20/Assets!B$4*Assets!B$2</f>
        <v>0.18357906909511418</v>
      </c>
      <c r="C22">
        <f>Assets!C20/Assets!C$4*Assets!C$2</f>
        <v>0.47262614963957256</v>
      </c>
      <c r="D22">
        <f>Assets!D20/Assets!D$4*Assets!D$2</f>
        <v>7.8812042310821812E-2</v>
      </c>
      <c r="E22">
        <f>Assets!E20/Assets!E$4*Assets!E$2</f>
        <v>8.6454733932273681E-2</v>
      </c>
      <c r="F22">
        <f>Assets!F20/Assets!F$4*Assets!F$2</f>
        <v>7.9548022598870061E-2</v>
      </c>
      <c r="G22">
        <f t="shared" si="2"/>
        <v>0.90102001757665229</v>
      </c>
      <c r="H22" s="1">
        <f t="shared" si="3"/>
        <v>43922</v>
      </c>
    </row>
    <row r="23" spans="1:8" x14ac:dyDescent="0.25">
      <c r="A23" s="1">
        <f>Assets!A21</f>
        <v>43923</v>
      </c>
      <c r="B23">
        <f>Assets!B21/Assets!B$4*Assets!B$2</f>
        <v>0.19005492917028041</v>
      </c>
      <c r="C23">
        <f>Assets!C21/Assets!C$4*Assets!C$2</f>
        <v>0.48241362167536667</v>
      </c>
      <c r="D23">
        <f>Assets!D21/Assets!D$4*Assets!D$2</f>
        <v>8.1328993761866031E-2</v>
      </c>
      <c r="E23">
        <f>Assets!E21/Assets!E$4*Assets!E$2</f>
        <v>9.3066113798663919E-2</v>
      </c>
      <c r="F23">
        <f>Assets!F21/Assets!F$4*Assets!F$2</f>
        <v>7.796610169491526E-2</v>
      </c>
      <c r="G23">
        <f t="shared" si="2"/>
        <v>0.9248297601010923</v>
      </c>
      <c r="H23" s="1">
        <f t="shared" si="3"/>
        <v>43923</v>
      </c>
    </row>
    <row r="24" spans="1:8" x14ac:dyDescent="0.25">
      <c r="A24" s="1">
        <f>Assets!A22</f>
        <v>43924</v>
      </c>
      <c r="B24">
        <f>Assets!B22/Assets!B$4*Assets!B$2</f>
        <v>0.19450708297195721</v>
      </c>
      <c r="C24">
        <f>Assets!C22/Assets!C$4*Assets!C$2</f>
        <v>0.47797042008451412</v>
      </c>
      <c r="D24">
        <f>Assets!D22/Assets!D$4*Assets!D$2</f>
        <v>7.9701654461621918E-2</v>
      </c>
      <c r="E24">
        <f>Assets!E22/Assets!E$4*Assets!E$2</f>
        <v>9.0324809951624063E-2</v>
      </c>
      <c r="F24">
        <f>Assets!F22/Assets!F$4*Assets!F$2</f>
        <v>7.6045197740113007E-2</v>
      </c>
      <c r="G24">
        <f t="shared" si="2"/>
        <v>0.91854916520983032</v>
      </c>
      <c r="H24" s="1">
        <f t="shared" si="3"/>
        <v>43924</v>
      </c>
    </row>
    <row r="25" spans="1:8" x14ac:dyDescent="0.25">
      <c r="A25" s="1">
        <f>Assets!A23</f>
        <v>43927</v>
      </c>
      <c r="B25">
        <f>Assets!B23/Assets!B$4*Assets!B$2</f>
        <v>0.19988435964151488</v>
      </c>
      <c r="C25">
        <f>Assets!C23/Assets!C$4*Assets!C$2</f>
        <v>0.51351603281133484</v>
      </c>
      <c r="D25">
        <f>Assets!D23/Assets!D$4*Assets!D$2</f>
        <v>8.5831299159208035E-2</v>
      </c>
      <c r="E25">
        <f>Assets!E23/Assets!E$4*Assets!E$2</f>
        <v>9.3227366966136843E-2</v>
      </c>
      <c r="F25">
        <f>Assets!F23/Assets!F$4*Assets!F$2</f>
        <v>8.1694915254237305E-2</v>
      </c>
      <c r="G25">
        <f t="shared" si="2"/>
        <v>0.97415397383243196</v>
      </c>
      <c r="H25" s="1">
        <f t="shared" si="3"/>
        <v>43927</v>
      </c>
    </row>
    <row r="26" spans="1:8" x14ac:dyDescent="0.25">
      <c r="A26" s="1">
        <f>Assets!A24</f>
        <v>43928</v>
      </c>
      <c r="B26">
        <f>Assets!B24/Assets!B$4*Assets!B$2</f>
        <v>0.19433362243422952</v>
      </c>
      <c r="C26">
        <f>Assets!C24/Assets!C$4*Assets!C$2</f>
        <v>0.50798533432761628</v>
      </c>
      <c r="D26">
        <f>Assets!D24/Assets!D$4*Assets!D$2</f>
        <v>9.0056956875508562E-2</v>
      </c>
      <c r="E26">
        <f>Assets!E24/Assets!E$4*Assets!E$2</f>
        <v>9.500115180833911E-2</v>
      </c>
      <c r="F26">
        <f>Assets!F24/Assets!F$4*Assets!F$2</f>
        <v>7.9435028248587586E-2</v>
      </c>
      <c r="G26">
        <f t="shared" si="2"/>
        <v>0.96681209369428101</v>
      </c>
      <c r="H26" s="1">
        <f t="shared" si="3"/>
        <v>43928</v>
      </c>
    </row>
    <row r="27" spans="1:8" x14ac:dyDescent="0.25">
      <c r="A27" s="1">
        <f>Assets!A25</f>
        <v>43929</v>
      </c>
      <c r="B27">
        <f>Assets!B25/Assets!B$4*Assets!B$2</f>
        <v>0.20005782017924256</v>
      </c>
      <c r="C27">
        <f>Assets!C25/Assets!C$4*Assets!C$2</f>
        <v>0.51308103405418848</v>
      </c>
      <c r="D27">
        <f>Assets!D25/Assets!D$4*Assets!D$2</f>
        <v>9.5991320857065382E-2</v>
      </c>
      <c r="E27">
        <f>Assets!E25/Assets!E$4*Assets!E$2</f>
        <v>0.10101359133840132</v>
      </c>
      <c r="F27">
        <f>Assets!F25/Assets!F$4*Assets!F$2</f>
        <v>8.2485875706214698E-2</v>
      </c>
      <c r="G27">
        <f t="shared" si="2"/>
        <v>0.99262964213511251</v>
      </c>
      <c r="H27" s="1">
        <f t="shared" si="3"/>
        <v>43929</v>
      </c>
    </row>
    <row r="28" spans="1:8" x14ac:dyDescent="0.25">
      <c r="A28" s="1">
        <f>Assets!A26</f>
        <v>43930</v>
      </c>
      <c r="B28">
        <f>Assets!B26/Assets!B$4*Assets!B$2</f>
        <v>0.20462561433940443</v>
      </c>
      <c r="C28">
        <f>Assets!C26/Assets!C$4*Assets!C$2</f>
        <v>0.51311210539398455</v>
      </c>
      <c r="D28">
        <f>Assets!D26/Assets!D$4*Assets!D$2</f>
        <v>9.9951179820992678E-2</v>
      </c>
      <c r="E28">
        <f>Assets!E26/Assets!E$4*Assets!E$2</f>
        <v>9.935498733010828E-2</v>
      </c>
      <c r="F28">
        <f>Assets!F26/Assets!F$4*Assets!F$2</f>
        <v>8.067796610169492E-2</v>
      </c>
      <c r="G28">
        <f t="shared" si="2"/>
        <v>0.99772185298618488</v>
      </c>
      <c r="H28" s="1">
        <f t="shared" si="3"/>
        <v>43930</v>
      </c>
    </row>
    <row r="29" spans="1:8" x14ac:dyDescent="0.25">
      <c r="A29" s="1">
        <f>Assets!A27</f>
        <v>43934</v>
      </c>
      <c r="B29">
        <f>Assets!B27/Assets!B$4*Assets!B$2</f>
        <v>0.20318010985834056</v>
      </c>
      <c r="C29">
        <f>Assets!C27/Assets!C$4*Assets!C$2</f>
        <v>0.51426174496644295</v>
      </c>
      <c r="D29">
        <f>Assets!D27/Assets!D$4*Assets!D$2</f>
        <v>9.7195551939246005E-2</v>
      </c>
      <c r="E29">
        <f>Assets!E27/Assets!E$4*Assets!E$2</f>
        <v>9.8502649159179917E-2</v>
      </c>
      <c r="F29">
        <f>Assets!F27/Assets!F$4*Assets!F$2</f>
        <v>7.9322033898305083E-2</v>
      </c>
      <c r="G29">
        <f t="shared" si="2"/>
        <v>0.99246208982151451</v>
      </c>
      <c r="H29" s="1">
        <f t="shared" si="3"/>
        <v>43934</v>
      </c>
    </row>
    <row r="30" spans="1:8" x14ac:dyDescent="0.25">
      <c r="A30" s="1">
        <f>Assets!A28</f>
        <v>43935</v>
      </c>
      <c r="B30">
        <f>Assets!B28/Assets!B$4*Assets!B$2</f>
        <v>0.21069673315987278</v>
      </c>
      <c r="C30">
        <f>Assets!C28/Assets!C$4*Assets!C$2</f>
        <v>0.53970917225950787</v>
      </c>
      <c r="D30">
        <f>Assets!D28/Assets!D$4*Assets!D$2</f>
        <v>9.6680227827502033E-2</v>
      </c>
      <c r="E30">
        <f>Assets!E28/Assets!E$4*Assets!E$2</f>
        <v>9.7742455655378965E-2</v>
      </c>
      <c r="F30">
        <f>Assets!F28/Assets!F$4*Assets!F$2</f>
        <v>7.8305084745762712E-2</v>
      </c>
      <c r="G30">
        <f t="shared" si="2"/>
        <v>1.0231336736480245</v>
      </c>
      <c r="H30" s="1">
        <f t="shared" si="3"/>
        <v>43935</v>
      </c>
    </row>
    <row r="31" spans="1:8" x14ac:dyDescent="0.25">
      <c r="A31" s="1">
        <f>Assets!A29</f>
        <v>43936</v>
      </c>
      <c r="B31">
        <f>Assets!B29/Assets!B$4*Assets!B$2</f>
        <v>0.20797918473547267</v>
      </c>
      <c r="C31">
        <f>Assets!C29/Assets!C$4*Assets!C$2</f>
        <v>0.53405418841660457</v>
      </c>
      <c r="D31">
        <f>Assets!D29/Assets!D$4*Assets!D$2</f>
        <v>9.6837537293192319E-2</v>
      </c>
      <c r="E31">
        <f>Assets!E29/Assets!E$4*Assets!E$2</f>
        <v>9.3250403132918686E-2</v>
      </c>
      <c r="F31">
        <f>Assets!F29/Assets!F$4*Assets!F$2</f>
        <v>7.3446327683615822E-2</v>
      </c>
      <c r="G31">
        <f t="shared" si="2"/>
        <v>1.005567641261804</v>
      </c>
      <c r="H31" s="1">
        <f t="shared" si="3"/>
        <v>43936</v>
      </c>
    </row>
    <row r="32" spans="1:8" x14ac:dyDescent="0.25">
      <c r="A32" s="1">
        <f>Assets!A30</f>
        <v>43937</v>
      </c>
      <c r="B32">
        <f>Assets!B30/Assets!B$4*Assets!B$2</f>
        <v>0.20745880312228968</v>
      </c>
      <c r="C32">
        <f>Assets!C30/Assets!C$4*Assets!C$2</f>
        <v>0.55008699975142927</v>
      </c>
      <c r="D32">
        <f>Assets!D30/Assets!D$4*Assets!D$2</f>
        <v>9.6034716571738551E-2</v>
      </c>
      <c r="E32">
        <f>Assets!E30/Assets!E$4*Assets!E$2</f>
        <v>9.0186592950932967E-2</v>
      </c>
      <c r="F32">
        <f>Assets!F30/Assets!F$4*Assets!F$2</f>
        <v>7.0508474576271199E-2</v>
      </c>
      <c r="G32">
        <f t="shared" si="2"/>
        <v>1.0142755869726618</v>
      </c>
      <c r="H32" s="1">
        <f t="shared" si="3"/>
        <v>43937</v>
      </c>
    </row>
    <row r="33" spans="1:8" x14ac:dyDescent="0.25">
      <c r="A33" s="1">
        <f>Assets!A31</f>
        <v>43938</v>
      </c>
      <c r="B33">
        <f>Assets!B31/Assets!B$4*Assets!B$2</f>
        <v>0.21341428158427289</v>
      </c>
      <c r="C33">
        <f>Assets!C31/Assets!C$4*Assets!C$2</f>
        <v>0.55493412875963211</v>
      </c>
      <c r="D33">
        <f>Assets!D31/Assets!D$4*Assets!D$2</f>
        <v>9.9533496067263361E-2</v>
      </c>
      <c r="E33">
        <f>Assets!E31/Assets!E$4*Assets!E$2</f>
        <v>9.9562312831144917E-2</v>
      </c>
      <c r="F33">
        <f>Assets!F31/Assets!F$4*Assets!F$2</f>
        <v>7.7288135593220342E-2</v>
      </c>
      <c r="G33">
        <f t="shared" si="2"/>
        <v>1.0447323548355336</v>
      </c>
      <c r="H33" s="1">
        <f t="shared" si="3"/>
        <v>43938</v>
      </c>
    </row>
    <row r="34" spans="1:8" x14ac:dyDescent="0.25">
      <c r="A34" s="1">
        <f>Assets!A32</f>
        <v>43941</v>
      </c>
      <c r="B34">
        <f>Assets!B32/Assets!B$4*Assets!B$2</f>
        <v>0.20861520670714079</v>
      </c>
      <c r="C34">
        <f>Assets!C32/Assets!C$4*Assets!C$2</f>
        <v>0.54393487447178723</v>
      </c>
      <c r="D34">
        <f>Assets!D32/Assets!D$4*Assets!D$2</f>
        <v>9.7857336588011948E-2</v>
      </c>
      <c r="E34">
        <f>Assets!E32/Assets!E$4*Assets!E$2</f>
        <v>9.4862934807648014E-2</v>
      </c>
      <c r="F34">
        <f>Assets!F32/Assets!F$4*Assets!F$2</f>
        <v>7.3559322033898311E-2</v>
      </c>
      <c r="G34">
        <f t="shared" si="2"/>
        <v>1.0188296746084864</v>
      </c>
      <c r="H34" s="1">
        <f t="shared" si="3"/>
        <v>43941</v>
      </c>
    </row>
    <row r="35" spans="1:8" x14ac:dyDescent="0.25">
      <c r="A35" s="1">
        <f>Assets!A33</f>
        <v>43942</v>
      </c>
      <c r="B35">
        <f>Assets!B33/Assets!B$4*Assets!B$2</f>
        <v>0.20595547846198323</v>
      </c>
      <c r="C35">
        <f>Assets!C33/Assets!C$4*Assets!C$2</f>
        <v>0.52143922445935875</v>
      </c>
      <c r="D35">
        <f>Assets!D33/Assets!D$4*Assets!D$2</f>
        <v>9.4282614591809075E-2</v>
      </c>
      <c r="E35">
        <f>Assets!E33/Assets!E$4*Assets!E$2</f>
        <v>9.435613913844737E-2</v>
      </c>
      <c r="F35">
        <f>Assets!F33/Assets!F$4*Assets!F$2</f>
        <v>7.3220338983050859E-2</v>
      </c>
      <c r="G35">
        <f t="shared" si="2"/>
        <v>0.98925379563464921</v>
      </c>
      <c r="H35" s="1">
        <f t="shared" si="3"/>
        <v>43942</v>
      </c>
    </row>
    <row r="36" spans="1:8" x14ac:dyDescent="0.25">
      <c r="A36" s="1">
        <f>Assets!A34</f>
        <v>43943</v>
      </c>
      <c r="B36">
        <f>Assets!B34/Assets!B$4*Assets!B$2</f>
        <v>0.20959814975426425</v>
      </c>
      <c r="C36">
        <f>Assets!C34/Assets!C$4*Assets!C$2</f>
        <v>0.53914988814317677</v>
      </c>
      <c r="D36">
        <f>Assets!D34/Assets!D$4*Assets!D$2</f>
        <v>9.5459723352318962E-2</v>
      </c>
      <c r="E36">
        <f>Assets!E34/Assets!E$4*Assets!E$2</f>
        <v>9.7051370651923541E-2</v>
      </c>
      <c r="F36">
        <f>Assets!F34/Assets!F$4*Assets!F$2</f>
        <v>7.2655367231638415E-2</v>
      </c>
      <c r="G36">
        <f t="shared" si="2"/>
        <v>1.013914499133322</v>
      </c>
      <c r="H36" s="1">
        <f t="shared" si="3"/>
        <v>43943</v>
      </c>
    </row>
    <row r="37" spans="1:8" x14ac:dyDescent="0.25">
      <c r="A37" s="1">
        <f>Assets!A35</f>
        <v>43944</v>
      </c>
      <c r="B37">
        <f>Assets!B35/Assets!B$4*Assets!B$2</f>
        <v>0.21214223764093668</v>
      </c>
      <c r="C37">
        <f>Assets!C35/Assets!C$4*Assets!C$2</f>
        <v>0.53262490678598062</v>
      </c>
      <c r="D37">
        <f>Assets!D35/Assets!D$4*Assets!D$2</f>
        <v>9.4955248169243306E-2</v>
      </c>
      <c r="E37">
        <f>Assets!E35/Assets!E$4*Assets!E$2</f>
        <v>0.10009214466712742</v>
      </c>
      <c r="F37">
        <f>Assets!F35/Assets!F$4*Assets!F$2</f>
        <v>7.36723163841808E-2</v>
      </c>
      <c r="G37">
        <f t="shared" si="2"/>
        <v>1.0134868536474688</v>
      </c>
      <c r="H37" s="1">
        <f t="shared" si="3"/>
        <v>43944</v>
      </c>
    </row>
    <row r="38" spans="1:8" x14ac:dyDescent="0.25">
      <c r="A38" s="1">
        <f>Assets!A36</f>
        <v>43945</v>
      </c>
      <c r="B38">
        <f>Assets!B36/Assets!B$4*Assets!B$2</f>
        <v>0.21613183000867303</v>
      </c>
      <c r="C38">
        <f>Assets!C36/Assets!C$4*Assets!C$2</f>
        <v>0.54235023614218247</v>
      </c>
      <c r="D38">
        <f>Assets!D36/Assets!D$4*Assets!D$2</f>
        <v>9.601301871440196E-2</v>
      </c>
      <c r="E38">
        <f>Assets!E36/Assets!E$4*Assets!E$2</f>
        <v>0.10073715733701911</v>
      </c>
      <c r="F38">
        <f>Assets!F36/Assets!F$4*Assets!F$2</f>
        <v>7.0734463276836163E-2</v>
      </c>
      <c r="G38">
        <f t="shared" si="2"/>
        <v>1.0259667054791128</v>
      </c>
      <c r="H38" s="1">
        <f t="shared" si="3"/>
        <v>43945</v>
      </c>
    </row>
    <row r="39" spans="1:8" x14ac:dyDescent="0.25">
      <c r="A39" s="1">
        <f>Assets!A37</f>
        <v>43948</v>
      </c>
      <c r="B39">
        <f>Assets!B37/Assets!B$4*Assets!B$2</f>
        <v>0.22162474703671578</v>
      </c>
      <c r="C39">
        <f>Assets!C37/Assets!C$4*Assets!C$2</f>
        <v>0.5407966691523739</v>
      </c>
      <c r="D39">
        <f>Assets!D37/Assets!D$4*Assets!D$2</f>
        <v>9.9560618388934097E-2</v>
      </c>
      <c r="E39">
        <f>Assets!E37/Assets!E$4*Assets!E$2</f>
        <v>0.10122091683943793</v>
      </c>
      <c r="F39">
        <f>Assets!F37/Assets!F$4*Assets!F$2</f>
        <v>7.2655367231638415E-2</v>
      </c>
      <c r="G39">
        <f t="shared" si="2"/>
        <v>1.0358583186491002</v>
      </c>
      <c r="H39" s="1">
        <f t="shared" si="3"/>
        <v>43948</v>
      </c>
    </row>
    <row r="40" spans="1:8" x14ac:dyDescent="0.25">
      <c r="A40" s="1">
        <f>Assets!A38</f>
        <v>43949</v>
      </c>
      <c r="B40">
        <f>Assets!B38/Assets!B$4*Assets!B$2</f>
        <v>0.21919629950852842</v>
      </c>
      <c r="C40">
        <f>Assets!C38/Assets!C$4*Assets!C$2</f>
        <v>0.52762242107879698</v>
      </c>
      <c r="D40">
        <f>Assets!D38/Assets!D$4*Assets!D$2</f>
        <v>0.1014429075128831</v>
      </c>
      <c r="E40">
        <f>Assets!E38/Assets!E$4*Assets!E$2</f>
        <v>0.10359364201796822</v>
      </c>
      <c r="F40">
        <f>Assets!F38/Assets!F$4*Assets!F$2</f>
        <v>7.6836158192090401E-2</v>
      </c>
      <c r="G40">
        <f t="shared" si="2"/>
        <v>1.0286914283102671</v>
      </c>
      <c r="H40" s="1">
        <f t="shared" si="3"/>
        <v>43949</v>
      </c>
    </row>
    <row r="41" spans="1:8" x14ac:dyDescent="0.25">
      <c r="A41" s="1">
        <f>Assets!A39</f>
        <v>43950</v>
      </c>
      <c r="B41">
        <f>Assets!B39/Assets!B$4*Assets!B$2</f>
        <v>0.22041052327262212</v>
      </c>
      <c r="C41">
        <f>Assets!C39/Assets!C$4*Assets!C$2</f>
        <v>0.55129878200348004</v>
      </c>
      <c r="D41">
        <f>Assets!D39/Assets!D$4*Assets!D$2</f>
        <v>0.1030810957417955</v>
      </c>
      <c r="E41">
        <f>Assets!E39/Assets!E$4*Assets!E$2</f>
        <v>0.10932964754664826</v>
      </c>
      <c r="F41">
        <f>Assets!F39/Assets!F$4*Assets!F$2</f>
        <v>7.4350282485875704E-2</v>
      </c>
      <c r="G41">
        <f t="shared" si="2"/>
        <v>1.0584703310504215</v>
      </c>
      <c r="H41" s="1">
        <f t="shared" si="3"/>
        <v>43950</v>
      </c>
    </row>
    <row r="42" spans="1:8" x14ac:dyDescent="0.25">
      <c r="A42" s="1">
        <f>Assets!A40</f>
        <v>43951</v>
      </c>
      <c r="B42">
        <f>Assets!B40/Assets!B$4*Assets!B$2</f>
        <v>0.22179820757444346</v>
      </c>
      <c r="C42">
        <f>Assets!C40/Assets!C$4*Assets!C$2</f>
        <v>0.55682948048719871</v>
      </c>
      <c r="D42">
        <f>Assets!D40/Assets!D$4*Assets!D$2</f>
        <v>9.9495524816924336E-2</v>
      </c>
      <c r="E42">
        <f>Assets!E40/Assets!E$4*Assets!E$2</f>
        <v>0.10704906703524536</v>
      </c>
      <c r="F42">
        <f>Assets!F40/Assets!F$4*Assets!F$2</f>
        <v>7.6836158192090401E-2</v>
      </c>
      <c r="G42">
        <f t="shared" si="2"/>
        <v>1.0620084381059023</v>
      </c>
      <c r="H42" s="1">
        <f t="shared" si="3"/>
        <v>43951</v>
      </c>
    </row>
    <row r="43" spans="1:8" x14ac:dyDescent="0.25">
      <c r="A43" s="1">
        <f>Assets!A41</f>
        <v>43952</v>
      </c>
      <c r="B43">
        <f>Assets!B41/Assets!B$4*Assets!B$2</f>
        <v>0.21763515466897948</v>
      </c>
      <c r="C43">
        <f>Assets!C41/Assets!C$4*Assets!C$2</f>
        <v>0.54241237882177484</v>
      </c>
      <c r="D43">
        <f>Assets!D41/Assets!D$4*Assets!D$2</f>
        <v>9.6067263357743432E-2</v>
      </c>
      <c r="E43">
        <f>Assets!E41/Assets!E$4*Assets!E$2</f>
        <v>9.9378023496890122E-2</v>
      </c>
      <c r="F43">
        <f>Assets!F41/Assets!F$4*Assets!F$2</f>
        <v>7.3446327683615822E-2</v>
      </c>
      <c r="G43">
        <f t="shared" si="2"/>
        <v>1.0289391480290038</v>
      </c>
      <c r="H43" s="1">
        <f t="shared" si="3"/>
        <v>43952</v>
      </c>
    </row>
    <row r="44" spans="1:8" x14ac:dyDescent="0.25">
      <c r="A44" s="1">
        <f>Assets!A42</f>
        <v>43955</v>
      </c>
      <c r="B44">
        <f>Assets!B42/Assets!B$4*Assets!B$2</f>
        <v>0.21751951431049435</v>
      </c>
      <c r="C44">
        <f>Assets!C42/Assets!C$4*Assets!C$2</f>
        <v>0.55567984091474032</v>
      </c>
      <c r="D44">
        <f>Assets!D42/Assets!D$4*Assets!D$2</f>
        <v>9.5486845673989698E-2</v>
      </c>
      <c r="E44">
        <f>Assets!E42/Assets!E$4*Assets!E$2</f>
        <v>0.1033863165169316</v>
      </c>
      <c r="F44">
        <f>Assets!F42/Assets!F$4*Assets!F$2</f>
        <v>7.0169491525423733E-2</v>
      </c>
      <c r="G44">
        <f t="shared" si="2"/>
        <v>1.0422420089415798</v>
      </c>
      <c r="H44" s="1">
        <f t="shared" si="3"/>
        <v>43955</v>
      </c>
    </row>
    <row r="45" spans="1:8" x14ac:dyDescent="0.25">
      <c r="A45" s="1">
        <f>Assets!A43</f>
        <v>43956</v>
      </c>
      <c r="B45">
        <f>Assets!B43/Assets!B$4*Assets!B$2</f>
        <v>0.22266551026308179</v>
      </c>
      <c r="C45">
        <f>Assets!C43/Assets!C$4*Assets!C$2</f>
        <v>0.56164553815560525</v>
      </c>
      <c r="D45">
        <f>Assets!D43/Assets!D$4*Assets!D$2</f>
        <v>9.6718199077841072E-2</v>
      </c>
      <c r="E45">
        <f>Assets!E43/Assets!E$4*Assets!E$2</f>
        <v>0.10327113568302236</v>
      </c>
      <c r="F45">
        <f>Assets!F43/Assets!F$4*Assets!F$2</f>
        <v>7.0056497175141258E-2</v>
      </c>
      <c r="G45">
        <f t="shared" si="2"/>
        <v>1.0543568803546917</v>
      </c>
      <c r="H45" s="1">
        <f t="shared" si="3"/>
        <v>43956</v>
      </c>
    </row>
    <row r="46" spans="1:8" x14ac:dyDescent="0.25">
      <c r="A46" s="1">
        <f>Assets!A44</f>
        <v>43957</v>
      </c>
      <c r="B46">
        <f>Assets!B44/Assets!B$4*Assets!B$2</f>
        <v>0.22266551026308179</v>
      </c>
      <c r="C46">
        <f>Assets!C44/Assets!C$4*Assets!C$2</f>
        <v>0.56717623663932393</v>
      </c>
      <c r="D46">
        <f>Assets!D44/Assets!D$4*Assets!D$2</f>
        <v>9.5969622999728776E-2</v>
      </c>
      <c r="E46">
        <f>Assets!E44/Assets!E$4*Assets!E$2</f>
        <v>0.10133609767334717</v>
      </c>
      <c r="F46">
        <f>Assets!F44/Assets!F$4*Assets!F$2</f>
        <v>6.7570621468926562E-2</v>
      </c>
      <c r="G46">
        <f t="shared" si="2"/>
        <v>1.0547180890444081</v>
      </c>
      <c r="H46" s="1">
        <f t="shared" si="3"/>
        <v>43957</v>
      </c>
    </row>
    <row r="47" spans="1:8" x14ac:dyDescent="0.25">
      <c r="A47" s="1">
        <f>Assets!A45</f>
        <v>43958</v>
      </c>
      <c r="B47">
        <f>Assets!B45/Assets!B$4*Assets!B$2</f>
        <v>0.21370338248048568</v>
      </c>
      <c r="C47">
        <f>Assets!C45/Assets!C$4*Assets!C$2</f>
        <v>0.57046979865771819</v>
      </c>
      <c r="D47">
        <f>Assets!D45/Assets!D$4*Assets!D$2</f>
        <v>9.8898833740168168E-2</v>
      </c>
      <c r="E47">
        <f>Assets!E45/Assets!E$4*Assets!E$2</f>
        <v>0.10191200184289335</v>
      </c>
      <c r="F47">
        <f>Assets!F45/Assets!F$4*Assets!F$2</f>
        <v>6.9039548022598873E-2</v>
      </c>
      <c r="G47">
        <f t="shared" si="2"/>
        <v>1.0540235647438643</v>
      </c>
      <c r="H47" s="1">
        <f t="shared" si="3"/>
        <v>43958</v>
      </c>
    </row>
    <row r="48" spans="1:8" x14ac:dyDescent="0.25">
      <c r="A48" s="1">
        <f>Assets!A46</f>
        <v>43959</v>
      </c>
      <c r="B48">
        <f>Assets!B46/Assets!B$4*Assets!B$2</f>
        <v>0.21520670714079213</v>
      </c>
      <c r="C48">
        <f>Assets!C46/Assets!C$4*Assets!C$2</f>
        <v>0.57382550335570481</v>
      </c>
      <c r="D48">
        <f>Assets!D46/Assets!D$4*Assets!D$2</f>
        <v>0.10056414429075129</v>
      </c>
      <c r="E48">
        <f>Assets!E46/Assets!E$4*Assets!E$2</f>
        <v>0.10638101819857178</v>
      </c>
      <c r="F48">
        <f>Assets!F46/Assets!F$4*Assets!F$2</f>
        <v>7.1073446327683629E-2</v>
      </c>
      <c r="G48">
        <f t="shared" si="2"/>
        <v>1.0670508193135038</v>
      </c>
      <c r="H48" s="1">
        <f t="shared" si="3"/>
        <v>43959</v>
      </c>
    </row>
    <row r="49" spans="1:8" x14ac:dyDescent="0.25">
      <c r="A49" s="1">
        <f>Assets!A47</f>
        <v>43962</v>
      </c>
      <c r="B49">
        <f>Assets!B47/Assets!B$4*Assets!B$2</f>
        <v>0.22029488291413704</v>
      </c>
      <c r="C49">
        <f>Assets!C47/Assets!C$4*Assets!C$2</f>
        <v>0.58022619935371622</v>
      </c>
      <c r="D49">
        <f>Assets!D47/Assets!D$4*Assets!D$2</f>
        <v>9.9354488744236524E-2</v>
      </c>
      <c r="E49">
        <f>Assets!E47/Assets!E$4*Assets!E$2</f>
        <v>0.10536742686017049</v>
      </c>
      <c r="F49">
        <f>Assets!F47/Assets!F$4*Assets!F$2</f>
        <v>6.9943502824858769E-2</v>
      </c>
      <c r="G49">
        <f t="shared" si="2"/>
        <v>1.0751865006971191</v>
      </c>
      <c r="H49" s="1">
        <f t="shared" si="3"/>
        <v>43962</v>
      </c>
    </row>
    <row r="50" spans="1:8" x14ac:dyDescent="0.25">
      <c r="A50" s="1">
        <f>Assets!A48</f>
        <v>43963</v>
      </c>
      <c r="B50">
        <f>Assets!B48/Assets!B$4*Assets!B$2</f>
        <v>0.2160161896501879</v>
      </c>
      <c r="C50">
        <f>Assets!C48/Assets!C$4*Assets!C$2</f>
        <v>0.56708302261993537</v>
      </c>
      <c r="D50">
        <f>Assets!D48/Assets!D$4*Assets!D$2</f>
        <v>9.6126932465419049E-2</v>
      </c>
      <c r="E50">
        <f>Assets!E48/Assets!E$4*Assets!E$2</f>
        <v>0.10163556784151118</v>
      </c>
      <c r="F50">
        <f>Assets!F48/Assets!F$4*Assets!F$2</f>
        <v>6.7796610169491539E-2</v>
      </c>
      <c r="G50">
        <f t="shared" si="2"/>
        <v>1.0486583227465449</v>
      </c>
      <c r="H50" s="1">
        <f t="shared" si="3"/>
        <v>43963</v>
      </c>
    </row>
    <row r="51" spans="1:8" x14ac:dyDescent="0.25">
      <c r="A51" s="1">
        <f>Assets!A49</f>
        <v>43964</v>
      </c>
      <c r="B51">
        <f>Assets!B49/Assets!B$4*Assets!B$2</f>
        <v>0.21422376409366867</v>
      </c>
      <c r="C51">
        <f>Assets!C49/Assets!C$4*Assets!C$2</f>
        <v>0.55850733283619192</v>
      </c>
      <c r="D51">
        <f>Assets!D49/Assets!D$4*Assets!D$2</f>
        <v>9.3192297260645526E-2</v>
      </c>
      <c r="E51">
        <f>Assets!E49/Assets!E$4*Assets!E$2</f>
        <v>9.6590647316286582E-2</v>
      </c>
      <c r="F51">
        <f>Assets!F49/Assets!F$4*Assets!F$2</f>
        <v>6.5423728813559331E-2</v>
      </c>
      <c r="G51">
        <f t="shared" si="2"/>
        <v>1.0279377703203521</v>
      </c>
      <c r="H51" s="1">
        <f t="shared" si="3"/>
        <v>43964</v>
      </c>
    </row>
    <row r="52" spans="1:8" x14ac:dyDescent="0.25">
      <c r="A52" s="1">
        <f>Assets!A50</f>
        <v>43965</v>
      </c>
      <c r="B52">
        <f>Assets!B50/Assets!B$4*Assets!B$2</f>
        <v>0.219254119687771</v>
      </c>
      <c r="C52">
        <f>Assets!C50/Assets!C$4*Assets!C$2</f>
        <v>0.56093089734029333</v>
      </c>
      <c r="D52">
        <f>Assets!D50/Assets!D$4*Assets!D$2</f>
        <v>9.4629780309194472E-2</v>
      </c>
      <c r="E52">
        <f>Assets!E50/Assets!E$4*Assets!E$2</f>
        <v>9.7442985487214931E-2</v>
      </c>
      <c r="F52">
        <f>Assets!F50/Assets!F$4*Assets!F$2</f>
        <v>6.4406779661016961E-2</v>
      </c>
      <c r="G52">
        <f t="shared" si="2"/>
        <v>1.0366645624854907</v>
      </c>
      <c r="H52" s="1">
        <f t="shared" si="3"/>
        <v>43965</v>
      </c>
    </row>
    <row r="53" spans="1:8" x14ac:dyDescent="0.25">
      <c r="A53" s="1">
        <f>Assets!A51</f>
        <v>43966</v>
      </c>
      <c r="B53">
        <f>Assets!B51/Assets!B$4*Assets!B$2</f>
        <v>0.2183289968198901</v>
      </c>
      <c r="C53">
        <f>Assets!C51/Assets!C$4*Assets!C$2</f>
        <v>0.56910265970668661</v>
      </c>
      <c r="D53">
        <f>Assets!D51/Assets!D$4*Assets!D$2</f>
        <v>9.3230268510984551E-2</v>
      </c>
      <c r="E53">
        <f>Assets!E51/Assets!E$4*Assets!E$2</f>
        <v>9.675190048375952E-2</v>
      </c>
      <c r="F53">
        <f>Assets!F51/Assets!F$4*Assets!F$2</f>
        <v>6.203389830508476E-2</v>
      </c>
      <c r="G53">
        <f t="shared" si="2"/>
        <v>1.0394477238264055</v>
      </c>
      <c r="H53" s="1">
        <f t="shared" si="3"/>
        <v>43966</v>
      </c>
    </row>
    <row r="54" spans="1:8" x14ac:dyDescent="0.25">
      <c r="A54" s="1">
        <f>Assets!A52</f>
        <v>43969</v>
      </c>
      <c r="B54">
        <f>Assets!B52/Assets!B$4*Assets!B$2</f>
        <v>0.22012142237640933</v>
      </c>
      <c r="C54">
        <f>Assets!C52/Assets!C$4*Assets!C$2</f>
        <v>0.57454014417101673</v>
      </c>
      <c r="D54">
        <f>Assets!D52/Assets!D$4*Assets!D$2</f>
        <v>9.8660157309465701E-2</v>
      </c>
      <c r="E54">
        <f>Assets!E52/Assets!E$4*Assets!E$2</f>
        <v>0.1044459801888966</v>
      </c>
      <c r="F54">
        <f>Assets!F52/Assets!F$4*Assets!F$2</f>
        <v>7.0847457627118637E-2</v>
      </c>
      <c r="G54">
        <f t="shared" si="2"/>
        <v>1.0686151616729069</v>
      </c>
      <c r="H54" s="1">
        <f t="shared" si="3"/>
        <v>43969</v>
      </c>
    </row>
    <row r="55" spans="1:8" x14ac:dyDescent="0.25">
      <c r="A55" s="1">
        <f>Assets!A53</f>
        <v>43970</v>
      </c>
      <c r="B55">
        <f>Assets!B53/Assets!B$4*Assets!B$2</f>
        <v>0.21786643538594969</v>
      </c>
      <c r="C55">
        <f>Assets!C53/Assets!C$4*Assets!C$2</f>
        <v>0.57056301267710663</v>
      </c>
      <c r="D55">
        <f>Assets!D53/Assets!D$4*Assets!D$2</f>
        <v>9.6463249254136171E-2</v>
      </c>
      <c r="E55">
        <f>Assets!E53/Assets!E$4*Assets!E$2</f>
        <v>0.10122091683943793</v>
      </c>
      <c r="F55">
        <f>Assets!F53/Assets!F$4*Assets!F$2</f>
        <v>7.0169491525423733E-2</v>
      </c>
      <c r="G55">
        <f t="shared" si="2"/>
        <v>1.0562831056820541</v>
      </c>
      <c r="H55" s="1">
        <f t="shared" si="3"/>
        <v>43970</v>
      </c>
    </row>
    <row r="56" spans="1:8" x14ac:dyDescent="0.25">
      <c r="A56" s="1">
        <f>Assets!A54</f>
        <v>43971</v>
      </c>
      <c r="B56">
        <f>Assets!B54/Assets!B$4*Assets!B$2</f>
        <v>0.21757733448973693</v>
      </c>
      <c r="C56">
        <f>Assets!C54/Assets!C$4*Assets!C$2</f>
        <v>0.57687049465572959</v>
      </c>
      <c r="D56">
        <f>Assets!D54/Assets!D$4*Assets!D$2</f>
        <v>9.8421480878763234E-2</v>
      </c>
      <c r="E56">
        <f>Assets!E54/Assets!E$4*Assets!E$2</f>
        <v>0.10451508868924211</v>
      </c>
      <c r="F56">
        <f>Assets!F54/Assets!F$4*Assets!F$2</f>
        <v>7.254237288135594E-2</v>
      </c>
      <c r="G56">
        <f t="shared" si="2"/>
        <v>1.0699267715948277</v>
      </c>
      <c r="H56" s="1">
        <f t="shared" si="3"/>
        <v>43971</v>
      </c>
    </row>
    <row r="57" spans="1:8" x14ac:dyDescent="0.25">
      <c r="A57" s="1">
        <f>Assets!A55</f>
        <v>43972</v>
      </c>
      <c r="B57">
        <f>Assets!B55/Assets!B$4*Assets!B$2</f>
        <v>0.21543798785776233</v>
      </c>
      <c r="C57">
        <f>Assets!C55/Assets!C$4*Assets!C$2</f>
        <v>0.56994158588118327</v>
      </c>
      <c r="D57">
        <f>Assets!D55/Assets!D$4*Assets!D$2</f>
        <v>9.7694602657987531E-2</v>
      </c>
      <c r="E57">
        <f>Assets!E55/Assets!E$4*Assets!E$2</f>
        <v>0.10264915917991249</v>
      </c>
      <c r="F57">
        <f>Assets!F55/Assets!F$4*Assets!F$2</f>
        <v>7.3220338983050859E-2</v>
      </c>
      <c r="G57">
        <f t="shared" si="2"/>
        <v>1.0589436745598966</v>
      </c>
      <c r="H57" s="1">
        <f t="shared" si="3"/>
        <v>43972</v>
      </c>
    </row>
    <row r="58" spans="1:8" x14ac:dyDescent="0.25">
      <c r="A58" s="1">
        <f>Assets!A56</f>
        <v>43973</v>
      </c>
      <c r="B58">
        <f>Assets!B56/Assets!B$4*Assets!B$2</f>
        <v>0.2168256721595837</v>
      </c>
      <c r="C58">
        <f>Assets!C56/Assets!C$4*Assets!C$2</f>
        <v>0.57019015659955263</v>
      </c>
      <c r="D58">
        <f>Assets!D56/Assets!D$4*Assets!D$2</f>
        <v>9.7602386764307048E-2</v>
      </c>
      <c r="E58">
        <f>Assets!E56/Assets!E$4*Assets!E$2</f>
        <v>0.10274130384703986</v>
      </c>
      <c r="F58">
        <f>Assets!F56/Assets!F$4*Assets!F$2</f>
        <v>7.2429378531073452E-2</v>
      </c>
      <c r="G58">
        <f t="shared" si="2"/>
        <v>1.0597888979015568</v>
      </c>
      <c r="H58" s="1">
        <f t="shared" si="3"/>
        <v>43973</v>
      </c>
    </row>
    <row r="59" spans="1:8" x14ac:dyDescent="0.25">
      <c r="A59" s="1">
        <f>Assets!A57</f>
        <v>43977</v>
      </c>
      <c r="B59">
        <f>Assets!B57/Assets!B$4*Assets!B$2</f>
        <v>0.21676785198034115</v>
      </c>
      <c r="C59">
        <f>Assets!C57/Assets!C$4*Assets!C$2</f>
        <v>0.56416231667909522</v>
      </c>
      <c r="D59">
        <f>Assets!D57/Assets!D$4*Assets!D$2</f>
        <v>0.10635204773528616</v>
      </c>
      <c r="E59">
        <f>Assets!E57/Assets!E$4*Assets!E$2</f>
        <v>0.10575904169546189</v>
      </c>
      <c r="F59">
        <f>Assets!F57/Assets!F$4*Assets!F$2</f>
        <v>7.6836158192090401E-2</v>
      </c>
      <c r="G59">
        <f t="shared" si="2"/>
        <v>1.0698774162822748</v>
      </c>
      <c r="H59" s="1">
        <f t="shared" si="3"/>
        <v>43977</v>
      </c>
    </row>
    <row r="60" spans="1:8" x14ac:dyDescent="0.25">
      <c r="A60" s="1">
        <f>Assets!A58</f>
        <v>43978</v>
      </c>
      <c r="B60">
        <f>Assets!B58/Assets!B$4*Assets!B$2</f>
        <v>0.21630529054640066</v>
      </c>
      <c r="C60">
        <f>Assets!C58/Assets!C$4*Assets!C$2</f>
        <v>0.56490802883420344</v>
      </c>
      <c r="D60">
        <f>Assets!D58/Assets!D$4*Assets!D$2</f>
        <v>0.11372931922972607</v>
      </c>
      <c r="E60">
        <f>Assets!E58/Assets!E$4*Assets!E$2</f>
        <v>0.10651923519926286</v>
      </c>
      <c r="F60">
        <f>Assets!F58/Assets!F$4*Assets!F$2</f>
        <v>8.2372881355932209E-2</v>
      </c>
      <c r="G60">
        <f t="shared" si="2"/>
        <v>1.0838347551655252</v>
      </c>
      <c r="H60" s="1">
        <f t="shared" si="3"/>
        <v>43978</v>
      </c>
    </row>
    <row r="61" spans="1:8" x14ac:dyDescent="0.25">
      <c r="A61" s="1">
        <f>Assets!A59</f>
        <v>43979</v>
      </c>
      <c r="B61">
        <f>Assets!B59/Assets!B$4*Assets!B$2</f>
        <v>0.22075744434807745</v>
      </c>
      <c r="C61">
        <f>Assets!C59/Assets!C$4*Assets!C$2</f>
        <v>0.5636341039025603</v>
      </c>
      <c r="D61">
        <f>Assets!D59/Assets!D$4*Assets!D$2</f>
        <v>0.10915107133170601</v>
      </c>
      <c r="E61">
        <f>Assets!E59/Assets!E$4*Assets!E$2</f>
        <v>0.10375489518544115</v>
      </c>
      <c r="F61">
        <f>Assets!F59/Assets!F$4*Assets!F$2</f>
        <v>7.6610169491525437E-2</v>
      </c>
      <c r="G61">
        <f t="shared" si="2"/>
        <v>1.0739076842593103</v>
      </c>
      <c r="H61" s="1">
        <f t="shared" si="3"/>
        <v>43979</v>
      </c>
    </row>
    <row r="62" spans="1:8" x14ac:dyDescent="0.25">
      <c r="A62" s="1">
        <f>Assets!A60</f>
        <v>43980</v>
      </c>
      <c r="B62">
        <f>Assets!B60/Assets!B$4*Assets!B$2</f>
        <v>0.22081526452732</v>
      </c>
      <c r="C62">
        <f>Assets!C60/Assets!C$4*Assets!C$2</f>
        <v>0.56938230176485216</v>
      </c>
      <c r="D62">
        <f>Assets!D60/Assets!D$4*Assets!D$2</f>
        <v>0.10658529970165448</v>
      </c>
      <c r="E62">
        <f>Assets!E60/Assets!E$4*Assets!E$2</f>
        <v>0.10474545035706061</v>
      </c>
      <c r="F62">
        <f>Assets!F60/Assets!F$4*Assets!F$2</f>
        <v>7.423728813559323E-2</v>
      </c>
      <c r="G62">
        <f t="shared" si="2"/>
        <v>1.0757656044864805</v>
      </c>
      <c r="H62" s="1">
        <f t="shared" si="3"/>
        <v>43980</v>
      </c>
    </row>
    <row r="63" spans="1:8" x14ac:dyDescent="0.25">
      <c r="A63" s="1">
        <f>Assets!A61</f>
        <v>43983</v>
      </c>
      <c r="B63">
        <f>Assets!B61/Assets!B$4*Assets!B$2</f>
        <v>0.20503035559410235</v>
      </c>
      <c r="C63">
        <f>Assets!C61/Assets!C$4*Assets!C$2</f>
        <v>0.56807730549341295</v>
      </c>
      <c r="D63">
        <f>Assets!D61/Assets!D$4*Assets!D$2</f>
        <v>0.10845131543260106</v>
      </c>
      <c r="E63">
        <f>Assets!E61/Assets!E$4*Assets!E$2</f>
        <v>0.10661137986639024</v>
      </c>
      <c r="F63">
        <f>Assets!F61/Assets!F$4*Assets!F$2</f>
        <v>7.638418079096046E-2</v>
      </c>
      <c r="G63">
        <f t="shared" si="2"/>
        <v>1.0645545371774672</v>
      </c>
      <c r="H63" s="1">
        <f t="shared" si="3"/>
        <v>43983</v>
      </c>
    </row>
    <row r="64" spans="1:8" x14ac:dyDescent="0.25">
      <c r="A64" s="1">
        <f>Assets!A62</f>
        <v>43984</v>
      </c>
      <c r="B64">
        <f>Assets!B62/Assets!B$4*Assets!B$2</f>
        <v>0.2090777681410812</v>
      </c>
      <c r="C64">
        <f>Assets!C62/Assets!C$4*Assets!C$2</f>
        <v>0.57454014417101673</v>
      </c>
      <c r="D64">
        <f>Assets!D62/Assets!D$4*Assets!D$2</f>
        <v>0.11073501491727691</v>
      </c>
      <c r="E64">
        <f>Assets!E62/Assets!E$4*Assets!E$2</f>
        <v>0.10898410504492054</v>
      </c>
      <c r="F64">
        <f>Assets!F62/Assets!F$4*Assets!F$2</f>
        <v>7.9661016949152549E-2</v>
      </c>
      <c r="G64">
        <f t="shared" si="2"/>
        <v>1.0829980492234479</v>
      </c>
      <c r="H64" s="1">
        <f t="shared" si="3"/>
        <v>43984</v>
      </c>
    </row>
    <row r="65" spans="1:8" x14ac:dyDescent="0.25">
      <c r="A65" s="1">
        <f>Assets!A63</f>
        <v>43985</v>
      </c>
      <c r="B65">
        <f>Assets!B63/Assets!B$4*Assets!B$2</f>
        <v>0.2090777681410812</v>
      </c>
      <c r="C65">
        <f>Assets!C63/Assets!C$4*Assets!C$2</f>
        <v>0.57593835446184449</v>
      </c>
      <c r="D65">
        <f>Assets!D63/Assets!D$4*Assets!D$2</f>
        <v>0.11422294548413343</v>
      </c>
      <c r="E65">
        <f>Assets!E63/Assets!E$4*Assets!E$2</f>
        <v>0.1134300852338171</v>
      </c>
      <c r="F65">
        <f>Assets!F63/Assets!F$4*Assets!F$2</f>
        <v>8.3163841807909616E-2</v>
      </c>
      <c r="G65">
        <f t="shared" si="2"/>
        <v>1.095832995128786</v>
      </c>
      <c r="H65" s="1">
        <f t="shared" si="3"/>
        <v>43985</v>
      </c>
    </row>
    <row r="66" spans="1:8" x14ac:dyDescent="0.25">
      <c r="A66" s="1">
        <f>Assets!A64</f>
        <v>43986</v>
      </c>
      <c r="B66">
        <f>Assets!B64/Assets!B$4*Assets!B$2</f>
        <v>0.20821046545244287</v>
      </c>
      <c r="C66">
        <f>Assets!C64/Assets!C$4*Assets!C$2</f>
        <v>0.5683569475515784</v>
      </c>
      <c r="D66">
        <f>Assets!D64/Assets!D$4*Assets!D$2</f>
        <v>0.11652834282614594</v>
      </c>
      <c r="E66">
        <f>Assets!E64/Assets!E$4*Assets!E$2</f>
        <v>0.11310757889887124</v>
      </c>
      <c r="F66">
        <f>Assets!F64/Assets!F$4*Assets!F$2</f>
        <v>8.7457627118644077E-2</v>
      </c>
      <c r="G66">
        <f t="shared" si="2"/>
        <v>1.0936609618476825</v>
      </c>
      <c r="H66" s="1">
        <f t="shared" si="3"/>
        <v>43986</v>
      </c>
    </row>
    <row r="67" spans="1:8" x14ac:dyDescent="0.25">
      <c r="A67" s="1">
        <f>Assets!A65</f>
        <v>43987</v>
      </c>
      <c r="B67">
        <f>Assets!B65/Assets!B$4*Assets!B$2</f>
        <v>0.2080948250939578</v>
      </c>
      <c r="C67">
        <f>Assets!C65/Assets!C$4*Assets!C$2</f>
        <v>0.58165548098434006</v>
      </c>
      <c r="D67">
        <f>Assets!D65/Assets!D$4*Assets!D$2</f>
        <v>0.11820992676973148</v>
      </c>
      <c r="E67">
        <f>Assets!E65/Assets!E$4*Assets!E$2</f>
        <v>0.12227597327804654</v>
      </c>
      <c r="F67">
        <f>Assets!F65/Assets!F$4*Assets!F$2</f>
        <v>8.9039548022598877E-2</v>
      </c>
      <c r="G67">
        <f t="shared" si="2"/>
        <v>1.1192757541486749</v>
      </c>
      <c r="H67" s="1">
        <f t="shared" si="3"/>
        <v>43987</v>
      </c>
    </row>
    <row r="68" spans="1:8" x14ac:dyDescent="0.25">
      <c r="A68" s="1">
        <f>Assets!A66</f>
        <v>43990</v>
      </c>
      <c r="B68">
        <f>Assets!B66/Assets!B$4*Assets!B$2</f>
        <v>0.21156403584851113</v>
      </c>
      <c r="C68">
        <f>Assets!C66/Assets!C$4*Assets!C$2</f>
        <v>0.58525975640069605</v>
      </c>
      <c r="D68">
        <f>Assets!D66/Assets!D$4*Assets!D$2</f>
        <v>0.11977759696229998</v>
      </c>
      <c r="E68">
        <f>Assets!E66/Assets!E$4*Assets!E$2</f>
        <v>0.12609997696383324</v>
      </c>
      <c r="F68">
        <f>Assets!F66/Assets!F$4*Assets!F$2</f>
        <v>9.559322033898307E-2</v>
      </c>
      <c r="G68">
        <f t="shared" si="2"/>
        <v>1.1382945865143235</v>
      </c>
      <c r="H68" s="1">
        <f t="shared" si="3"/>
        <v>43990</v>
      </c>
    </row>
    <row r="69" spans="1:8" x14ac:dyDescent="0.25">
      <c r="A69" s="1">
        <f>Assets!A67</f>
        <v>43991</v>
      </c>
      <c r="B69">
        <f>Assets!B67/Assets!B$4*Assets!B$2</f>
        <v>0.20936686903729398</v>
      </c>
      <c r="C69">
        <f>Assets!C67/Assets!C$4*Assets!C$2</f>
        <v>0.58973402933134489</v>
      </c>
      <c r="D69">
        <f>Assets!D67/Assets!D$4*Assets!D$2</f>
        <v>0.11830756712774614</v>
      </c>
      <c r="E69">
        <f>Assets!E67/Assets!E$4*Assets!E$2</f>
        <v>0.12328956461644786</v>
      </c>
      <c r="F69">
        <f>Assets!F67/Assets!F$4*Assets!F$2</f>
        <v>9.0621468926553678E-2</v>
      </c>
      <c r="G69">
        <f t="shared" si="2"/>
        <v>1.1313194990393864</v>
      </c>
      <c r="H69" s="1">
        <f t="shared" si="3"/>
        <v>43991</v>
      </c>
    </row>
    <row r="70" spans="1:8" x14ac:dyDescent="0.25">
      <c r="A70" s="1">
        <f>Assets!A68</f>
        <v>43992</v>
      </c>
      <c r="B70">
        <f>Assets!B68/Assets!B$4*Assets!B$2</f>
        <v>0.20769008383925991</v>
      </c>
      <c r="C70">
        <f>Assets!C68/Assets!C$4*Assets!C$2</f>
        <v>0.6116082525478499</v>
      </c>
      <c r="D70">
        <f>Assets!D68/Assets!D$4*Assets!D$2</f>
        <v>0.11582316246270681</v>
      </c>
      <c r="E70">
        <f>Assets!E68/Assets!E$4*Assets!E$2</f>
        <v>0.1166781847500576</v>
      </c>
      <c r="F70">
        <f>Assets!F68/Assets!F$4*Assets!F$2</f>
        <v>8.5988700564971765E-2</v>
      </c>
      <c r="G70">
        <f t="shared" si="2"/>
        <v>1.137788384164846</v>
      </c>
      <c r="H70" s="1">
        <f t="shared" si="3"/>
        <v>43992</v>
      </c>
    </row>
    <row r="71" spans="1:8" x14ac:dyDescent="0.25">
      <c r="A71" s="1">
        <f>Assets!A69</f>
        <v>43993</v>
      </c>
      <c r="B71">
        <f>Assets!B69/Assets!B$4*Assets!B$2</f>
        <v>0.19254119687771029</v>
      </c>
      <c r="C71">
        <f>Assets!C69/Assets!C$4*Assets!C$2</f>
        <v>0.57876584638329609</v>
      </c>
      <c r="D71">
        <f>Assets!D69/Assets!D$4*Assets!D$2</f>
        <v>0.10530512611879578</v>
      </c>
      <c r="E71">
        <f>Assets!E69/Assets!E$4*Assets!E$2</f>
        <v>0.10638101819857178</v>
      </c>
      <c r="F71">
        <f>Assets!F69/Assets!F$4*Assets!F$2</f>
        <v>7.8531073446327704E-2</v>
      </c>
      <c r="G71">
        <f t="shared" ref="G71:G131" si="4">SUM(B71:F71)</f>
        <v>1.0615242610247018</v>
      </c>
      <c r="H71" s="1">
        <f t="shared" ref="H71:H131" si="5">A71</f>
        <v>43993</v>
      </c>
    </row>
    <row r="72" spans="1:8" x14ac:dyDescent="0.25">
      <c r="A72" s="1">
        <f>Assets!A70</f>
        <v>43994</v>
      </c>
      <c r="B72">
        <f>Assets!B70/Assets!B$4*Assets!B$2</f>
        <v>0.1951431049436253</v>
      </c>
      <c r="C72">
        <f>Assets!C70/Assets!C$4*Assets!C$2</f>
        <v>0.58333333333333337</v>
      </c>
      <c r="D72">
        <f>Assets!D70/Assets!D$4*Assets!D$2</f>
        <v>0.10945484133441824</v>
      </c>
      <c r="E72">
        <f>Assets!E70/Assets!E$4*Assets!E$2</f>
        <v>0.10866159870997467</v>
      </c>
      <c r="F72">
        <f>Assets!F70/Assets!F$4*Assets!F$2</f>
        <v>8.1920903954802268E-2</v>
      </c>
      <c r="G72">
        <f t="shared" si="4"/>
        <v>1.0785137822761539</v>
      </c>
      <c r="H72" s="1">
        <f t="shared" si="5"/>
        <v>43994</v>
      </c>
    </row>
    <row r="73" spans="1:8" x14ac:dyDescent="0.25">
      <c r="A73" s="1">
        <f>Assets!A71</f>
        <v>43997</v>
      </c>
      <c r="B73">
        <f>Assets!B71/Assets!B$4*Assets!B$2</f>
        <v>0.19288811795316563</v>
      </c>
      <c r="C73">
        <f>Assets!C71/Assets!C$4*Assets!C$2</f>
        <v>0.58706189410887399</v>
      </c>
      <c r="D73">
        <f>Assets!D71/Assets!D$4*Assets!D$2</f>
        <v>0.11191212367778683</v>
      </c>
      <c r="E73">
        <f>Assets!E71/Assets!E$4*Assets!E$2</f>
        <v>0.10859249020962913</v>
      </c>
      <c r="F73">
        <f>Assets!F71/Assets!F$4*Assets!F$2</f>
        <v>8.180790960451978E-2</v>
      </c>
      <c r="G73">
        <f t="shared" si="4"/>
        <v>1.0822625355539754</v>
      </c>
      <c r="H73" s="1">
        <f t="shared" si="5"/>
        <v>43997</v>
      </c>
    </row>
    <row r="74" spans="1:8" x14ac:dyDescent="0.25">
      <c r="A74" s="1">
        <f>Assets!A72</f>
        <v>43998</v>
      </c>
      <c r="B74">
        <f>Assets!B72/Assets!B$4*Assets!B$2</f>
        <v>0.19311939867013586</v>
      </c>
      <c r="C74">
        <f>Assets!C72/Assets!C$4*Assets!C$2</f>
        <v>0.60144792443450168</v>
      </c>
      <c r="D74">
        <f>Assets!D72/Assets!D$4*Assets!D$2</f>
        <v>0.11369134797938706</v>
      </c>
      <c r="E74">
        <f>Assets!E72/Assets!E$4*Assets!E$2</f>
        <v>0.11103432388850497</v>
      </c>
      <c r="F74">
        <f>Assets!F72/Assets!F$4*Assets!F$2</f>
        <v>8.4406779661016951E-2</v>
      </c>
      <c r="G74">
        <f t="shared" si="4"/>
        <v>1.1036997746335464</v>
      </c>
      <c r="H74" s="1">
        <f t="shared" si="5"/>
        <v>43998</v>
      </c>
    </row>
    <row r="75" spans="1:8" x14ac:dyDescent="0.25">
      <c r="A75" s="1">
        <f>Assets!A73</f>
        <v>43999</v>
      </c>
      <c r="B75">
        <f>Assets!B73/Assets!B$4*Assets!B$2</f>
        <v>0.19404452153801677</v>
      </c>
      <c r="C75">
        <f>Assets!C73/Assets!C$4*Assets!C$2</f>
        <v>0.60352970420084517</v>
      </c>
      <c r="D75">
        <f>Assets!D73/Assets!D$4*Assets!D$2</f>
        <v>0.11184703010577707</v>
      </c>
      <c r="E75">
        <f>Assets!E73/Assets!E$4*Assets!E$2</f>
        <v>0.10741764570375492</v>
      </c>
      <c r="F75">
        <f>Assets!F73/Assets!F$4*Assets!F$2</f>
        <v>8.180790960451978E-2</v>
      </c>
      <c r="G75">
        <f t="shared" si="4"/>
        <v>1.0986468111529137</v>
      </c>
      <c r="H75" s="1">
        <f t="shared" si="5"/>
        <v>43999</v>
      </c>
    </row>
    <row r="76" spans="1:8" x14ac:dyDescent="0.25">
      <c r="A76" s="1">
        <f>Assets!A74</f>
        <v>44000</v>
      </c>
      <c r="B76">
        <f>Assets!B74/Assets!B$4*Assets!B$2</f>
        <v>0.19219427580225501</v>
      </c>
      <c r="C76">
        <f>Assets!C74/Assets!C$4*Assets!C$2</f>
        <v>0.60999254287844895</v>
      </c>
      <c r="D76">
        <f>Assets!D74/Assets!D$4*Assets!D$2</f>
        <v>0.11057228098725252</v>
      </c>
      <c r="E76">
        <f>Assets!E74/Assets!E$4*Assets!E$2</f>
        <v>0.10808569454042849</v>
      </c>
      <c r="F76">
        <f>Assets!F74/Assets!F$4*Assets!F$2</f>
        <v>8.2259887005649734E-2</v>
      </c>
      <c r="G76">
        <f t="shared" si="4"/>
        <v>1.1031046812140346</v>
      </c>
      <c r="H76" s="1">
        <f t="shared" si="5"/>
        <v>44000</v>
      </c>
    </row>
    <row r="77" spans="1:8" x14ac:dyDescent="0.25">
      <c r="A77" s="1">
        <f>Assets!A75</f>
        <v>44001</v>
      </c>
      <c r="B77">
        <f>Assets!B75/Assets!B$4*Assets!B$2</f>
        <v>0.19323503902862099</v>
      </c>
      <c r="C77">
        <f>Assets!C75/Assets!C$4*Assets!C$2</f>
        <v>0.60635719612229688</v>
      </c>
      <c r="D77">
        <f>Assets!D75/Assets!D$4*Assets!D$2</f>
        <v>0.10937347436940603</v>
      </c>
      <c r="E77">
        <f>Assets!E75/Assets!E$4*Assets!E$2</f>
        <v>0.10592029486293482</v>
      </c>
      <c r="F77">
        <f>Assets!F75/Assets!F$4*Assets!F$2</f>
        <v>8.0790960451977423E-2</v>
      </c>
      <c r="G77">
        <f t="shared" si="4"/>
        <v>1.0956769648352362</v>
      </c>
      <c r="H77" s="1">
        <f t="shared" si="5"/>
        <v>44001</v>
      </c>
    </row>
    <row r="78" spans="1:8" x14ac:dyDescent="0.25">
      <c r="A78" s="1">
        <f>Assets!A76</f>
        <v>44004</v>
      </c>
      <c r="B78">
        <f>Assets!B76/Assets!B$4*Assets!B$2</f>
        <v>0.19144261347210176</v>
      </c>
      <c r="C78">
        <f>Assets!C76/Assets!C$4*Assets!C$2</f>
        <v>0.62319786229182206</v>
      </c>
      <c r="D78">
        <f>Assets!D76/Assets!D$4*Assets!D$2</f>
        <v>0.11034445348521833</v>
      </c>
      <c r="E78">
        <f>Assets!E76/Assets!E$4*Assets!E$2</f>
        <v>0.10693388620133611</v>
      </c>
      <c r="F78">
        <f>Assets!F76/Assets!F$4*Assets!F$2</f>
        <v>7.9548022598870061E-2</v>
      </c>
      <c r="G78">
        <f t="shared" si="4"/>
        <v>1.1114668380493484</v>
      </c>
      <c r="H78" s="1">
        <f t="shared" si="5"/>
        <v>44004</v>
      </c>
    </row>
    <row r="79" spans="1:8" x14ac:dyDescent="0.25">
      <c r="A79" s="1">
        <f>Assets!A77</f>
        <v>44005</v>
      </c>
      <c r="B79">
        <f>Assets!B77/Assets!B$4*Assets!B$2</f>
        <v>0.1894767273778549</v>
      </c>
      <c r="C79">
        <f>Assets!C77/Assets!C$4*Assets!C$2</f>
        <v>0.62736142182450916</v>
      </c>
      <c r="D79">
        <f>Assets!D77/Assets!D$4*Assets!D$2</f>
        <v>0.11108218063466234</v>
      </c>
      <c r="E79">
        <f>Assets!E77/Assets!E$4*Assets!E$2</f>
        <v>0.10757889887122785</v>
      </c>
      <c r="F79">
        <f>Assets!F77/Assets!F$4*Assets!F$2</f>
        <v>7.909604519774012E-2</v>
      </c>
      <c r="G79">
        <f t="shared" si="4"/>
        <v>1.1145952739059943</v>
      </c>
      <c r="H79" s="1">
        <f t="shared" si="5"/>
        <v>44005</v>
      </c>
    </row>
    <row r="80" spans="1:8" x14ac:dyDescent="0.25">
      <c r="A80" s="1">
        <f>Assets!A78</f>
        <v>44006</v>
      </c>
      <c r="B80">
        <f>Assets!B78/Assets!B$4*Assets!B$2</f>
        <v>0.18612315698178661</v>
      </c>
      <c r="C80">
        <f>Assets!C78/Assets!C$4*Assets!C$2</f>
        <v>0.61471538652746716</v>
      </c>
      <c r="D80">
        <f>Assets!D78/Assets!D$4*Assets!D$2</f>
        <v>0.10741524274477897</v>
      </c>
      <c r="E80">
        <f>Assets!E78/Assets!E$4*Assets!E$2</f>
        <v>0.1025109421792214</v>
      </c>
      <c r="F80">
        <f>Assets!F78/Assets!F$4*Assets!F$2</f>
        <v>7.3785310734463289E-2</v>
      </c>
      <c r="G80">
        <f t="shared" si="4"/>
        <v>1.0845500391677174</v>
      </c>
      <c r="H80" s="1">
        <f t="shared" si="5"/>
        <v>44006</v>
      </c>
    </row>
    <row r="81" spans="1:8" x14ac:dyDescent="0.25">
      <c r="A81" s="1">
        <f>Assets!A79</f>
        <v>44007</v>
      </c>
      <c r="B81">
        <f>Assets!B79/Assets!B$4*Assets!B$2</f>
        <v>0.18687481931193986</v>
      </c>
      <c r="C81">
        <f>Assets!C79/Assets!C$4*Assets!C$2</f>
        <v>0.62248322147651014</v>
      </c>
      <c r="D81">
        <f>Assets!D79/Assets!D$4*Assets!D$2</f>
        <v>0.11234065636018445</v>
      </c>
      <c r="E81">
        <f>Assets!E79/Assets!E$4*Assets!E$2</f>
        <v>0.10405436535360518</v>
      </c>
      <c r="F81">
        <f>Assets!F79/Assets!F$4*Assets!F$2</f>
        <v>7.5480225988700578E-2</v>
      </c>
      <c r="G81">
        <f t="shared" si="4"/>
        <v>1.1012332884909402</v>
      </c>
      <c r="H81" s="1">
        <f t="shared" si="5"/>
        <v>44007</v>
      </c>
    </row>
    <row r="82" spans="1:8" x14ac:dyDescent="0.25">
      <c r="A82" s="1">
        <f>Assets!A80</f>
        <v>44008</v>
      </c>
      <c r="B82">
        <f>Assets!B80/Assets!B$4*Assets!B$2</f>
        <v>0.18525585429314828</v>
      </c>
      <c r="C82">
        <f>Assets!C80/Assets!C$4*Assets!C$2</f>
        <v>0.61002361421824514</v>
      </c>
      <c r="D82">
        <f>Assets!D80/Assets!D$4*Assets!D$2</f>
        <v>0.10262544073772716</v>
      </c>
      <c r="E82">
        <f>Assets!E80/Assets!E$4*Assets!E$2</f>
        <v>0.10048375950241879</v>
      </c>
      <c r="F82">
        <f>Assets!F80/Assets!F$4*Assets!F$2</f>
        <v>7.3220338983050859E-2</v>
      </c>
      <c r="G82">
        <f t="shared" si="4"/>
        <v>1.0716090077345903</v>
      </c>
      <c r="H82" s="1">
        <f t="shared" si="5"/>
        <v>44008</v>
      </c>
    </row>
    <row r="83" spans="1:8" x14ac:dyDescent="0.25">
      <c r="A83" s="1">
        <f>Assets!A81</f>
        <v>44011</v>
      </c>
      <c r="B83">
        <f>Assets!B81/Assets!B$4*Assets!B$2</f>
        <v>0.18872506504770165</v>
      </c>
      <c r="C83">
        <f>Assets!C81/Assets!C$4*Assets!C$2</f>
        <v>0.61657966691523747</v>
      </c>
      <c r="D83">
        <f>Assets!D81/Assets!D$4*Assets!D$2</f>
        <v>0.10494711147274208</v>
      </c>
      <c r="E83">
        <f>Assets!E81/Assets!E$4*Assets!E$2</f>
        <v>0.10209629117714814</v>
      </c>
      <c r="F83">
        <f>Assets!F81/Assets!F$4*Assets!F$2</f>
        <v>7.6836158192090401E-2</v>
      </c>
      <c r="G83">
        <f t="shared" si="4"/>
        <v>1.0891842928049198</v>
      </c>
      <c r="H83" s="1">
        <f t="shared" si="5"/>
        <v>44011</v>
      </c>
    </row>
    <row r="84" spans="1:8" x14ac:dyDescent="0.25">
      <c r="A84" s="1">
        <f>Assets!A82</f>
        <v>44012</v>
      </c>
      <c r="B84">
        <f>Assets!B82/Assets!B$4*Assets!B$2</f>
        <v>0.18907198612315701</v>
      </c>
      <c r="C84">
        <f>Assets!C82/Assets!C$4*Assets!C$2</f>
        <v>0.63233283619189662</v>
      </c>
      <c r="D84">
        <f>Assets!D82/Assets!D$4*Assets!D$2</f>
        <v>0.10719826417141308</v>
      </c>
      <c r="E84">
        <f>Assets!E82/Assets!E$4*Assets!E$2</f>
        <v>0.10301773784842204</v>
      </c>
      <c r="F84">
        <f>Assets!F82/Assets!F$4*Assets!F$2</f>
        <v>7.7175141242937867E-2</v>
      </c>
      <c r="G84">
        <f t="shared" si="4"/>
        <v>1.1087959655778266</v>
      </c>
      <c r="H84" s="1">
        <f t="shared" si="5"/>
        <v>44012</v>
      </c>
    </row>
    <row r="85" spans="1:8" x14ac:dyDescent="0.25">
      <c r="A85" s="1">
        <f>Assets!A83</f>
        <v>44013</v>
      </c>
      <c r="B85">
        <f>Assets!B83/Assets!B$4*Assets!B$2</f>
        <v>0.19508528476438278</v>
      </c>
      <c r="C85">
        <f>Assets!C83/Assets!C$4*Assets!C$2</f>
        <v>0.63603032562764106</v>
      </c>
      <c r="D85">
        <f>Assets!D83/Assets!D$4*Assets!D$2</f>
        <v>0.10717114184974236</v>
      </c>
      <c r="E85">
        <f>Assets!E83/Assets!E$4*Assets!E$2</f>
        <v>0.10069108500345543</v>
      </c>
      <c r="F85">
        <f>Assets!F83/Assets!F$4*Assets!F$2</f>
        <v>7.6158192090395482E-2</v>
      </c>
      <c r="G85">
        <f t="shared" si="4"/>
        <v>1.1151360293356172</v>
      </c>
      <c r="H85" s="1">
        <f t="shared" si="5"/>
        <v>44013</v>
      </c>
    </row>
    <row r="86" spans="1:8" x14ac:dyDescent="0.25">
      <c r="A86" s="1">
        <f>Assets!A84</f>
        <v>44014</v>
      </c>
      <c r="B86">
        <f>Assets!B84/Assets!B$4*Assets!B$2</f>
        <v>0.19953743856605954</v>
      </c>
      <c r="C86">
        <f>Assets!C84/Assets!C$4*Assets!C$2</f>
        <v>0.64087745463584389</v>
      </c>
      <c r="D86">
        <f>Assets!D84/Assets!D$4*Assets!D$2</f>
        <v>0.10707892595606186</v>
      </c>
      <c r="E86">
        <f>Assets!E84/Assets!E$4*Assets!E$2</f>
        <v>0.10154342317438379</v>
      </c>
      <c r="F86">
        <f>Assets!F84/Assets!F$4*Assets!F$2</f>
        <v>7.7062146892655378E-2</v>
      </c>
      <c r="G86">
        <f t="shared" si="4"/>
        <v>1.1260993892250044</v>
      </c>
      <c r="H86" s="1">
        <f t="shared" si="5"/>
        <v>44014</v>
      </c>
    </row>
    <row r="87" spans="1:8" x14ac:dyDescent="0.25">
      <c r="A87" s="1">
        <f>Assets!A85</f>
        <v>44018</v>
      </c>
      <c r="B87">
        <f>Assets!B85/Assets!B$4*Assets!B$2</f>
        <v>0.19953743856605954</v>
      </c>
      <c r="C87">
        <f>Assets!C85/Assets!C$4*Assets!C$2</f>
        <v>0.65467312950534429</v>
      </c>
      <c r="D87">
        <f>Assets!D85/Assets!D$4*Assets!D$2</f>
        <v>0.11248169243287227</v>
      </c>
      <c r="E87">
        <f>Assets!E85/Assets!E$4*Assets!E$2</f>
        <v>0.10225754434462107</v>
      </c>
      <c r="F87">
        <f>Assets!F85/Assets!F$4*Assets!F$2</f>
        <v>7.909604519774012E-2</v>
      </c>
      <c r="G87">
        <f t="shared" si="4"/>
        <v>1.1480458500466373</v>
      </c>
      <c r="H87" s="1">
        <f t="shared" si="5"/>
        <v>44018</v>
      </c>
    </row>
    <row r="88" spans="1:8" x14ac:dyDescent="0.25">
      <c r="A88" s="1">
        <f>Assets!A86</f>
        <v>44019</v>
      </c>
      <c r="B88">
        <f>Assets!B86/Assets!B$4*Assets!B$2</f>
        <v>0.19676206996241688</v>
      </c>
      <c r="C88">
        <f>Assets!C86/Assets!C$4*Assets!C$2</f>
        <v>0.64706065125528223</v>
      </c>
      <c r="D88">
        <f>Assets!D86/Assets!D$4*Assets!D$2</f>
        <v>0.10814212096555467</v>
      </c>
      <c r="E88">
        <f>Assets!E86/Assets!E$4*Assets!E$2</f>
        <v>9.9608385164708602E-2</v>
      </c>
      <c r="F88">
        <f>Assets!F86/Assets!F$4*Assets!F$2</f>
        <v>7.638418079096046E-2</v>
      </c>
      <c r="G88">
        <f t="shared" si="4"/>
        <v>1.1279574081389228</v>
      </c>
      <c r="H88" s="1">
        <f t="shared" si="5"/>
        <v>44019</v>
      </c>
    </row>
    <row r="89" spans="1:8" x14ac:dyDescent="0.25">
      <c r="A89" s="1">
        <f>Assets!A87</f>
        <v>44020</v>
      </c>
      <c r="B89">
        <f>Assets!B87/Assets!B$4*Assets!B$2</f>
        <v>0.1951431049436253</v>
      </c>
      <c r="C89">
        <f>Assets!C87/Assets!C$4*Assets!C$2</f>
        <v>0.66129132488192899</v>
      </c>
      <c r="D89">
        <f>Assets!D87/Assets!D$4*Assets!D$2</f>
        <v>0.10970979115812314</v>
      </c>
      <c r="E89">
        <f>Assets!E87/Assets!E$4*Assets!E$2</f>
        <v>9.9378023496890122E-2</v>
      </c>
      <c r="F89">
        <f>Assets!F87/Assets!F$4*Assets!F$2</f>
        <v>7.7514124293785319E-2</v>
      </c>
      <c r="G89">
        <f t="shared" si="4"/>
        <v>1.143036368774353</v>
      </c>
      <c r="H89" s="1">
        <f t="shared" si="5"/>
        <v>44020</v>
      </c>
    </row>
    <row r="90" spans="1:8" x14ac:dyDescent="0.25">
      <c r="A90" s="1">
        <f>Assets!A88</f>
        <v>44021</v>
      </c>
      <c r="B90">
        <f>Assets!B88/Assets!B$4*Assets!B$2</f>
        <v>0.1934663197455912</v>
      </c>
      <c r="C90">
        <f>Assets!C88/Assets!C$4*Assets!C$2</f>
        <v>0.66592095451155853</v>
      </c>
      <c r="D90">
        <f>Assets!D88/Assets!D$4*Assets!D$2</f>
        <v>0.10676973148901547</v>
      </c>
      <c r="E90">
        <f>Assets!E88/Assets!E$4*Assets!E$2</f>
        <v>9.5277585809721274E-2</v>
      </c>
      <c r="F90">
        <f>Assets!F88/Assets!F$4*Assets!F$2</f>
        <v>7.4350282485875704E-2</v>
      </c>
      <c r="G90">
        <f t="shared" si="4"/>
        <v>1.1357848740417622</v>
      </c>
      <c r="H90" s="1">
        <f t="shared" si="5"/>
        <v>44021</v>
      </c>
    </row>
    <row r="91" spans="1:8" x14ac:dyDescent="0.25">
      <c r="A91" s="1">
        <f>Assets!A89</f>
        <v>44022</v>
      </c>
      <c r="B91">
        <f>Assets!B89/Assets!B$4*Assets!B$2</f>
        <v>0.19560566637756574</v>
      </c>
      <c r="C91">
        <f>Assets!C89/Assets!C$4*Assets!C$2</f>
        <v>0.6639013174248074</v>
      </c>
      <c r="D91">
        <f>Assets!D89/Assets!D$4*Assets!D$2</f>
        <v>0.1115052888527258</v>
      </c>
      <c r="E91">
        <f>Assets!E89/Assets!E$4*Assets!E$2</f>
        <v>9.8249251324579595E-2</v>
      </c>
      <c r="F91">
        <f>Assets!F89/Assets!F$4*Assets!F$2</f>
        <v>7.5593220338983066E-2</v>
      </c>
      <c r="G91">
        <f t="shared" si="4"/>
        <v>1.1448547443186616</v>
      </c>
      <c r="H91" s="1">
        <f t="shared" si="5"/>
        <v>44022</v>
      </c>
    </row>
    <row r="92" spans="1:8" x14ac:dyDescent="0.25">
      <c r="A92" s="1">
        <f>Assets!A90</f>
        <v>44025</v>
      </c>
      <c r="B92">
        <f>Assets!B90/Assets!B$4*Assets!B$2</f>
        <v>0.20358485111303845</v>
      </c>
      <c r="C92">
        <f>Assets!C90/Assets!C$4*Assets!C$2</f>
        <v>0.64339423315933386</v>
      </c>
      <c r="D92">
        <f>Assets!D90/Assets!D$4*Assets!D$2</f>
        <v>0.11330621101166261</v>
      </c>
      <c r="E92">
        <f>Assets!E90/Assets!E$4*Assets!E$2</f>
        <v>9.8272287491361437E-2</v>
      </c>
      <c r="F92">
        <f>Assets!F90/Assets!F$4*Assets!F$2</f>
        <v>7.5706214689265541E-2</v>
      </c>
      <c r="G92">
        <f t="shared" si="4"/>
        <v>1.1342637974646619</v>
      </c>
      <c r="H92" s="1">
        <f t="shared" si="5"/>
        <v>44025</v>
      </c>
    </row>
    <row r="93" spans="1:8" x14ac:dyDescent="0.25">
      <c r="A93" s="1">
        <f>Assets!A91</f>
        <v>44026</v>
      </c>
      <c r="B93">
        <f>Assets!B91/Assets!B$4*Assets!B$2</f>
        <v>0.20370049147152353</v>
      </c>
      <c r="C93">
        <f>Assets!C91/Assets!C$4*Assets!C$2</f>
        <v>0.64737136465324385</v>
      </c>
      <c r="D93">
        <f>Assets!D91/Assets!D$4*Assets!D$2</f>
        <v>0.11608896121508001</v>
      </c>
      <c r="E93">
        <f>Assets!E91/Assets!E$4*Assets!E$2</f>
        <v>0.10152038700760196</v>
      </c>
      <c r="F93">
        <f>Assets!F91/Assets!F$4*Assets!F$2</f>
        <v>7.7740112994350297E-2</v>
      </c>
      <c r="G93">
        <f t="shared" si="4"/>
        <v>1.1464213173417996</v>
      </c>
      <c r="H93" s="1">
        <f t="shared" si="5"/>
        <v>44026</v>
      </c>
    </row>
    <row r="94" spans="1:8" x14ac:dyDescent="0.25">
      <c r="A94" s="1">
        <f>Assets!A92</f>
        <v>44027</v>
      </c>
      <c r="B94">
        <f>Assets!B92/Assets!B$4*Assets!B$2</f>
        <v>0.20653368025440877</v>
      </c>
      <c r="C94">
        <f>Assets!C92/Assets!C$4*Assets!C$2</f>
        <v>0.64640815311956257</v>
      </c>
      <c r="D94">
        <f>Assets!D92/Assets!D$4*Assets!D$2</f>
        <v>0.11765663140764851</v>
      </c>
      <c r="E94">
        <f>Assets!E92/Assets!E$4*Assets!E$2</f>
        <v>0.10281041234738542</v>
      </c>
      <c r="F94">
        <f>Assets!F92/Assets!F$4*Assets!F$2</f>
        <v>8.067796610169492E-2</v>
      </c>
      <c r="G94">
        <f t="shared" si="4"/>
        <v>1.1540868432307001</v>
      </c>
      <c r="H94" s="1">
        <f t="shared" si="5"/>
        <v>44027</v>
      </c>
    </row>
    <row r="95" spans="1:8" x14ac:dyDescent="0.25">
      <c r="A95" s="1">
        <f>Assets!A93</f>
        <v>44028</v>
      </c>
      <c r="B95">
        <f>Assets!B93/Assets!B$4*Assets!B$2</f>
        <v>0.20583983810349815</v>
      </c>
      <c r="C95">
        <f>Assets!C93/Assets!C$4*Assets!C$2</f>
        <v>0.63360676112353964</v>
      </c>
      <c r="D95">
        <f>Assets!D93/Assets!D$4*Assets!D$2</f>
        <v>0.11644697586113371</v>
      </c>
      <c r="E95">
        <f>Assets!E93/Assets!E$4*Assets!E$2</f>
        <v>0.10200414651002075</v>
      </c>
      <c r="F95">
        <f>Assets!F93/Assets!F$4*Assets!F$2</f>
        <v>7.9661016949152549E-2</v>
      </c>
      <c r="G95">
        <f t="shared" si="4"/>
        <v>1.1375587385473447</v>
      </c>
      <c r="H95" s="1">
        <f t="shared" si="5"/>
        <v>44028</v>
      </c>
    </row>
    <row r="96" spans="1:8" x14ac:dyDescent="0.25">
      <c r="A96" s="1">
        <f>Assets!A94</f>
        <v>44029</v>
      </c>
      <c r="B96">
        <f>Assets!B94/Assets!B$4*Assets!B$2</f>
        <v>0.20959814975426425</v>
      </c>
      <c r="C96">
        <f>Assets!C94/Assets!C$4*Assets!C$2</f>
        <v>0.63037534178473775</v>
      </c>
      <c r="D96">
        <f>Assets!D94/Assets!D$4*Assets!D$2</f>
        <v>0.1146786004882018</v>
      </c>
      <c r="E96">
        <f>Assets!E94/Assets!E$4*Assets!E$2</f>
        <v>0.10025339783460036</v>
      </c>
      <c r="F96">
        <f>Assets!F94/Assets!F$4*Assets!F$2</f>
        <v>7.9887005649717527E-2</v>
      </c>
      <c r="G96">
        <f t="shared" si="4"/>
        <v>1.1347924955115218</v>
      </c>
      <c r="H96" s="1">
        <f t="shared" si="5"/>
        <v>44029</v>
      </c>
    </row>
    <row r="97" spans="1:8" x14ac:dyDescent="0.25">
      <c r="A97" s="1">
        <f>Assets!A95</f>
        <v>44032</v>
      </c>
      <c r="B97">
        <f>Assets!B95/Assets!B$4*Assets!B$2</f>
        <v>0.21104365423532812</v>
      </c>
      <c r="C97">
        <f>Assets!C95/Assets!C$4*Assets!C$2</f>
        <v>0.65746955008699981</v>
      </c>
      <c r="D97">
        <f>Assets!D95/Assets!D$4*Assets!D$2</f>
        <v>0.11484133441822622</v>
      </c>
      <c r="E97">
        <f>Assets!E95/Assets!E$4*Assets!E$2</f>
        <v>9.790370882285189E-2</v>
      </c>
      <c r="F97">
        <f>Assets!F95/Assets!F$4*Assets!F$2</f>
        <v>7.7627118644067808E-2</v>
      </c>
      <c r="G97">
        <f t="shared" si="4"/>
        <v>1.1588853662074738</v>
      </c>
      <c r="H97" s="1">
        <f t="shared" si="5"/>
        <v>44032</v>
      </c>
    </row>
    <row r="98" spans="1:8" x14ac:dyDescent="0.25">
      <c r="A98" s="1">
        <f>Assets!A96</f>
        <v>44033</v>
      </c>
      <c r="B98">
        <f>Assets!B96/Assets!B$4*Assets!B$2</f>
        <v>0.21214223764093668</v>
      </c>
      <c r="C98">
        <f>Assets!C96/Assets!C$4*Assets!C$2</f>
        <v>0.6486142182450908</v>
      </c>
      <c r="D98">
        <f>Assets!D96/Assets!D$4*Assets!D$2</f>
        <v>0.11500949281258477</v>
      </c>
      <c r="E98">
        <f>Assets!E96/Assets!E$4*Assets!E$2</f>
        <v>0.1028564846809491</v>
      </c>
      <c r="F98">
        <f>Assets!F96/Assets!F$4*Assets!F$2</f>
        <v>7.9548022598870061E-2</v>
      </c>
      <c r="G98">
        <f t="shared" si="4"/>
        <v>1.1581704559784314</v>
      </c>
      <c r="H98" s="1">
        <f t="shared" si="5"/>
        <v>44033</v>
      </c>
    </row>
    <row r="99" spans="1:8" x14ac:dyDescent="0.25">
      <c r="A99" s="1">
        <f>Assets!A97</f>
        <v>44034</v>
      </c>
      <c r="B99">
        <f>Assets!B97/Assets!B$4*Assets!B$2</f>
        <v>0.2229546111592946</v>
      </c>
      <c r="C99">
        <f>Assets!C97/Assets!C$4*Assets!C$2</f>
        <v>0.65793562018394236</v>
      </c>
      <c r="D99">
        <f>Assets!D97/Assets!D$4*Assets!D$2</f>
        <v>0.11174396528342828</v>
      </c>
      <c r="E99">
        <f>Assets!E97/Assets!E$4*Assets!E$2</f>
        <v>0.10046072333563696</v>
      </c>
      <c r="F99">
        <f>Assets!F97/Assets!F$4*Assets!F$2</f>
        <v>7.9774011299435038E-2</v>
      </c>
      <c r="G99">
        <f t="shared" si="4"/>
        <v>1.1728689312617371</v>
      </c>
      <c r="H99" s="1">
        <f t="shared" si="5"/>
        <v>44034</v>
      </c>
    </row>
    <row r="100" spans="1:8" x14ac:dyDescent="0.25">
      <c r="A100" s="1">
        <f>Assets!A98</f>
        <v>44035</v>
      </c>
      <c r="B100">
        <f>Assets!B98/Assets!B$4*Assets!B$2</f>
        <v>0.22208730847065625</v>
      </c>
      <c r="C100">
        <f>Assets!C98/Assets!C$4*Assets!C$2</f>
        <v>0.62931891623166791</v>
      </c>
      <c r="D100">
        <f>Assets!D98/Assets!D$4*Assets!D$2</f>
        <v>0.11012747491185247</v>
      </c>
      <c r="E100">
        <f>Assets!E98/Assets!E$4*Assets!E$2</f>
        <v>0.1006680488366736</v>
      </c>
      <c r="F100">
        <f>Assets!F98/Assets!F$4*Assets!F$2</f>
        <v>7.9548022598870061E-2</v>
      </c>
      <c r="G100">
        <f t="shared" si="4"/>
        <v>1.1417497710497204</v>
      </c>
      <c r="H100" s="1">
        <f t="shared" si="5"/>
        <v>44035</v>
      </c>
    </row>
    <row r="101" spans="1:8" x14ac:dyDescent="0.25">
      <c r="A101" s="1">
        <f>Assets!A99</f>
        <v>44036</v>
      </c>
      <c r="B101">
        <f>Assets!B99/Assets!B$4*Assets!B$2</f>
        <v>0.21775079502746456</v>
      </c>
      <c r="C101">
        <f>Assets!C99/Assets!C$4*Assets!C$2</f>
        <v>0.62546607009694266</v>
      </c>
      <c r="D101">
        <f>Assets!D99/Assets!D$4*Assets!D$2</f>
        <v>0.10928668294005968</v>
      </c>
      <c r="E101">
        <f>Assets!E99/Assets!E$4*Assets!E$2</f>
        <v>0.10004607233356372</v>
      </c>
      <c r="F101">
        <f>Assets!F99/Assets!F$4*Assets!F$2</f>
        <v>7.7514124293785319E-2</v>
      </c>
      <c r="G101">
        <f t="shared" si="4"/>
        <v>1.130063744691816</v>
      </c>
      <c r="H101" s="1">
        <f t="shared" si="5"/>
        <v>44036</v>
      </c>
    </row>
    <row r="102" spans="1:8" x14ac:dyDescent="0.25">
      <c r="A102" s="1">
        <f>Assets!A100</f>
        <v>44039</v>
      </c>
      <c r="B102">
        <f>Assets!B100/Assets!B$4*Assets!B$2</f>
        <v>0.21705695287655391</v>
      </c>
      <c r="C102">
        <f>Assets!C100/Assets!C$4*Assets!C$2</f>
        <v>0.63338926174496646</v>
      </c>
      <c r="D102">
        <f>Assets!D100/Assets!D$4*Assets!D$2</f>
        <v>0.11012747491185247</v>
      </c>
      <c r="E102">
        <f>Assets!E100/Assets!E$4*Assets!E$2</f>
        <v>0.10152038700760196</v>
      </c>
      <c r="F102">
        <f>Assets!F100/Assets!F$4*Assets!F$2</f>
        <v>7.581920903954803E-2</v>
      </c>
      <c r="G102">
        <f t="shared" si="4"/>
        <v>1.1379132855805227</v>
      </c>
      <c r="H102" s="1">
        <f t="shared" si="5"/>
        <v>44039</v>
      </c>
    </row>
    <row r="103" spans="1:8" x14ac:dyDescent="0.25">
      <c r="A103" s="1">
        <f>Assets!A101</f>
        <v>44040</v>
      </c>
      <c r="B103">
        <f>Assets!B101/Assets!B$4*Assets!B$2</f>
        <v>0.22561433940445219</v>
      </c>
      <c r="C103">
        <f>Assets!C101/Assets!C$4*Assets!C$2</f>
        <v>0.62770320656226708</v>
      </c>
      <c r="D103">
        <f>Assets!D101/Assets!D$4*Assets!D$2</f>
        <v>0.10936804990507187</v>
      </c>
      <c r="E103">
        <f>Assets!E101/Assets!E$4*Assets!E$2</f>
        <v>0.10032250633494587</v>
      </c>
      <c r="F103">
        <f>Assets!F101/Assets!F$4*Assets!F$2</f>
        <v>7.7853107344632771E-2</v>
      </c>
      <c r="G103">
        <f t="shared" si="4"/>
        <v>1.1408612095513697</v>
      </c>
      <c r="H103" s="1">
        <f t="shared" si="5"/>
        <v>44040</v>
      </c>
    </row>
    <row r="104" spans="1:8" x14ac:dyDescent="0.25">
      <c r="A104" s="1">
        <f>Assets!A102</f>
        <v>44041</v>
      </c>
      <c r="B104">
        <f>Assets!B102/Assets!B$4*Assets!B$2</f>
        <v>0.22700202370627345</v>
      </c>
      <c r="C104">
        <f>Assets!C102/Assets!C$4*Assets!C$2</f>
        <v>0.63404175988068612</v>
      </c>
      <c r="D104">
        <f>Assets!D102/Assets!D$4*Assets!D$2</f>
        <v>0.10988879848115002</v>
      </c>
      <c r="E104">
        <f>Assets!E102/Assets!E$4*Assets!E$2</f>
        <v>0.10142824234047457</v>
      </c>
      <c r="F104">
        <f>Assets!F102/Assets!F$4*Assets!F$2</f>
        <v>7.4463276836158207E-2</v>
      </c>
      <c r="G104">
        <f t="shared" si="4"/>
        <v>1.1468241012447424</v>
      </c>
      <c r="H104" s="1">
        <f t="shared" si="5"/>
        <v>44041</v>
      </c>
    </row>
    <row r="105" spans="1:8" x14ac:dyDescent="0.25">
      <c r="A105" s="1">
        <f>Assets!A103</f>
        <v>44042</v>
      </c>
      <c r="B105">
        <f>Assets!B103/Assets!B$4*Assets!B$2</f>
        <v>0.22399537438566061</v>
      </c>
      <c r="C105">
        <f>Assets!C103/Assets!C$4*Assets!C$2</f>
        <v>0.63354461844394738</v>
      </c>
      <c r="D105">
        <f>Assets!D103/Assets!D$4*Assets!D$2</f>
        <v>0.10823433685923517</v>
      </c>
      <c r="E105">
        <f>Assets!E103/Assets!E$4*Assets!E$2</f>
        <v>9.6452430315595486E-2</v>
      </c>
      <c r="F105">
        <f>Assets!F103/Assets!F$4*Assets!F$2</f>
        <v>7.0734463276836163E-2</v>
      </c>
      <c r="G105">
        <f t="shared" si="4"/>
        <v>1.1329612232812749</v>
      </c>
      <c r="H105" s="1">
        <f t="shared" si="5"/>
        <v>44042</v>
      </c>
    </row>
    <row r="106" spans="1:8" x14ac:dyDescent="0.25">
      <c r="A106" s="1">
        <f>Assets!A104</f>
        <v>44043</v>
      </c>
      <c r="B106">
        <f>Assets!B104/Assets!B$4*Assets!B$2</f>
        <v>0.22249204972535411</v>
      </c>
      <c r="C106">
        <f>Assets!C104/Assets!C$4*Assets!C$2</f>
        <v>0.63699353716132245</v>
      </c>
      <c r="D106">
        <f>Assets!D104/Assets!D$4*Assets!D$2</f>
        <v>0.10738269595877409</v>
      </c>
      <c r="E106">
        <f>Assets!E104/Assets!E$4*Assets!E$2</f>
        <v>9.6936189818014287E-2</v>
      </c>
      <c r="F106">
        <f>Assets!F104/Assets!F$4*Assets!F$2</f>
        <v>6.8587570621468932E-2</v>
      </c>
      <c r="G106">
        <f t="shared" si="4"/>
        <v>1.1323920432849339</v>
      </c>
      <c r="H106" s="1">
        <f t="shared" si="5"/>
        <v>44043</v>
      </c>
    </row>
    <row r="107" spans="1:8" x14ac:dyDescent="0.25">
      <c r="A107" s="1">
        <f>Assets!A105</f>
        <v>44046</v>
      </c>
      <c r="B107">
        <f>Assets!B105/Assets!B$4*Assets!B$2</f>
        <v>0.22174038739520091</v>
      </c>
      <c r="C107">
        <f>Assets!C105/Assets!C$4*Assets!C$2</f>
        <v>0.67281879194630878</v>
      </c>
      <c r="D107">
        <f>Assets!D105/Assets!D$4*Assets!D$2</f>
        <v>0.10815839435855711</v>
      </c>
      <c r="E107">
        <f>Assets!E105/Assets!E$4*Assets!E$2</f>
        <v>9.7327804653305705E-2</v>
      </c>
      <c r="F107">
        <f>Assets!F105/Assets!F$4*Assets!F$2</f>
        <v>6.9039548022598873E-2</v>
      </c>
      <c r="G107">
        <f t="shared" si="4"/>
        <v>1.1690849263759715</v>
      </c>
      <c r="H107" s="1">
        <f t="shared" si="5"/>
        <v>44046</v>
      </c>
    </row>
    <row r="108" spans="1:8" x14ac:dyDescent="0.25">
      <c r="A108" s="1">
        <f>Assets!A106</f>
        <v>44047</v>
      </c>
      <c r="B108">
        <f>Assets!B106/Assets!B$4*Assets!B$2</f>
        <v>0.22197166811217117</v>
      </c>
      <c r="C108">
        <f>Assets!C106/Assets!C$4*Assets!C$2</f>
        <v>0.66272060651255282</v>
      </c>
      <c r="D108">
        <f>Assets!D106/Assets!D$4*Assets!D$2</f>
        <v>0.10937889883374018</v>
      </c>
      <c r="E108">
        <f>Assets!E106/Assets!E$4*Assets!E$2</f>
        <v>0.1001382170006911</v>
      </c>
      <c r="F108">
        <f>Assets!F106/Assets!F$4*Assets!F$2</f>
        <v>6.9378531073446326E-2</v>
      </c>
      <c r="G108">
        <f t="shared" si="4"/>
        <v>1.1635879215326015</v>
      </c>
      <c r="H108" s="1">
        <f t="shared" si="5"/>
        <v>44047</v>
      </c>
    </row>
    <row r="109" spans="1:8" x14ac:dyDescent="0.25">
      <c r="A109" s="1">
        <f>Assets!A107</f>
        <v>44048</v>
      </c>
      <c r="B109">
        <f>Assets!B107/Assets!B$4*Assets!B$2</f>
        <v>0.22231858918762648</v>
      </c>
      <c r="C109">
        <f>Assets!C107/Assets!C$4*Assets!C$2</f>
        <v>0.6616331096196868</v>
      </c>
      <c r="D109">
        <f>Assets!D107/Assets!D$4*Assets!D$2</f>
        <v>0.11094114456197451</v>
      </c>
      <c r="E109">
        <f>Assets!E107/Assets!E$4*Assets!E$2</f>
        <v>0.10101359133840132</v>
      </c>
      <c r="F109">
        <f>Assets!F107/Assets!F$4*Assets!F$2</f>
        <v>7.2316384180790977E-2</v>
      </c>
      <c r="G109">
        <f t="shared" si="4"/>
        <v>1.1682228188884802</v>
      </c>
      <c r="H109" s="1">
        <f t="shared" si="5"/>
        <v>44048</v>
      </c>
    </row>
    <row r="110" spans="1:8" x14ac:dyDescent="0.25">
      <c r="A110" s="1">
        <f>Assets!A108</f>
        <v>44049</v>
      </c>
      <c r="B110">
        <f>Assets!B108/Assets!B$4*Assets!B$2</f>
        <v>0.2212778259612605</v>
      </c>
      <c r="C110">
        <f>Assets!C108/Assets!C$4*Assets!C$2</f>
        <v>0.67222843649018149</v>
      </c>
      <c r="D110">
        <f>Assets!D108/Assets!D$4*Assets!D$2</f>
        <v>0.11079468402495254</v>
      </c>
      <c r="E110">
        <f>Assets!E108/Assets!E$4*Assets!E$2</f>
        <v>0.10052983183598251</v>
      </c>
      <c r="F110">
        <f>Assets!F108/Assets!F$4*Assets!F$2</f>
        <v>7.152542372881357E-2</v>
      </c>
      <c r="G110">
        <f t="shared" si="4"/>
        <v>1.1763562020411906</v>
      </c>
      <c r="H110" s="1">
        <f t="shared" si="5"/>
        <v>44049</v>
      </c>
    </row>
    <row r="111" spans="1:8" x14ac:dyDescent="0.25">
      <c r="A111" s="1">
        <f>Assets!A109</f>
        <v>44050</v>
      </c>
      <c r="B111">
        <f>Assets!B109/Assets!B$4*Assets!B$2</f>
        <v>0.22231858918762648</v>
      </c>
      <c r="C111">
        <f>Assets!C109/Assets!C$4*Assets!C$2</f>
        <v>0.66020382798906285</v>
      </c>
      <c r="D111">
        <f>Assets!D109/Assets!D$4*Assets!D$2</f>
        <v>0.11297531868727964</v>
      </c>
      <c r="E111">
        <f>Assets!E109/Assets!E$4*Assets!E$2</f>
        <v>0.10006910850034555</v>
      </c>
      <c r="F111">
        <f>Assets!F109/Assets!F$4*Assets!F$2</f>
        <v>7.2316384180790977E-2</v>
      </c>
      <c r="G111">
        <f t="shared" si="4"/>
        <v>1.1678832285451055</v>
      </c>
      <c r="H111" s="1">
        <f t="shared" si="5"/>
        <v>44050</v>
      </c>
    </row>
    <row r="112" spans="1:8" x14ac:dyDescent="0.25">
      <c r="A112" s="1">
        <f>Assets!A110</f>
        <v>44053</v>
      </c>
      <c r="B112">
        <f>Assets!B110/Assets!B$4*Assets!B$2</f>
        <v>0.22197166811217117</v>
      </c>
      <c r="C112">
        <f>Assets!C110/Assets!C$4*Assets!C$2</f>
        <v>0.64706065125528223</v>
      </c>
      <c r="D112">
        <f>Assets!D110/Assets!D$4*Assets!D$2</f>
        <v>0.11357743422836995</v>
      </c>
      <c r="E112">
        <f>Assets!E110/Assets!E$4*Assets!E$2</f>
        <v>0.10253397834600322</v>
      </c>
      <c r="F112">
        <f>Assets!F110/Assets!F$4*Assets!F$2</f>
        <v>7.5367231638418089E-2</v>
      </c>
      <c r="G112">
        <f t="shared" si="4"/>
        <v>1.1605109635802449</v>
      </c>
      <c r="H112" s="1">
        <f t="shared" si="5"/>
        <v>44053</v>
      </c>
    </row>
    <row r="113" spans="1:8" x14ac:dyDescent="0.25">
      <c r="A113" s="1">
        <f>Assets!A111</f>
        <v>44054</v>
      </c>
      <c r="B113">
        <f>Assets!B111/Assets!B$4*Assets!B$2</f>
        <v>0.21850245735761781</v>
      </c>
      <c r="C113">
        <f>Assets!C111/Assets!C$4*Assets!C$2</f>
        <v>0.63192890877454644</v>
      </c>
      <c r="D113">
        <f>Assets!D111/Assets!D$4*Assets!D$2</f>
        <v>0.11448874423650666</v>
      </c>
      <c r="E113">
        <f>Assets!E111/Assets!E$4*Assets!E$2</f>
        <v>0.10359364201796822</v>
      </c>
      <c r="F113">
        <f>Assets!F111/Assets!F$4*Assets!F$2</f>
        <v>7.6045197740113007E-2</v>
      </c>
      <c r="G113">
        <f t="shared" si="4"/>
        <v>1.1445589501267524</v>
      </c>
      <c r="H113" s="1">
        <f t="shared" si="5"/>
        <v>44054</v>
      </c>
    </row>
    <row r="114" spans="1:8" x14ac:dyDescent="0.25">
      <c r="A114" s="1">
        <f>Assets!A112</f>
        <v>44055</v>
      </c>
      <c r="B114">
        <f>Assets!B112/Assets!B$4*Assets!B$2</f>
        <v>0.22162474703671578</v>
      </c>
      <c r="C114">
        <f>Assets!C112/Assets!C$4*Assets!C$2</f>
        <v>0.64998135719612238</v>
      </c>
      <c r="D114">
        <f>Assets!D112/Assets!D$4*Assets!D$2</f>
        <v>0.11506916192026038</v>
      </c>
      <c r="E114">
        <f>Assets!E112/Assets!E$4*Assets!E$2</f>
        <v>0.10156645934116565</v>
      </c>
      <c r="F114">
        <f>Assets!F112/Assets!F$4*Assets!F$2</f>
        <v>7.5932203389830519E-2</v>
      </c>
      <c r="G114">
        <f t="shared" si="4"/>
        <v>1.1641739288840947</v>
      </c>
      <c r="H114" s="1">
        <f t="shared" si="5"/>
        <v>44055</v>
      </c>
    </row>
    <row r="115" spans="1:8" x14ac:dyDescent="0.25">
      <c r="A115" s="1">
        <f>Assets!A113</f>
        <v>44056</v>
      </c>
      <c r="B115">
        <f>Assets!B113/Assets!B$4*Assets!B$2</f>
        <v>0.22069962416883493</v>
      </c>
      <c r="C115">
        <f>Assets!C113/Assets!C$4*Assets!C$2</f>
        <v>0.64845886154610988</v>
      </c>
      <c r="D115">
        <f>Assets!D113/Assets!D$4*Assets!D$2</f>
        <v>0.1130404122592894</v>
      </c>
      <c r="E115">
        <f>Assets!E113/Assets!E$4*Assets!E$2</f>
        <v>9.9078553328726116E-2</v>
      </c>
      <c r="F115">
        <f>Assets!F113/Assets!F$4*Assets!F$2</f>
        <v>7.4576271186440682E-2</v>
      </c>
      <c r="G115">
        <f t="shared" si="4"/>
        <v>1.155853722489401</v>
      </c>
      <c r="H115" s="1">
        <f t="shared" si="5"/>
        <v>44056</v>
      </c>
    </row>
    <row r="116" spans="1:8" x14ac:dyDescent="0.25">
      <c r="A116" s="1">
        <f>Assets!A114</f>
        <v>44057</v>
      </c>
      <c r="B116">
        <f>Assets!B114/Assets!B$4*Assets!B$2</f>
        <v>0.22006360219716681</v>
      </c>
      <c r="C116">
        <f>Assets!C114/Assets!C$4*Assets!C$2</f>
        <v>0.64908028834203335</v>
      </c>
      <c r="D116">
        <f>Assets!D114/Assets!D$4*Assets!D$2</f>
        <v>0.11281258475725522</v>
      </c>
      <c r="E116">
        <f>Assets!E114/Assets!E$4*Assets!E$2</f>
        <v>9.9516240497581232E-2</v>
      </c>
      <c r="F116">
        <f>Assets!F114/Assets!F$4*Assets!F$2</f>
        <v>7.52542372881356E-2</v>
      </c>
      <c r="G116">
        <f t="shared" si="4"/>
        <v>1.1567269530821722</v>
      </c>
      <c r="H116" s="1">
        <f t="shared" si="5"/>
        <v>44057</v>
      </c>
    </row>
    <row r="117" spans="1:8" x14ac:dyDescent="0.25">
      <c r="A117" s="1">
        <f>Assets!A115</f>
        <v>44060</v>
      </c>
      <c r="B117">
        <f>Assets!B115/Assets!B$4*Assets!B$2</f>
        <v>0.22174038739520091</v>
      </c>
      <c r="C117">
        <f>Assets!C115/Assets!C$4*Assets!C$2</f>
        <v>0.65336813323390508</v>
      </c>
      <c r="D117">
        <f>Assets!D115/Assets!D$4*Assets!D$2</f>
        <v>0.11015459723352319</v>
      </c>
      <c r="E117">
        <f>Assets!E115/Assets!E$4*Assets!E$2</f>
        <v>9.8226215157797753E-2</v>
      </c>
      <c r="F117">
        <f>Assets!F115/Assets!F$4*Assets!F$2</f>
        <v>7.3107344632768356E-2</v>
      </c>
      <c r="G117">
        <f t="shared" si="4"/>
        <v>1.1565966776531953</v>
      </c>
      <c r="H117" s="1">
        <f t="shared" si="5"/>
        <v>44060</v>
      </c>
    </row>
    <row r="118" spans="1:8" x14ac:dyDescent="0.25">
      <c r="A118" s="1">
        <f>Assets!A116</f>
        <v>44061</v>
      </c>
      <c r="B118">
        <f>Assets!B116/Assets!B$4*Assets!B$2</f>
        <v>0.22179820757444346</v>
      </c>
      <c r="C118">
        <f>Assets!C116/Assets!C$4*Assets!C$2</f>
        <v>0.65712776534924189</v>
      </c>
      <c r="D118">
        <f>Assets!D116/Assets!D$4*Assets!D$2</f>
        <v>0.10919989151071333</v>
      </c>
      <c r="E118">
        <f>Assets!E116/Assets!E$4*Assets!E$2</f>
        <v>9.7742455655378965E-2</v>
      </c>
      <c r="F118">
        <f>Assets!F116/Assets!F$4*Assets!F$2</f>
        <v>7.2768361581920918E-2</v>
      </c>
      <c r="G118">
        <f t="shared" si="4"/>
        <v>1.1586366816716986</v>
      </c>
      <c r="H118" s="1">
        <f t="shared" si="5"/>
        <v>44061</v>
      </c>
    </row>
    <row r="119" spans="1:8" x14ac:dyDescent="0.25">
      <c r="A119" s="1">
        <f>Assets!A117</f>
        <v>44062</v>
      </c>
      <c r="B119">
        <f>Assets!B117/Assets!B$4*Assets!B$2</f>
        <v>0.22122000578201792</v>
      </c>
      <c r="C119">
        <f>Assets!C117/Assets!C$4*Assets!C$2</f>
        <v>0.65156599552572714</v>
      </c>
      <c r="D119">
        <f>Assets!D117/Assets!D$4*Assets!D$2</f>
        <v>0.11012747491185247</v>
      </c>
      <c r="E119">
        <f>Assets!E117/Assets!E$4*Assets!E$2</f>
        <v>9.6659755816632123E-2</v>
      </c>
      <c r="F119">
        <f>Assets!F117/Assets!F$4*Assets!F$2</f>
        <v>7.2090395480225986E-2</v>
      </c>
      <c r="G119">
        <f t="shared" si="4"/>
        <v>1.1516636275164556</v>
      </c>
      <c r="H119" s="1">
        <f t="shared" si="5"/>
        <v>44062</v>
      </c>
    </row>
    <row r="120" spans="1:8" x14ac:dyDescent="0.25">
      <c r="A120" s="1">
        <f>Assets!A118</f>
        <v>44063</v>
      </c>
      <c r="B120">
        <f>Assets!B118/Assets!B$4*Assets!B$2</f>
        <v>0.22387973402717548</v>
      </c>
      <c r="C120">
        <f>Assets!C118/Assets!C$4*Assets!C$2</f>
        <v>0.66672880934625911</v>
      </c>
      <c r="D120">
        <f>Assets!D118/Assets!D$4*Assets!D$2</f>
        <v>0.10949281258475725</v>
      </c>
      <c r="E120">
        <f>Assets!E118/Assets!E$4*Assets!E$2</f>
        <v>9.5185441142593891E-2</v>
      </c>
      <c r="F120">
        <f>Assets!F118/Assets!F$4*Assets!F$2</f>
        <v>7.0847457627118637E-2</v>
      </c>
      <c r="G120">
        <f t="shared" si="4"/>
        <v>1.1661342547279041</v>
      </c>
      <c r="H120" s="1">
        <f t="shared" si="5"/>
        <v>44063</v>
      </c>
    </row>
    <row r="121" spans="1:8" x14ac:dyDescent="0.25">
      <c r="A121" s="1">
        <f>Assets!A119</f>
        <v>44064</v>
      </c>
      <c r="B121">
        <f>Assets!B119/Assets!B$4*Assets!B$2</f>
        <v>0.22480485689505639</v>
      </c>
      <c r="C121">
        <f>Assets!C119/Assets!C$4*Assets!C$2</f>
        <v>0.66188168033805628</v>
      </c>
      <c r="D121">
        <f>Assets!D119/Assets!D$4*Assets!D$2</f>
        <v>0.1098074315161378</v>
      </c>
      <c r="E121">
        <f>Assets!E119/Assets!E$4*Assets!E$2</f>
        <v>9.447131997235661E-2</v>
      </c>
      <c r="F121">
        <f>Assets!F119/Assets!F$4*Assets!F$2</f>
        <v>7.1299435028248578E-2</v>
      </c>
      <c r="G121">
        <f t="shared" si="4"/>
        <v>1.1622647237498556</v>
      </c>
      <c r="H121" s="1">
        <f t="shared" si="5"/>
        <v>44064</v>
      </c>
    </row>
    <row r="122" spans="1:8" x14ac:dyDescent="0.25">
      <c r="A122" s="1">
        <f>Assets!A120</f>
        <v>44067</v>
      </c>
      <c r="B122">
        <f>Assets!B120/Assets!B$4*Assets!B$2</f>
        <v>0.22457357617808615</v>
      </c>
      <c r="C122">
        <f>Assets!C120/Assets!C$4*Assets!C$2</f>
        <v>0.66396346010439977</v>
      </c>
      <c r="D122">
        <f>Assets!D120/Assets!D$4*Assets!D$2</f>
        <v>0.11247084350420396</v>
      </c>
      <c r="E122">
        <f>Assets!E120/Assets!E$4*Assets!E$2</f>
        <v>9.7258696152960164E-2</v>
      </c>
      <c r="F122">
        <f>Assets!F120/Assets!F$4*Assets!F$2</f>
        <v>7.4915254237288148E-2</v>
      </c>
      <c r="G122">
        <f t="shared" si="4"/>
        <v>1.1731818301769383</v>
      </c>
      <c r="H122" s="1">
        <f t="shared" si="5"/>
        <v>44067</v>
      </c>
    </row>
    <row r="123" spans="1:8" x14ac:dyDescent="0.25">
      <c r="A123" s="1">
        <f>Assets!A121</f>
        <v>44068</v>
      </c>
      <c r="B123">
        <f>Assets!B121/Assets!B$4*Assets!B$2</f>
        <v>0.22208730847065625</v>
      </c>
      <c r="C123">
        <f>Assets!C121/Assets!C$4*Assets!C$2</f>
        <v>0.6726012925677356</v>
      </c>
      <c r="D123">
        <f>Assets!D121/Assets!D$4*Assets!D$2</f>
        <v>0.11174396528342828</v>
      </c>
      <c r="E123">
        <f>Assets!E121/Assets!E$4*Assets!E$2</f>
        <v>9.4171849804192603E-2</v>
      </c>
      <c r="F123">
        <f>Assets!F121/Assets!F$4*Assets!F$2</f>
        <v>7.4463276836158207E-2</v>
      </c>
      <c r="G123">
        <f t="shared" si="4"/>
        <v>1.1750676929621708</v>
      </c>
      <c r="H123" s="1">
        <f t="shared" si="5"/>
        <v>44068</v>
      </c>
    </row>
    <row r="124" spans="1:8" x14ac:dyDescent="0.25">
      <c r="A124" s="1">
        <f>Assets!A122</f>
        <v>44069</v>
      </c>
      <c r="B124">
        <f>Assets!B122/Assets!B$4*Assets!B$2</f>
        <v>0.2200057820179242</v>
      </c>
      <c r="C124">
        <f>Assets!C122/Assets!C$4*Assets!C$2</f>
        <v>0.6871426795923441</v>
      </c>
      <c r="D124">
        <f>Assets!D122/Assets!D$4*Assets!D$2</f>
        <v>0.1124057499321942</v>
      </c>
      <c r="E124">
        <f>Assets!E122/Assets!E$4*Assets!E$2</f>
        <v>9.2167703294171857E-2</v>
      </c>
      <c r="F124">
        <f>Assets!F122/Assets!F$4*Assets!F$2</f>
        <v>7.3220338983050859E-2</v>
      </c>
      <c r="G124">
        <f t="shared" si="4"/>
        <v>1.1849422538196852</v>
      </c>
      <c r="H124" s="1">
        <f t="shared" si="5"/>
        <v>44069</v>
      </c>
    </row>
    <row r="125" spans="1:8" x14ac:dyDescent="0.25">
      <c r="A125" s="1">
        <f>Assets!A123</f>
        <v>44070</v>
      </c>
      <c r="B125">
        <f>Assets!B123/Assets!B$4*Assets!B$2</f>
        <v>0.21890719861231567</v>
      </c>
      <c r="C125">
        <f>Assets!C123/Assets!C$4*Assets!C$2</f>
        <v>0.70401441710166557</v>
      </c>
      <c r="D125">
        <f>Assets!D123/Assets!D$4*Assets!D$2</f>
        <v>0.11399511798209927</v>
      </c>
      <c r="E125">
        <f>Assets!E123/Assets!E$4*Assets!E$2</f>
        <v>9.1545726791061988E-2</v>
      </c>
      <c r="F125">
        <f>Assets!F123/Assets!F$4*Assets!F$2</f>
        <v>7.3220338983050859E-2</v>
      </c>
      <c r="G125">
        <f t="shared" si="4"/>
        <v>1.2016827994701933</v>
      </c>
      <c r="H125" s="1">
        <f t="shared" si="5"/>
        <v>44070</v>
      </c>
    </row>
    <row r="126" spans="1:8" x14ac:dyDescent="0.25">
      <c r="A126" s="1">
        <f>Assets!A124</f>
        <v>44071</v>
      </c>
      <c r="B126">
        <f>Assets!B124/Assets!B$4*Assets!B$2</f>
        <v>0.21919629950852842</v>
      </c>
      <c r="C126">
        <f>Assets!C124/Assets!C$4*Assets!C$2</f>
        <v>0.71125403927417352</v>
      </c>
      <c r="D126">
        <f>Assets!D124/Assets!D$4*Assets!D$2</f>
        <v>0.11267154868456741</v>
      </c>
      <c r="E126">
        <f>Assets!E124/Assets!E$4*Assets!E$2</f>
        <v>9.3734162635337487E-2</v>
      </c>
      <c r="F126">
        <f>Assets!F124/Assets!F$4*Assets!F$2</f>
        <v>7.4689265536723171E-2</v>
      </c>
      <c r="G126">
        <f t="shared" si="4"/>
        <v>1.2115453156393299</v>
      </c>
      <c r="H126" s="1">
        <f t="shared" si="5"/>
        <v>44071</v>
      </c>
    </row>
    <row r="127" spans="1:8" x14ac:dyDescent="0.25">
      <c r="A127" s="1">
        <f>Assets!A125</f>
        <v>44074</v>
      </c>
      <c r="B127">
        <f>Assets!B125/Assets!B$4*Assets!B$2</f>
        <v>0.21850245735761781</v>
      </c>
      <c r="C127">
        <f>Assets!C125/Assets!C$4*Assets!C$2</f>
        <v>0.70075192642306738</v>
      </c>
      <c r="D127">
        <f>Assets!D125/Assets!D$4*Assets!D$2</f>
        <v>0.11113100081366967</v>
      </c>
      <c r="E127">
        <f>Assets!E125/Assets!E$4*Assets!E$2</f>
        <v>9.2006450126698933E-2</v>
      </c>
      <c r="F127">
        <f>Assets!F125/Assets!F$4*Assets!F$2</f>
        <v>7.1638418079096045E-2</v>
      </c>
      <c r="G127">
        <f t="shared" si="4"/>
        <v>1.1940302528001498</v>
      </c>
      <c r="H127" s="1">
        <f t="shared" si="5"/>
        <v>44074</v>
      </c>
    </row>
    <row r="128" spans="1:8" x14ac:dyDescent="0.25">
      <c r="A128" s="1">
        <f>Assets!A126</f>
        <v>44075</v>
      </c>
      <c r="B128">
        <f>Assets!B126/Assets!B$4*Assets!B$2</f>
        <v>0.21324082104654526</v>
      </c>
      <c r="C128">
        <f>Assets!C126/Assets!C$4*Assets!C$2</f>
        <v>0.70615833954760143</v>
      </c>
      <c r="D128">
        <f>Assets!D126/Assets!D$4*Assets!D$2</f>
        <v>0.11145104420938433</v>
      </c>
      <c r="E128">
        <f>Assets!E126/Assets!E$4*Assets!E$2</f>
        <v>9.0831605620824707E-2</v>
      </c>
      <c r="F128">
        <f>Assets!F126/Assets!F$4*Assets!F$2</f>
        <v>6.9943502824858769E-2</v>
      </c>
      <c r="G128">
        <f t="shared" si="4"/>
        <v>1.1916253132492145</v>
      </c>
      <c r="H128" s="1">
        <f t="shared" si="5"/>
        <v>44075</v>
      </c>
    </row>
    <row r="129" spans="1:8" x14ac:dyDescent="0.25">
      <c r="A129" s="1">
        <f>Assets!A127</f>
        <v>44076</v>
      </c>
      <c r="B129">
        <f>Assets!B127/Assets!B$4*Assets!B$2</f>
        <v>0.21509106678230705</v>
      </c>
      <c r="C129">
        <f>Assets!C127/Assets!C$4*Assets!C$2</f>
        <v>0.71976758637832472</v>
      </c>
      <c r="D129">
        <f>Assets!D127/Assets!D$4*Assets!D$2</f>
        <v>0.11393544887442364</v>
      </c>
      <c r="E129">
        <f>Assets!E127/Assets!E$4*Assets!E$2</f>
        <v>9.0278737618060365E-2</v>
      </c>
      <c r="F129">
        <f>Assets!F127/Assets!F$4*Assets!F$2</f>
        <v>7.2768361581920918E-2</v>
      </c>
      <c r="G129">
        <f t="shared" si="4"/>
        <v>1.2118412012350368</v>
      </c>
      <c r="H129" s="1">
        <f t="shared" si="5"/>
        <v>44076</v>
      </c>
    </row>
    <row r="130" spans="1:8" x14ac:dyDescent="0.25">
      <c r="A130" s="1">
        <f>Assets!A128</f>
        <v>44077</v>
      </c>
      <c r="B130">
        <f>Assets!B128/Assets!B$4*Assets!B$2</f>
        <v>0.21046545244290257</v>
      </c>
      <c r="C130">
        <f>Assets!C128/Assets!C$4*Assets!C$2</f>
        <v>0.67518021377081794</v>
      </c>
      <c r="D130">
        <f>Assets!D128/Assets!D$4*Assets!D$2</f>
        <v>0.1125901817195552</v>
      </c>
      <c r="E130">
        <f>Assets!E128/Assets!E$4*Assets!E$2</f>
        <v>9.0094448283805584E-2</v>
      </c>
      <c r="F130">
        <f>Assets!F128/Assets!F$4*Assets!F$2</f>
        <v>7.1412429378531081E-2</v>
      </c>
      <c r="G130">
        <f t="shared" si="4"/>
        <v>1.1597427255956123</v>
      </c>
      <c r="H130" s="1">
        <f t="shared" si="5"/>
        <v>44077</v>
      </c>
    </row>
    <row r="131" spans="1:8" x14ac:dyDescent="0.25">
      <c r="A131" s="1">
        <f>Assets!A129</f>
        <v>44078</v>
      </c>
      <c r="B131">
        <f>Assets!B129/Assets!B$4*Assets!B$2</f>
        <v>0.21023417172593231</v>
      </c>
      <c r="C131">
        <f>Assets!C129/Assets!C$4*Assets!C$2</f>
        <v>0.66570345513298534</v>
      </c>
      <c r="D131">
        <f>Assets!D129/Assets!D$4*Assets!D$2</f>
        <v>0.11442365066449689</v>
      </c>
      <c r="E131">
        <f>Assets!E129/Assets!E$4*Assets!E$2</f>
        <v>9.0025339783460043E-2</v>
      </c>
      <c r="F131">
        <f>Assets!F129/Assets!F$4*Assets!F$2</f>
        <v>7.254237288135594E-2</v>
      </c>
      <c r="G131">
        <f t="shared" si="4"/>
        <v>1.1529289901882305</v>
      </c>
      <c r="H131" s="1">
        <f t="shared" si="5"/>
        <v>44078</v>
      </c>
    </row>
  </sheetData>
  <phoneticPr fontId="2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ED876AF78F4594D9C6F8B8EF32D2354" ma:contentTypeVersion="13" ma:contentTypeDescription="Een nieuw document maken." ma:contentTypeScope="" ma:versionID="343e99205f616833945fe50b9934878c">
  <xsd:schema xmlns:xsd="http://www.w3.org/2001/XMLSchema" xmlns:xs="http://www.w3.org/2001/XMLSchema" xmlns:p="http://schemas.microsoft.com/office/2006/metadata/properties" xmlns:ns3="09f10444-fcb4-40c4-97e2-6c56ab27871a" xmlns:ns4="5a1878bb-d9b9-40a4-90ed-5688d9393cf2" targetNamespace="http://schemas.microsoft.com/office/2006/metadata/properties" ma:root="true" ma:fieldsID="3567eb737b08883fb7779058b8d601d8" ns3:_="" ns4:_="">
    <xsd:import namespace="09f10444-fcb4-40c4-97e2-6c56ab27871a"/>
    <xsd:import namespace="5a1878bb-d9b9-40a4-90ed-5688d9393cf2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Location" minOccurs="0"/>
                <xsd:element ref="ns4:MediaServiceEventHashCode" minOccurs="0"/>
                <xsd:element ref="ns4:MediaServiceGenerationTim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f10444-fcb4-40c4-97e2-6c56ab27871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Gedeeld met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Gedeeld met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int-hash delen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1878bb-d9b9-40a4-90ed-5688d9393c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5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041B615-3184-4532-BA6B-901FEB89D13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BF1D04C-6A64-4881-AC2C-60E23118C3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9f10444-fcb4-40c4-97e2-6c56ab27871a"/>
    <ds:schemaRef ds:uri="5a1878bb-d9b9-40a4-90ed-5688d9393c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7D27DD9-8E42-4561-A2A3-98EA2E790CD6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Description</vt:lpstr>
      <vt:lpstr>Portfolio</vt:lpstr>
      <vt:lpstr>JSON Parser</vt:lpstr>
      <vt:lpstr>All Stock</vt:lpstr>
      <vt:lpstr>Assets</vt:lpstr>
      <vt:lpstr>Analysed stock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Wouter Mertens</dc:creator>
  <cp:lastModifiedBy>Wouter Mertens</cp:lastModifiedBy>
  <cp:lastPrinted>2020-09-10T10:28:19Z</cp:lastPrinted>
  <dcterms:created xsi:type="dcterms:W3CDTF">2020-08-20T06:28:39Z</dcterms:created>
  <dcterms:modified xsi:type="dcterms:W3CDTF">2020-09-11T09:07:07Z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0x010100CED876AF78F4594D9C6F8B8EF32D2354</vt:lpwstr>
  </property>
  <property fmtid="{D5CDD505-2E9C-101B-9397-08002B2CF9AE}" pid="3" name="WorkbookGuid">
    <vt:lpwstr>f728b79e-997c-40f0-b60b-8f69b7335c60</vt:lpwstr>
  </property>
</Properties>
</file>